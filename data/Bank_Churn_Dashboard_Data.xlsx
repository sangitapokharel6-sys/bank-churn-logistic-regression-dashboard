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hidePivotFieldList="1" defaultThemeVersion="124226"/>
  <mc:AlternateContent xmlns:mc="http://schemas.openxmlformats.org/markup-compatibility/2006">
    <mc:Choice Requires="x15">
      <x15ac:absPath xmlns:x15ac="http://schemas.microsoft.com/office/spreadsheetml/2010/11/ac" url="/Users/matthewaraujo/Downloads/"/>
    </mc:Choice>
  </mc:AlternateContent>
  <xr:revisionPtr revIDLastSave="0" documentId="13_ncr:1_{CFF1AFA8-8ABC-2E47-A9EA-77EBE24407B9}" xr6:coauthVersionLast="47" xr6:coauthVersionMax="47" xr10:uidLastSave="{00000000-0000-0000-0000-000000000000}"/>
  <bookViews>
    <workbookView xWindow="0" yWindow="760" windowWidth="29400" windowHeight="17120" activeTab="2" xr2:uid="{00000000-000D-0000-FFFF-FFFF00000000}"/>
  </bookViews>
  <sheets>
    <sheet name="Data" sheetId="1" r:id="rId1"/>
    <sheet name="Pivots" sheetId="3" r:id="rId2"/>
    <sheet name="Dashboard" sheetId="2" r:id="rId3"/>
  </sheets>
  <definedNames>
    <definedName name="Slicer_active_member">#N/A</definedName>
    <definedName name="Slicer_age_group">#N/A</definedName>
    <definedName name="Slicer_country">#N/A</definedName>
    <definedName name="Slicer_gender">#N/A</definedName>
    <definedName name="Slicer_products_number">#N/A</definedName>
    <definedName name="Slicer_risk_category">#N/A</definedName>
  </definedNames>
  <calcPr calcId="191029"/>
  <pivotCaches>
    <pivotCache cacheId="23"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2" l="1"/>
  <c r="H4" i="2"/>
  <c r="F4" i="2"/>
  <c r="D4" i="2"/>
  <c r="B4" i="2"/>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J5" i="3"/>
  <c r="H5" i="3"/>
  <c r="F5" i="3"/>
  <c r="B5" i="3"/>
  <c r="D5" i="3"/>
</calcChain>
</file>

<file path=xl/sharedStrings.xml><?xml version="1.0" encoding="utf-8"?>
<sst xmlns="http://schemas.openxmlformats.org/spreadsheetml/2006/main" count="22101" uniqueCount="80">
  <si>
    <t>credit_score</t>
  </si>
  <si>
    <t>country</t>
  </si>
  <si>
    <t>gender</t>
  </si>
  <si>
    <t>age</t>
  </si>
  <si>
    <t>tenure</t>
  </si>
  <si>
    <t>balance</t>
  </si>
  <si>
    <t>products_number</t>
  </si>
  <si>
    <t>credit_card</t>
  </si>
  <si>
    <t>active_member</t>
  </si>
  <si>
    <t>estimated_salary</t>
  </si>
  <si>
    <t>churn</t>
  </si>
  <si>
    <t>predicted_churn_probability</t>
  </si>
  <si>
    <t>predicted_churn</t>
  </si>
  <si>
    <t>actual_churn_numeric</t>
  </si>
  <si>
    <t>predicted_churn_numeric</t>
  </si>
  <si>
    <t>risk_category</t>
  </si>
  <si>
    <t>age_group</t>
  </si>
  <si>
    <t>balance_group</t>
  </si>
  <si>
    <t>credit_score_group</t>
  </si>
  <si>
    <t>salary_group</t>
  </si>
  <si>
    <t>Spain</t>
  </si>
  <si>
    <t>Male</t>
  </si>
  <si>
    <t>Yes</t>
  </si>
  <si>
    <t>No</t>
  </si>
  <si>
    <t>Medium Risk</t>
  </si>
  <si>
    <t>41-50</t>
  </si>
  <si>
    <t>High Balance</t>
  </si>
  <si>
    <t>Medium</t>
  </si>
  <si>
    <t>High Salary</t>
  </si>
  <si>
    <t>Zero Balance</t>
  </si>
  <si>
    <t>Low</t>
  </si>
  <si>
    <t>Very High Salary</t>
  </si>
  <si>
    <t>Female</t>
  </si>
  <si>
    <t>31-40</t>
  </si>
  <si>
    <t>Low Risk</t>
  </si>
  <si>
    <t>Low Salary</t>
  </si>
  <si>
    <t>18-30</t>
  </si>
  <si>
    <t>High</t>
  </si>
  <si>
    <t>Medium Balance</t>
  </si>
  <si>
    <t>Excellent</t>
  </si>
  <si>
    <t>Medium Salary</t>
  </si>
  <si>
    <t>Germany</t>
  </si>
  <si>
    <t>France</t>
  </si>
  <si>
    <t>High Risk</t>
  </si>
  <si>
    <t>51-60</t>
  </si>
  <si>
    <t>Very Low</t>
  </si>
  <si>
    <t>60+</t>
  </si>
  <si>
    <t>Very High Balance</t>
  </si>
  <si>
    <t>Low Balance</t>
  </si>
  <si>
    <t>Total Customers</t>
  </si>
  <si>
    <t>Actual Churn Rate</t>
  </si>
  <si>
    <t>Average Predicted Churn Probability</t>
  </si>
  <si>
    <t>High-Risk Customers</t>
  </si>
  <si>
    <t>High-Risk Share</t>
  </si>
  <si>
    <t>Correct Prediction</t>
  </si>
  <si>
    <t>Row Labels</t>
  </si>
  <si>
    <t>Grand Total</t>
  </si>
  <si>
    <t>Churn Count</t>
  </si>
  <si>
    <t>Churn Rate</t>
  </si>
  <si>
    <t>Churn Rate By Gender</t>
  </si>
  <si>
    <t>Gender</t>
  </si>
  <si>
    <t>Country</t>
  </si>
  <si>
    <t>Churn Rate By Country</t>
  </si>
  <si>
    <t>Churn By Age Group</t>
  </si>
  <si>
    <t>Age Range</t>
  </si>
  <si>
    <t>Active Status</t>
  </si>
  <si>
    <t>Churn By Active Status</t>
  </si>
  <si>
    <t>Churn By # Of Products</t>
  </si>
  <si>
    <t>Customer Count</t>
  </si>
  <si>
    <t># Of Products</t>
  </si>
  <si>
    <t>Churn By Risk Category</t>
  </si>
  <si>
    <t>Risk Category</t>
  </si>
  <si>
    <t>Balance Group</t>
  </si>
  <si>
    <t>Churn By Balance Group</t>
  </si>
  <si>
    <t>Churn By Credit Card Group</t>
  </si>
  <si>
    <t>Credit Score Group</t>
  </si>
  <si>
    <t xml:space="preserve"> Customer Churn Dashboard</t>
  </si>
  <si>
    <t xml:space="preserve">   KPI Cards</t>
  </si>
  <si>
    <t>Pivot Tables</t>
  </si>
  <si>
    <t xml:space="preserve"> Fitted Logression Output from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</si>
</sst>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48"/>
      <color theme="0"/>
      <name val="Calibri"/>
      <family val="2"/>
      <scheme val="minor"/>
    </font>
    <font>
      <sz val="20"/>
      <color theme="1"/>
      <name val="Calibri"/>
      <family val="2"/>
      <scheme val="minor"/>
    </font>
    <font>
      <b/>
      <sz val="20"/>
      <color theme="1"/>
      <name val="Calibri"/>
      <family val="2"/>
      <scheme val="minor"/>
    </font>
    <font>
      <sz val="16"/>
      <color theme="1"/>
      <name val="Calibri"/>
      <family val="2"/>
      <scheme val="minor"/>
    </font>
    <font>
      <b/>
      <sz val="16"/>
      <color theme="1"/>
      <name val="Calibri"/>
      <family val="2"/>
      <scheme val="minor"/>
    </font>
    <font>
      <b/>
      <sz val="22"/>
      <color theme="1"/>
      <name val="Calibri"/>
      <family val="2"/>
      <scheme val="minor"/>
    </font>
    <font>
      <b/>
      <sz val="28"/>
      <color theme="0"/>
      <name val="Calibri (Body)"/>
    </font>
    <font>
      <sz val="11"/>
      <color theme="0"/>
      <name val="Calibri"/>
      <family val="2"/>
      <scheme val="minor"/>
    </font>
  </fonts>
  <fills count="7">
    <fill>
      <patternFill patternType="none"/>
    </fill>
    <fill>
      <patternFill patternType="gray125"/>
    </fill>
    <fill>
      <patternFill patternType="solid">
        <fgColor theme="3"/>
        <bgColor indexed="64"/>
      </patternFill>
    </fill>
    <fill>
      <patternFill patternType="solid">
        <fgColor theme="4"/>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1" fillId="0" borderId="0" xfId="0" applyFont="1" applyAlignment="1">
      <alignment horizontal="center"/>
    </xf>
    <xf numFmtId="0" fontId="1" fillId="0" borderId="0" xfId="0" applyFont="1"/>
    <xf numFmtId="10" fontId="0" fillId="0" borderId="0" xfId="0" applyNumberFormat="1"/>
    <xf numFmtId="0" fontId="1" fillId="2" borderId="0" xfId="0" applyFont="1" applyFill="1"/>
    <xf numFmtId="0" fontId="0" fillId="2" borderId="0" xfId="0" applyFill="1"/>
    <xf numFmtId="0" fontId="2" fillId="2" borderId="0" xfId="0" applyFont="1" applyFill="1"/>
    <xf numFmtId="0" fontId="4" fillId="0" borderId="0" xfId="0" applyFont="1"/>
    <xf numFmtId="0" fontId="3" fillId="0" borderId="0" xfId="0" applyFont="1" applyAlignment="1">
      <alignment horizontal="center" vertical="center"/>
    </xf>
    <xf numFmtId="0" fontId="4" fillId="4" borderId="1" xfId="0" applyFont="1" applyFill="1" applyBorder="1"/>
    <xf numFmtId="0" fontId="4" fillId="4" borderId="1" xfId="0" applyFont="1" applyFill="1" applyBorder="1" applyAlignment="1">
      <alignment wrapText="1"/>
    </xf>
    <xf numFmtId="0" fontId="3" fillId="4" borderId="1" xfId="0" applyFont="1" applyFill="1" applyBorder="1" applyAlignment="1">
      <alignment horizontal="center" vertical="center"/>
    </xf>
    <xf numFmtId="0" fontId="5" fillId="0" borderId="0" xfId="0" applyFont="1"/>
    <xf numFmtId="0" fontId="6" fillId="0" borderId="0" xfId="0" applyFont="1"/>
    <xf numFmtId="0" fontId="7" fillId="0" borderId="0" xfId="0" applyFont="1"/>
    <xf numFmtId="0" fontId="5" fillId="3" borderId="1" xfId="0" applyFont="1" applyFill="1" applyBorder="1"/>
    <xf numFmtId="0" fontId="5" fillId="5" borderId="1" xfId="0" applyFont="1" applyFill="1" applyBorder="1" applyAlignment="1">
      <alignment horizontal="left"/>
    </xf>
    <xf numFmtId="9" fontId="5" fillId="5" borderId="1" xfId="0" applyNumberFormat="1" applyFont="1" applyFill="1" applyBorder="1"/>
    <xf numFmtId="9" fontId="5" fillId="3" borderId="1" xfId="0" applyNumberFormat="1" applyFont="1" applyFill="1" applyBorder="1"/>
    <xf numFmtId="0" fontId="5" fillId="3" borderId="1" xfId="0" applyFont="1" applyFill="1" applyBorder="1" applyAlignment="1">
      <alignment wrapText="1"/>
    </xf>
    <xf numFmtId="0" fontId="0" fillId="6" borderId="1" xfId="0" applyFill="1" applyBorder="1" applyAlignment="1">
      <alignment horizontal="left"/>
    </xf>
    <xf numFmtId="9" fontId="0" fillId="6" borderId="1" xfId="0" applyNumberFormat="1" applyFill="1" applyBorder="1"/>
    <xf numFmtId="0" fontId="0" fillId="3" borderId="1" xfId="0" applyFill="1" applyBorder="1" applyAlignment="1">
      <alignment horizontal="left"/>
    </xf>
    <xf numFmtId="0" fontId="0" fillId="3" borderId="1" xfId="0" applyFill="1" applyBorder="1"/>
    <xf numFmtId="0" fontId="5" fillId="3" borderId="1" xfId="0" applyFont="1" applyFill="1" applyBorder="1" applyAlignment="1">
      <alignment horizontal="left"/>
    </xf>
    <xf numFmtId="9" fontId="5" fillId="5" borderId="1" xfId="0" applyNumberFormat="1" applyFont="1" applyFill="1" applyBorder="1" applyAlignment="1">
      <alignment wrapText="1"/>
    </xf>
    <xf numFmtId="0" fontId="6" fillId="3" borderId="1" xfId="0" applyFont="1" applyFill="1" applyBorder="1"/>
    <xf numFmtId="0" fontId="6" fillId="3" borderId="1" xfId="0" applyFont="1" applyFill="1" applyBorder="1" applyAlignment="1">
      <alignment horizontal="left"/>
    </xf>
    <xf numFmtId="0" fontId="6" fillId="5" borderId="1" xfId="0" applyFont="1" applyFill="1" applyBorder="1" applyAlignment="1">
      <alignment horizontal="left"/>
    </xf>
    <xf numFmtId="0" fontId="6" fillId="5" borderId="1" xfId="0" applyFont="1" applyFill="1" applyBorder="1"/>
    <xf numFmtId="9" fontId="6" fillId="5" borderId="1" xfId="0" applyNumberFormat="1" applyFont="1" applyFill="1" applyBorder="1"/>
    <xf numFmtId="9" fontId="6" fillId="3" borderId="1" xfId="0" applyNumberFormat="1" applyFont="1" applyFill="1" applyBorder="1"/>
    <xf numFmtId="0" fontId="3" fillId="3" borderId="1" xfId="0" applyFont="1" applyFill="1" applyBorder="1" applyAlignment="1">
      <alignment horizontal="center" vertical="center"/>
    </xf>
    <xf numFmtId="10" fontId="3" fillId="3" borderId="1" xfId="0" applyNumberFormat="1" applyFont="1" applyFill="1" applyBorder="1" applyAlignment="1">
      <alignment horizontal="center" vertical="center"/>
    </xf>
    <xf numFmtId="0" fontId="0" fillId="3" borderId="1" xfId="0" applyNumberFormat="1" applyFill="1" applyBorder="1"/>
    <xf numFmtId="10" fontId="4" fillId="4" borderId="1" xfId="0" applyNumberFormat="1" applyFont="1" applyFill="1" applyBorder="1" applyAlignment="1"/>
    <xf numFmtId="0" fontId="4" fillId="4" borderId="1" xfId="0" applyFont="1" applyFill="1" applyBorder="1" applyAlignment="1"/>
    <xf numFmtId="0" fontId="0" fillId="0" borderId="0" xfId="0" applyBorder="1"/>
    <xf numFmtId="0" fontId="1" fillId="2" borderId="0" xfId="0" applyFont="1" applyFill="1" applyBorder="1"/>
    <xf numFmtId="0" fontId="0" fillId="2" borderId="0" xfId="0" applyFill="1" applyBorder="1"/>
    <xf numFmtId="0" fontId="2" fillId="2" borderId="0" xfId="0" applyFont="1" applyFill="1" applyBorder="1"/>
    <xf numFmtId="0" fontId="5" fillId="5" borderId="1" xfId="0" applyNumberFormat="1" applyFont="1" applyFill="1" applyBorder="1"/>
    <xf numFmtId="0" fontId="5" fillId="3" borderId="1" xfId="0" applyNumberFormat="1" applyFont="1" applyFill="1" applyBorder="1" applyAlignment="1">
      <alignment wrapText="1"/>
    </xf>
    <xf numFmtId="0" fontId="5" fillId="3" borderId="1" xfId="0" applyNumberFormat="1" applyFont="1" applyFill="1" applyBorder="1"/>
    <xf numFmtId="0" fontId="6" fillId="5" borderId="1" xfId="0" applyNumberFormat="1" applyFont="1" applyFill="1" applyBorder="1"/>
    <xf numFmtId="0" fontId="6" fillId="3" borderId="1" xfId="0" applyNumberFormat="1" applyFont="1" applyFill="1" applyBorder="1"/>
    <xf numFmtId="0" fontId="8" fillId="2" borderId="0" xfId="0" applyFont="1" applyFill="1"/>
    <xf numFmtId="0" fontId="9" fillId="2" borderId="0" xfId="0" applyFont="1" applyFill="1"/>
  </cellXfs>
  <cellStyles count="1">
    <cellStyle name="Normal" xfId="0" builtinId="0"/>
  </cellStyles>
  <dxfs count="5424">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numFmt numFmtId="13" formatCode="0%"/>
    </dxf>
    <dxf>
      <numFmt numFmtId="13" formatCode="0%"/>
    </dxf>
    <dxf>
      <fill>
        <patternFill>
          <bgColor theme="4" tint="0.79998168889431442"/>
        </patternFill>
      </fill>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numFmt numFmtId="13" formatCode="0%"/>
    </dxf>
    <dxf>
      <numFmt numFmtId="13" formatCode="0%"/>
    </dxf>
    <dxf>
      <fill>
        <patternFill>
          <bgColor theme="4" tint="0.79998168889431442"/>
        </patternFill>
      </fill>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numFmt numFmtId="13" formatCode="0%"/>
    </dxf>
    <dxf>
      <numFmt numFmtId="13" formatCode="0%"/>
    </dxf>
    <dxf>
      <fill>
        <patternFill>
          <bgColor theme="4" tint="0.79998168889431442"/>
        </patternFill>
      </fill>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numFmt numFmtId="13" formatCode="0%"/>
    </dxf>
    <dxf>
      <numFmt numFmtId="13" formatCode="0%"/>
    </dxf>
    <dxf>
      <fill>
        <patternFill>
          <bgColor theme="4" tint="0.79998168889431442"/>
        </patternFill>
      </fill>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numFmt numFmtId="13" formatCode="0%"/>
    </dxf>
    <dxf>
      <numFmt numFmtId="13" formatCode="0%"/>
    </dxf>
    <dxf>
      <fill>
        <patternFill>
          <bgColor theme="4" tint="0.79998168889431442"/>
        </patternFill>
      </fill>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numFmt numFmtId="13" formatCode="0%"/>
    </dxf>
    <dxf>
      <numFmt numFmtId="13" formatCode="0%"/>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b/>
      </font>
    </dxf>
    <dxf>
      <font>
        <b/>
      </font>
    </dxf>
    <dxf>
      <font>
        <b/>
      </font>
    </dxf>
    <dxf>
      <font>
        <b/>
      </font>
    </dxf>
    <dxf>
      <font>
        <b/>
      </font>
    </dxf>
    <dxf>
      <font>
        <b/>
      </font>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numFmt numFmtId="13" formatCode="0%"/>
    </dxf>
    <dxf>
      <numFmt numFmtId="13" formatCode="0%"/>
    </dxf>
    <dxf>
      <numFmt numFmtId="13" formatCode="0%"/>
    </dxf>
    <dxf>
      <numFmt numFmtId="13" formatCode="0%"/>
    </dxf>
    <dxf>
      <numFmt numFmtId="13" formatCode="0%"/>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ont>
        <b/>
        <sz val="16"/>
      </font>
      <fill>
        <patternFill patternType="solid">
          <fgColor indexed="64"/>
          <bgColor theme="4"/>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ill>
        <patternFill>
          <bgColor theme="4" tint="0.79998168889431442"/>
        </patternFill>
      </fill>
    </dxf>
    <dxf>
      <fill>
        <patternFill>
          <bgColor theme="4" tint="0.79998168889431442"/>
        </patternFill>
      </fill>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6"/>
      </font>
    </dxf>
    <dxf>
      <font>
        <sz val="16"/>
      </font>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numFmt numFmtId="13" formatCode="0%"/>
    </dxf>
    <dxf>
      <numFmt numFmtId="13" formatCode="0%"/>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patternFill>
      </fill>
    </dxf>
    <dxf>
      <fill>
        <patternFill patternType="solid">
          <bgColor theme="4"/>
        </patternFill>
      </fill>
    </dxf>
    <dxf>
      <fill>
        <patternFill patternType="solid">
          <bgColor theme="3" tint="0.79998168889431442"/>
        </patternFill>
      </fill>
    </dxf>
    <dxf>
      <fill>
        <patternFill patternType="solid">
          <bgColor theme="4"/>
        </patternFill>
      </fill>
    </dxf>
    <dxf>
      <fill>
        <patternFill patternType="solid">
          <bgColor theme="4"/>
        </patternFill>
      </fill>
    </dxf>
    <dxf>
      <font>
        <sz val="16"/>
      </font>
    </dxf>
    <dxf>
      <font>
        <sz val="16"/>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font>
        <sz val="16"/>
      </font>
      <fill>
        <patternFill patternType="solid">
          <fgColor indexed="64"/>
          <bgColor theme="4"/>
        </patternFill>
      </fill>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numFmt numFmtId="13" formatCode="0%"/>
    </dxf>
    <dxf>
      <numFmt numFmtId="13" formatCode="0%"/>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ont>
        <sz val="16"/>
      </font>
    </dxf>
    <dxf>
      <font>
        <sz val="16"/>
      </font>
    </dxf>
    <dxf>
      <font>
        <sz val="16"/>
      </font>
    </dxf>
    <dxf>
      <font>
        <sz val="16"/>
      </font>
    </dxf>
    <dxf>
      <font>
        <sz val="16"/>
      </font>
    </dxf>
    <dxf>
      <font>
        <sz val="16"/>
      </font>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[Bank_Churn_Dashboard_Data.xlsx]Pivots!PivotTable1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Actual Churn Breakdown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Pivots!$B$11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728-7440-A876-46EA31A5F9A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728-7440-A876-46EA31A5F9A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Pivots!$A$12:$A$14</c:f>
              <c:strCache>
                <c:ptCount val="2"/>
                <c:pt idx="0">
                  <c:v>No</c:v>
                </c:pt>
                <c:pt idx="1">
                  <c:v>Yes</c:v>
                </c:pt>
              </c:strCache>
            </c:strRef>
          </c:cat>
          <c:val>
            <c:numRef>
              <c:f>Pivots!$B$12:$B$14</c:f>
              <c:numCache>
                <c:formatCode>General</c:formatCode>
                <c:ptCount val="2"/>
                <c:pt idx="0">
                  <c:v>1592</c:v>
                </c:pt>
                <c:pt idx="1">
                  <c:v>403</c:v>
                </c:pt>
              </c:numCache>
            </c:numRef>
          </c:val>
          <c:extLst>
            <c:ext xmlns:c16="http://schemas.microsoft.com/office/drawing/2014/chart" uri="{C3380CC4-5D6E-409C-BE32-E72D297353CC}">
              <c16:uniqueId val="{00000004-9728-7440-A876-46EA31A5F9A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[Bank_Churn_Dashboard_Data.xlsx]Pivots!PivotTable2</c:name>
    <c:fmtId val="5"/>
  </c:pivotSource>
  <c:chart>
    <c:title>
      <c:tx>
        <c:rich>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r>
              <a:rPr lang="en-US" sz="1000"/>
              <a:t>Churn</a:t>
            </a:r>
            <a:r>
              <a:rPr lang="en-US" sz="1000" baseline="0"/>
              <a:t> Rate By Country</a:t>
            </a:r>
            <a:endParaRPr lang="en-US" sz="1000"/>
          </a:p>
        </c:rich>
      </c:tx>
      <c:layout>
        <c:manualLayout>
          <c:xMode val="edge"/>
          <c:yMode val="edge"/>
          <c:x val="0.38131977730770911"/>
          <c:y val="1.2667356223013295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3672191291886"/>
          <c:y val="2.850139220589791E-2"/>
          <c:w val="0.70452978513770081"/>
          <c:h val="0.88816342758321987"/>
        </c:manualLayout>
      </c:layout>
      <c:barChart>
        <c:barDir val="col"/>
        <c:grouping val="clustered"/>
        <c:varyColors val="0"/>
        <c:ser>
          <c:idx val="0"/>
          <c:order val="0"/>
          <c:tx>
            <c:strRef>
              <c:f>Pivots!$E$11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Pivots!$D$12:$D$15</c:f>
              <c:strCache>
                <c:ptCount val="3"/>
                <c:pt idx="0">
                  <c:v>France</c:v>
                </c:pt>
                <c:pt idx="1">
                  <c:v>Germany</c:v>
                </c:pt>
                <c:pt idx="2">
                  <c:v>Spain</c:v>
                </c:pt>
              </c:strCache>
            </c:strRef>
          </c:cat>
          <c:val>
            <c:numRef>
              <c:f>Pivots!$E$12:$E$15</c:f>
              <c:numCache>
                <c:formatCode>0%</c:formatCode>
                <c:ptCount val="3"/>
                <c:pt idx="0">
                  <c:v>0.16132368148914167</c:v>
                </c:pt>
                <c:pt idx="1">
                  <c:v>0.31878557874762808</c:v>
                </c:pt>
                <c:pt idx="2">
                  <c:v>0.15768463073852296</c:v>
                </c:pt>
              </c:numCache>
            </c:numRef>
          </c:val>
          <c:extLst>
            <c:ext xmlns:c16="http://schemas.microsoft.com/office/drawing/2014/chart" uri="{C3380CC4-5D6E-409C-BE32-E72D297353CC}">
              <c16:uniqueId val="{00000000-E24F-CC4E-8202-FCD033939C77}"/>
            </c:ext>
          </c:extLst>
        </c:ser>
        <c:dLbls>
          <c:dLblPos val="inEnd"/>
          <c:showLegendKey val="0"/>
          <c:showVal val="1"/>
          <c:showCatName val="0"/>
          <c:showSerName val="0"/>
          <c:showPercent val="0"/>
          <c:showBubbleSize val="0"/>
        </c:dLbls>
        <c:gapWidth val="65"/>
        <c:axId val="2027748591"/>
        <c:axId val="2027750303"/>
      </c:barChart>
      <c:catAx>
        <c:axId val="20277485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7750303"/>
        <c:crosses val="autoZero"/>
        <c:auto val="1"/>
        <c:lblAlgn val="ctr"/>
        <c:lblOffset val="100"/>
        <c:noMultiLvlLbl val="0"/>
      </c:catAx>
      <c:valAx>
        <c:axId val="202775030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2774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[Bank_Churn_Dashboard_Data.xlsx]Pivots!PivotTable3</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Churn</a:t>
            </a:r>
            <a:r>
              <a:rPr lang="en-US" baseline="0"/>
              <a:t> Rate By Gender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Pivots!$H$12:$H$14</c:f>
              <c:strCache>
                <c:ptCount val="2"/>
                <c:pt idx="0">
                  <c:v>Female</c:v>
                </c:pt>
                <c:pt idx="1">
                  <c:v>Male</c:v>
                </c:pt>
              </c:strCache>
            </c:strRef>
          </c:cat>
          <c:val>
            <c:numRef>
              <c:f>Pivots!$I$12:$I$14</c:f>
              <c:numCache>
                <c:formatCode>0%</c:formatCode>
                <c:ptCount val="2"/>
                <c:pt idx="0">
                  <c:v>0.23573735199138859</c:v>
                </c:pt>
                <c:pt idx="1">
                  <c:v>0.17260787992495311</c:v>
                </c:pt>
              </c:numCache>
            </c:numRef>
          </c:val>
          <c:extLst>
            <c:ext xmlns:c16="http://schemas.microsoft.com/office/drawing/2014/chart" uri="{C3380CC4-5D6E-409C-BE32-E72D297353CC}">
              <c16:uniqueId val="{00000000-D4DC-5040-8279-3E03B14C5902}"/>
            </c:ext>
          </c:extLst>
        </c:ser>
        <c:dLbls>
          <c:dLblPos val="inEnd"/>
          <c:showLegendKey val="0"/>
          <c:showVal val="1"/>
          <c:showCatName val="0"/>
          <c:showSerName val="0"/>
          <c:showPercent val="0"/>
          <c:showBubbleSize val="0"/>
        </c:dLbls>
        <c:gapWidth val="65"/>
        <c:axId val="2073416239"/>
        <c:axId val="2073417951"/>
      </c:barChart>
      <c:catAx>
        <c:axId val="20734162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73417951"/>
        <c:crosses val="autoZero"/>
        <c:auto val="1"/>
        <c:lblAlgn val="ctr"/>
        <c:lblOffset val="100"/>
        <c:noMultiLvlLbl val="0"/>
      </c:catAx>
      <c:valAx>
        <c:axId val="207341795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7341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[Bank_Churn_Dashboard_Data.xlsx]Pivots!PivotTable8</c:name>
    <c:fmtId val="2"/>
  </c:pivotSource>
  <c:chart>
    <c:title>
      <c:tx>
        <c:rich>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r>
              <a:rPr lang="en-US" sz="1100"/>
              <a:t>Predicted</a:t>
            </a:r>
            <a:r>
              <a:rPr lang="en-US" sz="1100" baseline="0"/>
              <a:t> vs. Actual Churn Rate (By Balance)</a:t>
            </a:r>
            <a:endParaRPr lang="en-US" sz="1100"/>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Pivots!$B$40</c:f>
              <c:strCache>
                <c:ptCount val="1"/>
                <c:pt idx="0">
                  <c:v>Actual Churn Rate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Pivots!$A$41:$A$46</c:f>
              <c:strCache>
                <c:ptCount val="5"/>
                <c:pt idx="0">
                  <c:v>Zero Balance</c:v>
                </c:pt>
                <c:pt idx="1">
                  <c:v>Low Balance</c:v>
                </c:pt>
                <c:pt idx="2">
                  <c:v>Medium Balance</c:v>
                </c:pt>
                <c:pt idx="3">
                  <c:v>High Balance</c:v>
                </c:pt>
                <c:pt idx="4">
                  <c:v>Very High Balance</c:v>
                </c:pt>
              </c:strCache>
            </c:strRef>
          </c:cat>
          <c:val>
            <c:numRef>
              <c:f>Pivots!$B$41:$B$46</c:f>
              <c:numCache>
                <c:formatCode>0%</c:formatCode>
                <c:ptCount val="5"/>
                <c:pt idx="0">
                  <c:v>0.13717421124828533</c:v>
                </c:pt>
                <c:pt idx="1">
                  <c:v>0.4</c:v>
                </c:pt>
                <c:pt idx="2">
                  <c:v>0.19736842105263158</c:v>
                </c:pt>
                <c:pt idx="3">
                  <c:v>0.2486910994764398</c:v>
                </c:pt>
                <c:pt idx="4">
                  <c:v>0.25683060109289618</c:v>
                </c:pt>
              </c:numCache>
            </c:numRef>
          </c:val>
          <c:extLst>
            <c:ext xmlns:c16="http://schemas.microsoft.com/office/drawing/2014/chart" uri="{C3380CC4-5D6E-409C-BE32-E72D297353CC}">
              <c16:uniqueId val="{00000000-CB34-CB43-9F73-89FAB60E7585}"/>
            </c:ext>
          </c:extLst>
        </c:ser>
        <c:ser>
          <c:idx val="1"/>
          <c:order val="1"/>
          <c:tx>
            <c:strRef>
              <c:f>Pivots!$C$40</c:f>
              <c:strCache>
                <c:ptCount val="1"/>
                <c:pt idx="0">
                  <c:v>Average Predicted Churn Probability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Pivots!$A$41:$A$46</c:f>
              <c:strCache>
                <c:ptCount val="5"/>
                <c:pt idx="0">
                  <c:v>Zero Balance</c:v>
                </c:pt>
                <c:pt idx="1">
                  <c:v>Low Balance</c:v>
                </c:pt>
                <c:pt idx="2">
                  <c:v>Medium Balance</c:v>
                </c:pt>
                <c:pt idx="3">
                  <c:v>High Balance</c:v>
                </c:pt>
                <c:pt idx="4">
                  <c:v>Very High Balance</c:v>
                </c:pt>
              </c:strCache>
            </c:strRef>
          </c:cat>
          <c:val>
            <c:numRef>
              <c:f>Pivots!$C$41:$C$46</c:f>
              <c:numCache>
                <c:formatCode>0%</c:formatCode>
                <c:ptCount val="5"/>
                <c:pt idx="0">
                  <c:v>0.1403951933099335</c:v>
                </c:pt>
                <c:pt idx="1">
                  <c:v>0.2201382189484736</c:v>
                </c:pt>
                <c:pt idx="2">
                  <c:v>0.22481163036139398</c:v>
                </c:pt>
                <c:pt idx="3">
                  <c:v>0.25299673138527423</c:v>
                </c:pt>
                <c:pt idx="4">
                  <c:v>0.2434776735816036</c:v>
                </c:pt>
              </c:numCache>
            </c:numRef>
          </c:val>
          <c:extLst>
            <c:ext xmlns:c16="http://schemas.microsoft.com/office/drawing/2014/chart" uri="{C3380CC4-5D6E-409C-BE32-E72D297353CC}">
              <c16:uniqueId val="{00000001-CB34-CB43-9F73-89FAB60E7585}"/>
            </c:ext>
          </c:extLst>
        </c:ser>
        <c:dLbls>
          <c:dLblPos val="inEnd"/>
          <c:showLegendKey val="0"/>
          <c:showVal val="1"/>
          <c:showCatName val="0"/>
          <c:showSerName val="0"/>
          <c:showPercent val="0"/>
          <c:showBubbleSize val="0"/>
        </c:dLbls>
        <c:gapWidth val="65"/>
        <c:axId val="383226032"/>
        <c:axId val="382909024"/>
      </c:barChart>
      <c:catAx>
        <c:axId val="383226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2909024"/>
        <c:crosses val="autoZero"/>
        <c:auto val="1"/>
        <c:lblAlgn val="ctr"/>
        <c:lblOffset val="100"/>
        <c:noMultiLvlLbl val="0"/>
      </c:catAx>
      <c:valAx>
        <c:axId val="38290902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32260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[Bank_Churn_Dashboard_Data.xlsx]Pivots!PivotTable4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Actual</a:t>
            </a:r>
            <a:r>
              <a:rPr lang="en-US" baseline="0"/>
              <a:t> Vs. Predicted Churn Rate (By Age)</a:t>
            </a:r>
            <a:endParaRPr lang="en-US"/>
          </a:p>
        </c:rich>
      </c:tx>
      <c:layout>
        <c:manualLayout>
          <c:xMode val="edge"/>
          <c:yMode val="edge"/>
          <c:x val="0.16767834778392052"/>
          <c:y val="1.710709580781861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Pivots!$B$20</c:f>
              <c:strCache>
                <c:ptCount val="1"/>
                <c:pt idx="0">
                  <c:v>Actual Churn Rate</c:v>
                </c:pt>
              </c:strCache>
            </c:strRef>
          </c:tx>
          <c:spPr>
            <a:ln w="31750" cap="rnd">
              <a:solidFill>
                <a:schemeClr val="accent1">
                  <a:alpha val="8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Pivots!$A$21:$A$26</c:f>
              <c:strCache>
                <c:ptCount val="5"/>
                <c:pt idx="0">
                  <c:v>18-30</c:v>
                </c:pt>
                <c:pt idx="1">
                  <c:v>31-40</c:v>
                </c:pt>
                <c:pt idx="2">
                  <c:v>41-50</c:v>
                </c:pt>
                <c:pt idx="3">
                  <c:v>51-60</c:v>
                </c:pt>
                <c:pt idx="4">
                  <c:v>60+</c:v>
                </c:pt>
              </c:strCache>
            </c:strRef>
          </c:cat>
          <c:val>
            <c:numRef>
              <c:f>Pivots!$B$21:$B$26</c:f>
              <c:numCache>
                <c:formatCode>0%</c:formatCode>
                <c:ptCount val="5"/>
                <c:pt idx="0">
                  <c:v>9.1080961977475908E-2</c:v>
                </c:pt>
                <c:pt idx="1">
                  <c:v>0.1523030374800961</c:v>
                </c:pt>
                <c:pt idx="2">
                  <c:v>0.27177578512352901</c:v>
                </c:pt>
                <c:pt idx="3">
                  <c:v>0.38856138361369308</c:v>
                </c:pt>
                <c:pt idx="4">
                  <c:v>0.55593687314542195</c:v>
                </c:pt>
              </c:numCache>
            </c:numRef>
          </c:val>
          <c:smooth val="0"/>
          <c:extLst>
            <c:ext xmlns:c16="http://schemas.microsoft.com/office/drawing/2014/chart" uri="{C3380CC4-5D6E-409C-BE32-E72D297353CC}">
              <c16:uniqueId val="{00000000-F496-CB4A-9704-393BF020523D}"/>
            </c:ext>
          </c:extLst>
        </c:ser>
        <c:ser>
          <c:idx val="1"/>
          <c:order val="1"/>
          <c:tx>
            <c:strRef>
              <c:f>Pivots!$C$20</c:f>
              <c:strCache>
                <c:ptCount val="1"/>
                <c:pt idx="0">
                  <c:v>Average Predicted Churn Probability</c:v>
                </c:pt>
              </c:strCache>
            </c:strRef>
          </c:tx>
          <c:spPr>
            <a:ln w="31750" cap="rnd">
              <a:solidFill>
                <a:schemeClr val="accent2">
                  <a:alpha val="8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Pivots!$A$21:$A$26</c:f>
              <c:strCache>
                <c:ptCount val="5"/>
                <c:pt idx="0">
                  <c:v>18-30</c:v>
                </c:pt>
                <c:pt idx="1">
                  <c:v>31-40</c:v>
                </c:pt>
                <c:pt idx="2">
                  <c:v>41-50</c:v>
                </c:pt>
                <c:pt idx="3">
                  <c:v>51-60</c:v>
                </c:pt>
                <c:pt idx="4">
                  <c:v>60+</c:v>
                </c:pt>
              </c:strCache>
            </c:strRef>
          </c:cat>
          <c:val>
            <c:numRef>
              <c:f>Pivots!$C$21:$C$26</c:f>
              <c:numCache>
                <c:formatCode>0%</c:formatCode>
                <c:ptCount val="5"/>
                <c:pt idx="0">
                  <c:v>8.3756345177664976E-2</c:v>
                </c:pt>
                <c:pt idx="1">
                  <c:v>0.1095890410958904</c:v>
                </c:pt>
                <c:pt idx="2">
                  <c:v>0.35095137420718814</c:v>
                </c:pt>
                <c:pt idx="3">
                  <c:v>0.53846153846153844</c:v>
                </c:pt>
                <c:pt idx="4">
                  <c:v>0.25</c:v>
                </c:pt>
              </c:numCache>
            </c:numRef>
          </c:val>
          <c:smooth val="0"/>
          <c:extLst>
            <c:ext xmlns:c16="http://schemas.microsoft.com/office/drawing/2014/chart" uri="{C3380CC4-5D6E-409C-BE32-E72D297353CC}">
              <c16:uniqueId val="{00000001-F496-CB4A-9704-393BF020523D}"/>
            </c:ext>
          </c:extLst>
        </c:ser>
        <c:dLbls>
          <c:showLegendKey val="0"/>
          <c:showVal val="1"/>
          <c:showCatName val="0"/>
          <c:showSerName val="0"/>
          <c:showPercent val="0"/>
          <c:showBubbleSize val="0"/>
        </c:dLbls>
        <c:smooth val="0"/>
        <c:axId val="2073986527"/>
        <c:axId val="2073988239"/>
      </c:lineChart>
      <c:catAx>
        <c:axId val="20739865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73988239"/>
        <c:crosses val="autoZero"/>
        <c:auto val="1"/>
        <c:lblAlgn val="ctr"/>
        <c:lblOffset val="100"/>
        <c:noMultiLvlLbl val="0"/>
      </c:catAx>
      <c:valAx>
        <c:axId val="207398823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739865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[Bank_Churn_Dashboard_Data.xlsx]Pivots!PivotTable5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Actual</a:t>
            </a:r>
            <a:r>
              <a:rPr lang="en-US" baseline="0"/>
              <a:t> Vs. Predicted Churn Rate (By Active Status)</a:t>
            </a:r>
            <a:endParaRPr lang="en-US"/>
          </a:p>
        </c:rich>
      </c:tx>
      <c:layout>
        <c:manualLayout>
          <c:xMode val="edge"/>
          <c:yMode val="edge"/>
          <c:x val="0.16767834778392052"/>
          <c:y val="1.710709580781861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Pivots!$G$20</c:f>
              <c:strCache>
                <c:ptCount val="1"/>
                <c:pt idx="0">
                  <c:v>Actual Churn Rate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Pivots!$F$21:$F$23</c:f>
              <c:strCache>
                <c:ptCount val="2"/>
                <c:pt idx="0">
                  <c:v>No</c:v>
                </c:pt>
                <c:pt idx="1">
                  <c:v>Yes</c:v>
                </c:pt>
              </c:strCache>
            </c:strRef>
          </c:cat>
          <c:val>
            <c:numRef>
              <c:f>Pivots!$G$21:$G$23</c:f>
              <c:numCache>
                <c:formatCode>0%</c:formatCode>
                <c:ptCount val="2"/>
                <c:pt idx="0">
                  <c:v>0.27004219409282698</c:v>
                </c:pt>
                <c:pt idx="1">
                  <c:v>0.14040114613180515</c:v>
                </c:pt>
              </c:numCache>
            </c:numRef>
          </c:val>
          <c:extLst>
            <c:ext xmlns:c16="http://schemas.microsoft.com/office/drawing/2014/chart" uri="{C3380CC4-5D6E-409C-BE32-E72D297353CC}">
              <c16:uniqueId val="{00000003-8F17-D740-98D4-0315C33053BE}"/>
            </c:ext>
          </c:extLst>
        </c:ser>
        <c:ser>
          <c:idx val="1"/>
          <c:order val="1"/>
          <c:tx>
            <c:strRef>
              <c:f>Pivots!$H$20</c:f>
              <c:strCache>
                <c:ptCount val="1"/>
                <c:pt idx="0">
                  <c:v>Average Predicted Churn Probability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Pivots!$F$21:$F$23</c:f>
              <c:strCache>
                <c:ptCount val="2"/>
                <c:pt idx="0">
                  <c:v>No</c:v>
                </c:pt>
                <c:pt idx="1">
                  <c:v>Yes</c:v>
                </c:pt>
              </c:strCache>
            </c:strRef>
          </c:cat>
          <c:val>
            <c:numRef>
              <c:f>Pivots!$H$21:$H$23</c:f>
              <c:numCache>
                <c:formatCode>0%</c:formatCode>
                <c:ptCount val="2"/>
                <c:pt idx="0">
                  <c:v>0.27780163629840848</c:v>
                </c:pt>
                <c:pt idx="1">
                  <c:v>0.14181745049658476</c:v>
                </c:pt>
              </c:numCache>
            </c:numRef>
          </c:val>
          <c:extLst>
            <c:ext xmlns:c16="http://schemas.microsoft.com/office/drawing/2014/chart" uri="{C3380CC4-5D6E-409C-BE32-E72D297353CC}">
              <c16:uniqueId val="{00000005-8F17-D740-98D4-0315C33053BE}"/>
            </c:ext>
          </c:extLst>
        </c:ser>
        <c:dLbls>
          <c:dLblPos val="inEnd"/>
          <c:showLegendKey val="0"/>
          <c:showVal val="1"/>
          <c:showCatName val="0"/>
          <c:showSerName val="0"/>
          <c:showPercent val="0"/>
          <c:showBubbleSize val="0"/>
        </c:dLbls>
        <c:gapWidth val="65"/>
        <c:axId val="2073986527"/>
        <c:axId val="2073988239"/>
      </c:barChart>
      <c:catAx>
        <c:axId val="20739865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73988239"/>
        <c:crosses val="autoZero"/>
        <c:auto val="1"/>
        <c:lblAlgn val="ctr"/>
        <c:lblOffset val="100"/>
        <c:noMultiLvlLbl val="0"/>
      </c:catAx>
      <c:valAx>
        <c:axId val="207398823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739865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12700</xdr:colOff>
      <xdr:row>6</xdr:row>
      <xdr:rowOff>12700</xdr:rowOff>
    </xdr:from>
    <xdr:to>
      <xdr:col>2</xdr:col>
      <xdr:colOff>2710366</xdr:colOff>
      <xdr:row>16</xdr:row>
      <xdr:rowOff>165100</xdr:rowOff>
    </xdr:to>
    <xdr:graphicFrame macro="">
      <xdr:nvGraphicFramePr>
        <xdr:cNvPr id="2" name="Chart 1">
          <a:extLst>
            <a:ext uri="{FF2B5EF4-FFF2-40B4-BE49-F238E27FC236}">
              <a16:creationId xmlns:a16="http://schemas.microsoft.com/office/drawing/2014/main" id="{49027A05-061F-3248-9A03-FEA31825A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270933</xdr:colOff>
      <xdr:row>6</xdr:row>
      <xdr:rowOff>9914</xdr:rowOff>
    </xdr:from>
    <xdr:to>
      <xdr:col>5</xdr:col>
      <xdr:colOff>2218267</xdr:colOff>
      <xdr:row>16</xdr:row>
      <xdr:rowOff>152401</xdr:rowOff>
    </xdr:to>
    <xdr:graphicFrame macro="">
      <xdr:nvGraphicFramePr>
        <xdr:cNvPr id="3" name="Chart 2">
          <a:extLst>
            <a:ext uri="{FF2B5EF4-FFF2-40B4-BE49-F238E27FC236}">
              <a16:creationId xmlns:a16="http://schemas.microsoft.com/office/drawing/2014/main" id="{37135ACF-A638-9A48-AB22-A7051D8D9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319667</xdr:colOff>
      <xdr:row>6</xdr:row>
      <xdr:rowOff>15488</xdr:rowOff>
    </xdr:from>
    <xdr:to>
      <xdr:col>9</xdr:col>
      <xdr:colOff>635310</xdr:colOff>
      <xdr:row>17</xdr:row>
      <xdr:rowOff>7434</xdr:rowOff>
    </xdr:to>
    <xdr:graphicFrame macro="">
      <xdr:nvGraphicFramePr>
        <xdr:cNvPr id="5" name="Chart 4">
          <a:extLst>
            <a:ext uri="{FF2B5EF4-FFF2-40B4-BE49-F238E27FC236}">
              <a16:creationId xmlns:a16="http://schemas.microsoft.com/office/drawing/2014/main" id="{2953D2BE-6760-FD45-8974-255A9C8DE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21</xdr:row>
      <xdr:rowOff>12701</xdr:rowOff>
    </xdr:from>
    <xdr:to>
      <xdr:col>2</xdr:col>
      <xdr:colOff>2478049</xdr:colOff>
      <xdr:row>33</xdr:row>
      <xdr:rowOff>12700</xdr:rowOff>
    </xdr:to>
    <xdr:graphicFrame macro="">
      <xdr:nvGraphicFramePr>
        <xdr:cNvPr id="6" name="Chart 5">
          <a:extLst>
            <a:ext uri="{FF2B5EF4-FFF2-40B4-BE49-F238E27FC236}">
              <a16:creationId xmlns:a16="http://schemas.microsoft.com/office/drawing/2014/main" id="{5992D92E-DBF0-684D-ADED-316AADE81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247806</xdr:colOff>
      <xdr:row>21</xdr:row>
      <xdr:rowOff>15489</xdr:rowOff>
    </xdr:from>
    <xdr:to>
      <xdr:col>6</xdr:col>
      <xdr:colOff>813419</xdr:colOff>
      <xdr:row>33</xdr:row>
      <xdr:rowOff>7435</xdr:rowOff>
    </xdr:to>
    <xdr:graphicFrame macro="">
      <xdr:nvGraphicFramePr>
        <xdr:cNvPr id="4" name="Chart 3">
          <a:extLst>
            <a:ext uri="{FF2B5EF4-FFF2-40B4-BE49-F238E27FC236}">
              <a16:creationId xmlns:a16="http://schemas.microsoft.com/office/drawing/2014/main" id="{54E2370D-7284-D74D-918A-DB9FDED76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609601</xdr:colOff>
      <xdr:row>21</xdr:row>
      <xdr:rowOff>33867</xdr:rowOff>
    </xdr:from>
    <xdr:to>
      <xdr:col>10</xdr:col>
      <xdr:colOff>423333</xdr:colOff>
      <xdr:row>32</xdr:row>
      <xdr:rowOff>135467</xdr:rowOff>
    </xdr:to>
    <xdr:graphicFrame macro="">
      <xdr:nvGraphicFramePr>
        <xdr:cNvPr id="7" name="Chart 6">
          <a:extLst>
            <a:ext uri="{FF2B5EF4-FFF2-40B4-BE49-F238E27FC236}">
              <a16:creationId xmlns:a16="http://schemas.microsoft.com/office/drawing/2014/main" id="{71396E25-A46B-D147-BF3F-37784287F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663433</xdr:colOff>
      <xdr:row>2</xdr:row>
      <xdr:rowOff>18955</xdr:rowOff>
    </xdr:from>
    <xdr:to>
      <xdr:col>13</xdr:col>
      <xdr:colOff>464024</xdr:colOff>
      <xdr:row>11</xdr:row>
      <xdr:rowOff>116332</xdr:rowOff>
    </xdr:to>
    <mc:AlternateContent xmlns:mc="http://schemas.openxmlformats.org/markup-compatibility/2006">
      <mc:Choice xmlns:a14="http://schemas.microsoft.com/office/drawing/2010/main" Requires="a14">
        <xdr:graphicFrame macro="">
          <xdr:nvGraphicFramePr>
            <xdr:cNvPr id="8" name="country 1">
              <a:extLst>
                <a:ext uri="{FF2B5EF4-FFF2-40B4-BE49-F238E27FC236}">
                  <a16:creationId xmlns:a16="http://schemas.microsoft.com/office/drawing/2014/main" id="{F76E9A58-085A-DB41-8D4E-E94119DD10F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9865833" y="1009555"/>
              <a:ext cx="1832591" cy="2535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777164</xdr:colOff>
      <xdr:row>2</xdr:row>
      <xdr:rowOff>-1</xdr:rowOff>
    </xdr:from>
    <xdr:to>
      <xdr:col>16</xdr:col>
      <xdr:colOff>103875</xdr:colOff>
      <xdr:row>11</xdr:row>
      <xdr:rowOff>97376</xdr:rowOff>
    </xdr:to>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39F3886F-E521-6443-B71C-7251064E4F4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2011564" y="990599"/>
              <a:ext cx="1841311" cy="2535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682388</xdr:colOff>
      <xdr:row>13</xdr:row>
      <xdr:rowOff>0</xdr:rowOff>
    </xdr:from>
    <xdr:to>
      <xdr:col>13</xdr:col>
      <xdr:colOff>482979</xdr:colOff>
      <xdr:row>25</xdr:row>
      <xdr:rowOff>154242</xdr:rowOff>
    </xdr:to>
    <mc:AlternateContent xmlns:mc="http://schemas.openxmlformats.org/markup-compatibility/2006">
      <mc:Choice xmlns:a14="http://schemas.microsoft.com/office/drawing/2010/main" Requires="a14">
        <xdr:graphicFrame macro="">
          <xdr:nvGraphicFramePr>
            <xdr:cNvPr id="10" name="products_number">
              <a:extLst>
                <a:ext uri="{FF2B5EF4-FFF2-40B4-BE49-F238E27FC236}">
                  <a16:creationId xmlns:a16="http://schemas.microsoft.com/office/drawing/2014/main" id="{7B8BAD8C-B680-834E-8E9B-3E230425798D}"/>
                </a:ext>
              </a:extLst>
            </xdr:cNvPr>
            <xdr:cNvGraphicFramePr/>
          </xdr:nvGraphicFramePr>
          <xdr:xfrm>
            <a:off x="0" y="0"/>
            <a:ext cx="0" cy="0"/>
          </xdr:xfrm>
          <a:graphic>
            <a:graphicData uri="http://schemas.microsoft.com/office/drawing/2010/slicer">
              <sle:slicer xmlns:sle="http://schemas.microsoft.com/office/drawing/2010/slicer" name="products_number"/>
            </a:graphicData>
          </a:graphic>
        </xdr:graphicFrame>
      </mc:Choice>
      <mc:Fallback>
        <xdr:sp macro="" textlink="">
          <xdr:nvSpPr>
            <xdr:cNvPr id="0" name=""/>
            <xdr:cNvSpPr>
              <a:spLocks noTextEdit="1"/>
            </xdr:cNvSpPr>
          </xdr:nvSpPr>
          <xdr:spPr>
            <a:xfrm>
              <a:off x="19884788" y="3835400"/>
              <a:ext cx="1832591" cy="2592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796118</xdr:colOff>
      <xdr:row>13</xdr:row>
      <xdr:rowOff>37911</xdr:rowOff>
    </xdr:from>
    <xdr:to>
      <xdr:col>16</xdr:col>
      <xdr:colOff>113731</xdr:colOff>
      <xdr:row>25</xdr:row>
      <xdr:rowOff>18955</xdr:rowOff>
    </xdr:to>
    <mc:AlternateContent xmlns:mc="http://schemas.openxmlformats.org/markup-compatibility/2006">
      <mc:Choice xmlns:a14="http://schemas.microsoft.com/office/drawing/2010/main" Requires="a14">
        <xdr:graphicFrame macro="">
          <xdr:nvGraphicFramePr>
            <xdr:cNvPr id="11" name="active_member 1">
              <a:extLst>
                <a:ext uri="{FF2B5EF4-FFF2-40B4-BE49-F238E27FC236}">
                  <a16:creationId xmlns:a16="http://schemas.microsoft.com/office/drawing/2014/main" id="{5B07A1C1-E14C-B445-91D1-15E86BE30A75}"/>
                </a:ext>
              </a:extLst>
            </xdr:cNvPr>
            <xdr:cNvGraphicFramePr/>
          </xdr:nvGraphicFramePr>
          <xdr:xfrm>
            <a:off x="0" y="0"/>
            <a:ext cx="0" cy="0"/>
          </xdr:xfrm>
          <a:graphic>
            <a:graphicData uri="http://schemas.microsoft.com/office/drawing/2010/slicer">
              <sle:slicer xmlns:sle="http://schemas.microsoft.com/office/drawing/2010/slicer" name="active_member 1"/>
            </a:graphicData>
          </a:graphic>
        </xdr:graphicFrame>
      </mc:Choice>
      <mc:Fallback>
        <xdr:sp macro="" textlink="">
          <xdr:nvSpPr>
            <xdr:cNvPr id="0" name=""/>
            <xdr:cNvSpPr>
              <a:spLocks noTextEdit="1"/>
            </xdr:cNvSpPr>
          </xdr:nvSpPr>
          <xdr:spPr>
            <a:xfrm>
              <a:off x="22030518" y="3873311"/>
              <a:ext cx="1832213" cy="2419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682388</xdr:colOff>
      <xdr:row>27</xdr:row>
      <xdr:rowOff>0</xdr:rowOff>
    </xdr:from>
    <xdr:to>
      <xdr:col>13</xdr:col>
      <xdr:colOff>482979</xdr:colOff>
      <xdr:row>39</xdr:row>
      <xdr:rowOff>154242</xdr:rowOff>
    </xdr:to>
    <mc:AlternateContent xmlns:mc="http://schemas.openxmlformats.org/markup-compatibility/2006">
      <mc:Choice xmlns:a14="http://schemas.microsoft.com/office/drawing/2010/main" Requires="a14">
        <xdr:graphicFrame macro="">
          <xdr:nvGraphicFramePr>
            <xdr:cNvPr id="12" name="risk_category 1">
              <a:extLst>
                <a:ext uri="{FF2B5EF4-FFF2-40B4-BE49-F238E27FC236}">
                  <a16:creationId xmlns:a16="http://schemas.microsoft.com/office/drawing/2014/main" id="{BCE34CB5-4888-6646-A52A-2B7AAB35D071}"/>
                </a:ext>
              </a:extLst>
            </xdr:cNvPr>
            <xdr:cNvGraphicFramePr/>
          </xdr:nvGraphicFramePr>
          <xdr:xfrm>
            <a:off x="0" y="0"/>
            <a:ext cx="0" cy="0"/>
          </xdr:xfrm>
          <a:graphic>
            <a:graphicData uri="http://schemas.microsoft.com/office/drawing/2010/slicer">
              <sle:slicer xmlns:sle="http://schemas.microsoft.com/office/drawing/2010/slicer" name="risk_category 1"/>
            </a:graphicData>
          </a:graphic>
        </xdr:graphicFrame>
      </mc:Choice>
      <mc:Fallback>
        <xdr:sp macro="" textlink="">
          <xdr:nvSpPr>
            <xdr:cNvPr id="0" name=""/>
            <xdr:cNvSpPr>
              <a:spLocks noTextEdit="1"/>
            </xdr:cNvSpPr>
          </xdr:nvSpPr>
          <xdr:spPr>
            <a:xfrm>
              <a:off x="19884788" y="6680200"/>
              <a:ext cx="1832591" cy="2592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796118</xdr:colOff>
      <xdr:row>27</xdr:row>
      <xdr:rowOff>75820</xdr:rowOff>
    </xdr:from>
    <xdr:to>
      <xdr:col>16</xdr:col>
      <xdr:colOff>122829</xdr:colOff>
      <xdr:row>40</xdr:row>
      <xdr:rowOff>40510</xdr:rowOff>
    </xdr:to>
    <mc:AlternateContent xmlns:mc="http://schemas.openxmlformats.org/markup-compatibility/2006">
      <mc:Choice xmlns:a14="http://schemas.microsoft.com/office/drawing/2010/main" Requires="a14">
        <xdr:graphicFrame macro="">
          <xdr:nvGraphicFramePr>
            <xdr:cNvPr id="14" name="age_group 1">
              <a:extLst>
                <a:ext uri="{FF2B5EF4-FFF2-40B4-BE49-F238E27FC236}">
                  <a16:creationId xmlns:a16="http://schemas.microsoft.com/office/drawing/2014/main" id="{1A36464B-2BCA-9942-AE5C-1E8B35749C2C}"/>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22030518" y="6756020"/>
              <a:ext cx="1841311" cy="26062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38</xdr:row>
      <xdr:rowOff>0</xdr:rowOff>
    </xdr:from>
    <xdr:to>
      <xdr:col>1</xdr:col>
      <xdr:colOff>304800</xdr:colOff>
      <xdr:row>39</xdr:row>
      <xdr:rowOff>114300</xdr:rowOff>
    </xdr:to>
    <xdr:sp macro="" textlink="">
      <xdr:nvSpPr>
        <xdr:cNvPr id="1025" name="AutoShape 1">
          <a:extLst>
            <a:ext uri="{FF2B5EF4-FFF2-40B4-BE49-F238E27FC236}">
              <a16:creationId xmlns:a16="http://schemas.microsoft.com/office/drawing/2014/main" id="{C169F4BE-EE2E-592A-68D8-FA5B9F12E526}"/>
            </a:ext>
          </a:extLst>
        </xdr:cNvPr>
        <xdr:cNvSpPr>
          <a:spLocks noChangeAspect="1" noChangeArrowheads="1"/>
        </xdr:cNvSpPr>
      </xdr:nvSpPr>
      <xdr:spPr bwMode="auto">
        <a:xfrm>
          <a:off x="825500" y="847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xdr:row>
      <xdr:rowOff>0</xdr:rowOff>
    </xdr:from>
    <xdr:to>
      <xdr:col>1</xdr:col>
      <xdr:colOff>304800</xdr:colOff>
      <xdr:row>39</xdr:row>
      <xdr:rowOff>114300</xdr:rowOff>
    </xdr:to>
    <xdr:sp macro="" textlink="">
      <xdr:nvSpPr>
        <xdr:cNvPr id="1026" name="AutoShape 2">
          <a:extLst>
            <a:ext uri="{FF2B5EF4-FFF2-40B4-BE49-F238E27FC236}">
              <a16:creationId xmlns:a16="http://schemas.microsoft.com/office/drawing/2014/main" id="{79421EF0-2FF8-C403-5155-BAD68032B8A3}"/>
            </a:ext>
          </a:extLst>
        </xdr:cNvPr>
        <xdr:cNvSpPr>
          <a:spLocks noChangeAspect="1" noChangeArrowheads="1"/>
        </xdr:cNvSpPr>
      </xdr:nvSpPr>
      <xdr:spPr bwMode="auto">
        <a:xfrm>
          <a:off x="825500" y="847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36930</xdr:colOff>
      <xdr:row>46</xdr:row>
      <xdr:rowOff>16014</xdr:rowOff>
    </xdr:from>
    <xdr:to>
      <xdr:col>4</xdr:col>
      <xdr:colOff>582469</xdr:colOff>
      <xdr:row>65</xdr:row>
      <xdr:rowOff>65690</xdr:rowOff>
    </xdr:to>
    <xdr:pic>
      <xdr:nvPicPr>
        <xdr:cNvPr id="15" name="Picture 14">
          <a:extLst>
            <a:ext uri="{FF2B5EF4-FFF2-40B4-BE49-F238E27FC236}">
              <a16:creationId xmlns:a16="http://schemas.microsoft.com/office/drawing/2014/main" id="{CD7FF959-A28B-61BD-C391-34C7EA53975A}"/>
            </a:ext>
          </a:extLst>
        </xdr:cNvPr>
        <xdr:cNvPicPr>
          <a:picLocks noChangeAspect="1"/>
        </xdr:cNvPicPr>
      </xdr:nvPicPr>
      <xdr:blipFill>
        <a:blip xmlns:r="http://schemas.openxmlformats.org/officeDocument/2006/relationships" r:embed="rId7"/>
        <a:stretch>
          <a:fillRect/>
        </a:stretch>
      </xdr:blipFill>
      <xdr:spPr>
        <a:xfrm>
          <a:off x="868999" y="10876704"/>
          <a:ext cx="7793298" cy="3793986"/>
        </a:xfrm>
        <a:prstGeom prst="rect">
          <a:avLst/>
        </a:prstGeom>
      </xdr:spPr>
    </xdr:pic>
    <xdr:clientData/>
  </xdr:twoCellAnchor>
  <xdr:twoCellAnchor editAs="oneCell">
    <xdr:from>
      <xdr:col>5</xdr:col>
      <xdr:colOff>370488</xdr:colOff>
      <xdr:row>45</xdr:row>
      <xdr:rowOff>175172</xdr:rowOff>
    </xdr:from>
    <xdr:to>
      <xdr:col>10</xdr:col>
      <xdr:colOff>49827</xdr:colOff>
      <xdr:row>65</xdr:row>
      <xdr:rowOff>43793</xdr:rowOff>
    </xdr:to>
    <xdr:pic>
      <xdr:nvPicPr>
        <xdr:cNvPr id="16" name="Picture 15">
          <a:extLst>
            <a:ext uri="{FF2B5EF4-FFF2-40B4-BE49-F238E27FC236}">
              <a16:creationId xmlns:a16="http://schemas.microsoft.com/office/drawing/2014/main" id="{2247649F-B9AD-0C08-6277-E7B49CC8E18D}"/>
            </a:ext>
          </a:extLst>
        </xdr:cNvPr>
        <xdr:cNvPicPr>
          <a:picLocks noChangeAspect="1"/>
        </xdr:cNvPicPr>
      </xdr:nvPicPr>
      <xdr:blipFill>
        <a:blip xmlns:r="http://schemas.openxmlformats.org/officeDocument/2006/relationships" r:embed="rId8"/>
        <a:stretch>
          <a:fillRect/>
        </a:stretch>
      </xdr:blipFill>
      <xdr:spPr>
        <a:xfrm>
          <a:off x="9285888" y="11097172"/>
          <a:ext cx="8035939" cy="3932621"/>
        </a:xfrm>
        <a:prstGeom prst="rect">
          <a:avLst/>
        </a:prstGeom>
      </xdr:spPr>
    </xdr:pic>
    <xdr:clientData/>
  </xdr:twoCellAnchor>
  <xdr:twoCellAnchor editAs="oneCell">
    <xdr:from>
      <xdr:col>11</xdr:col>
      <xdr:colOff>0</xdr:colOff>
      <xdr:row>46</xdr:row>
      <xdr:rowOff>0</xdr:rowOff>
    </xdr:from>
    <xdr:to>
      <xdr:col>11</xdr:col>
      <xdr:colOff>304800</xdr:colOff>
      <xdr:row>47</xdr:row>
      <xdr:rowOff>114300</xdr:rowOff>
    </xdr:to>
    <xdr:sp macro="" textlink="">
      <xdr:nvSpPr>
        <xdr:cNvPr id="1028" name="AutoShape 4">
          <a:extLst>
            <a:ext uri="{FF2B5EF4-FFF2-40B4-BE49-F238E27FC236}">
              <a16:creationId xmlns:a16="http://schemas.microsoft.com/office/drawing/2014/main" id="{92B32478-678E-3572-8C1E-EC796C9DB6FD}"/>
            </a:ext>
          </a:extLst>
        </xdr:cNvPr>
        <xdr:cNvSpPr>
          <a:spLocks noChangeAspect="1" noChangeArrowheads="1"/>
        </xdr:cNvSpPr>
      </xdr:nvSpPr>
      <xdr:spPr bwMode="auto">
        <a:xfrm>
          <a:off x="18313400" y="1059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48</xdr:row>
      <xdr:rowOff>0</xdr:rowOff>
    </xdr:from>
    <xdr:to>
      <xdr:col>11</xdr:col>
      <xdr:colOff>304800</xdr:colOff>
      <xdr:row>49</xdr:row>
      <xdr:rowOff>114300</xdr:rowOff>
    </xdr:to>
    <xdr:sp macro="" textlink="">
      <xdr:nvSpPr>
        <xdr:cNvPr id="1029" name="AutoShape 5">
          <a:extLst>
            <a:ext uri="{FF2B5EF4-FFF2-40B4-BE49-F238E27FC236}">
              <a16:creationId xmlns:a16="http://schemas.microsoft.com/office/drawing/2014/main" id="{1E3D05C1-2FEF-9155-61B4-909FDA74B01F}"/>
            </a:ext>
          </a:extLst>
        </xdr:cNvPr>
        <xdr:cNvSpPr>
          <a:spLocks noChangeAspect="1" noChangeArrowheads="1"/>
        </xdr:cNvSpPr>
      </xdr:nvSpPr>
      <xdr:spPr bwMode="auto">
        <a:xfrm>
          <a:off x="18313400" y="1097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685799</xdr:colOff>
      <xdr:row>45</xdr:row>
      <xdr:rowOff>177800</xdr:rowOff>
    </xdr:from>
    <xdr:to>
      <xdr:col>16</xdr:col>
      <xdr:colOff>635000</xdr:colOff>
      <xdr:row>65</xdr:row>
      <xdr:rowOff>25400</xdr:rowOff>
    </xdr:to>
    <xdr:pic>
      <xdr:nvPicPr>
        <xdr:cNvPr id="17" name="Picture 16">
          <a:extLst>
            <a:ext uri="{FF2B5EF4-FFF2-40B4-BE49-F238E27FC236}">
              <a16:creationId xmlns:a16="http://schemas.microsoft.com/office/drawing/2014/main" id="{F9901768-79D3-1606-B707-CC48F93D31F2}"/>
            </a:ext>
          </a:extLst>
        </xdr:cNvPr>
        <xdr:cNvPicPr>
          <a:picLocks noChangeAspect="1"/>
        </xdr:cNvPicPr>
      </xdr:nvPicPr>
      <xdr:blipFill>
        <a:blip xmlns:r="http://schemas.openxmlformats.org/officeDocument/2006/relationships" r:embed="rId9"/>
        <a:stretch>
          <a:fillRect/>
        </a:stretch>
      </xdr:blipFill>
      <xdr:spPr>
        <a:xfrm>
          <a:off x="17957799" y="11099800"/>
          <a:ext cx="6426201" cy="3911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Araujo" refreshedDate="46154.999564351849" createdVersion="8" refreshedVersion="8" minRefreshableVersion="3" recordCount="2000" xr:uid="{99FBA797-372A-F041-8D31-18C80FE867DE}">
  <cacheSource type="worksheet">
    <worksheetSource name="tbl_churn"/>
  </cacheSource>
  <cacheFields count="21">
    <cacheField name="credit_score" numFmtId="0">
      <sharedItems containsSemiMixedTypes="0" containsString="0" containsNumber="1" containsInteger="1" minValue="386" maxValue="850"/>
    </cacheField>
    <cacheField name="country" numFmtId="0">
      <sharedItems count="3">
        <s v="Spain"/>
        <s v="Germany"/>
        <s v="France"/>
      </sharedItems>
    </cacheField>
    <cacheField name="gender" numFmtId="0">
      <sharedItems count="2">
        <s v="Male"/>
        <s v="Female"/>
      </sharedItems>
    </cacheField>
    <cacheField name="age" numFmtId="0">
      <sharedItems containsSemiMixedTypes="0" containsString="0" containsNumber="1" containsInteger="1" minValue="18" maxValue="85" count="66">
        <n v="44"/>
        <n v="45"/>
        <n v="38"/>
        <n v="42"/>
        <n v="29"/>
        <n v="33"/>
        <n v="41"/>
        <n v="51"/>
        <n v="61"/>
        <n v="49"/>
        <n v="39"/>
        <n v="37"/>
        <n v="43"/>
        <n v="21"/>
        <n v="75"/>
        <n v="22"/>
        <n v="46"/>
        <n v="28"/>
        <n v="31"/>
        <n v="34"/>
        <n v="48"/>
        <n v="40"/>
        <n v="35"/>
        <n v="24"/>
        <n v="30"/>
        <n v="32"/>
        <n v="57"/>
        <n v="26"/>
        <n v="36"/>
        <n v="27"/>
        <n v="80"/>
        <n v="59"/>
        <n v="50"/>
        <n v="62"/>
        <n v="23"/>
        <n v="47"/>
        <n v="25"/>
        <n v="60"/>
        <n v="53"/>
        <n v="70"/>
        <n v="74"/>
        <n v="66"/>
        <n v="52"/>
        <n v="76"/>
        <n v="68"/>
        <n v="55"/>
        <n v="67"/>
        <n v="56"/>
        <n v="69"/>
        <n v="54"/>
        <n v="58"/>
        <n v="18"/>
        <n v="63"/>
        <n v="65"/>
        <n v="64"/>
        <n v="73"/>
        <n v="85"/>
        <n v="84"/>
        <n v="20"/>
        <n v="72"/>
        <n v="71"/>
        <n v="81"/>
        <n v="79"/>
        <n v="19"/>
        <n v="78"/>
        <n v="77"/>
      </sharedItems>
    </cacheField>
    <cacheField name="tenure" numFmtId="0">
      <sharedItems containsSemiMixedTypes="0" containsString="0" containsNumber="1" containsInteger="1" minValue="0" maxValue="10"/>
    </cacheField>
    <cacheField name="balance" numFmtId="0">
      <sharedItems containsSemiMixedTypes="0" containsString="0" containsNumber="1" minValue="0" maxValue="221532.79999999999"/>
    </cacheField>
    <cacheField name="products_number" numFmtId="0">
      <sharedItems containsSemiMixedTypes="0" containsString="0" containsNumber="1" containsInteger="1" minValue="1" maxValue="4" count="4">
        <n v="2"/>
        <n v="1"/>
        <n v="3"/>
        <n v="4"/>
      </sharedItems>
    </cacheField>
    <cacheField name="credit_card" numFmtId="0">
      <sharedItems/>
    </cacheField>
    <cacheField name="active_member" numFmtId="0">
      <sharedItems count="2">
        <s v="No"/>
        <s v="Yes"/>
      </sharedItems>
    </cacheField>
    <cacheField name="estimated_salary" numFmtId="0">
      <sharedItems containsSemiMixedTypes="0" containsString="0" containsNumber="1" minValue="123.07" maxValue="199862.75"/>
    </cacheField>
    <cacheField name="churn" numFmtId="0">
      <sharedItems count="2">
        <s v="Yes"/>
        <s v="No"/>
      </sharedItems>
    </cacheField>
    <cacheField name="predicted_churn_probability" numFmtId="0">
      <sharedItems containsSemiMixedTypes="0" containsString="0" containsNumber="1" minValue="1.062313372821682E-2" maxValue="0.9307629923629509"/>
    </cacheField>
    <cacheField name="predicted_churn" numFmtId="0">
      <sharedItems/>
    </cacheField>
    <cacheField name="actual_churn_numeric" numFmtId="0">
      <sharedItems containsSemiMixedTypes="0" containsString="0" containsNumber="1" containsInteger="1" minValue="0" maxValue="1"/>
    </cacheField>
    <cacheField name="predicted_churn_numeric" numFmtId="0">
      <sharedItems containsSemiMixedTypes="0" containsString="0" containsNumber="1" containsInteger="1" minValue="0" maxValue="1"/>
    </cacheField>
    <cacheField name="risk_category" numFmtId="0">
      <sharedItems count="3">
        <s v="Medium Risk"/>
        <s v="Low Risk"/>
        <s v="High Risk"/>
      </sharedItems>
    </cacheField>
    <cacheField name="age_group" numFmtId="0">
      <sharedItems containsBlank="1" count="6">
        <s v="41-50"/>
        <s v="31-40"/>
        <s v="18-30"/>
        <s v="51-60"/>
        <s v="60+"/>
        <m/>
      </sharedItems>
    </cacheField>
    <cacheField name="balance_group" numFmtId="0">
      <sharedItems count="5">
        <s v="High Balance"/>
        <s v="Zero Balance"/>
        <s v="Medium Balance"/>
        <s v="Very High Balance"/>
        <s v="Low Balance"/>
      </sharedItems>
    </cacheField>
    <cacheField name="credit_score_group" numFmtId="0">
      <sharedItems count="5">
        <s v="Medium"/>
        <s v="Low"/>
        <s v="High"/>
        <s v="Excellent"/>
        <s v="Very Low"/>
      </sharedItems>
    </cacheField>
    <cacheField name="salary_group" numFmtId="0">
      <sharedItems count="4">
        <s v="High Salary"/>
        <s v="Very High Salary"/>
        <s v="Low Salary"/>
        <s v="Medium Salary"/>
      </sharedItems>
    </cacheField>
    <cacheField name="Correct Prediction"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452295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645"/>
    <x v="0"/>
    <x v="0"/>
    <x v="0"/>
    <n v="8"/>
    <n v="113755.78"/>
    <x v="0"/>
    <s v="Yes"/>
    <x v="0"/>
    <n v="149756.71"/>
    <x v="0"/>
    <n v="0.24512257891501579"/>
    <s v="No"/>
    <n v="1"/>
    <n v="0"/>
    <x v="0"/>
    <x v="0"/>
    <x v="0"/>
    <x v="0"/>
    <x v="0"/>
    <n v="0"/>
  </r>
  <r>
    <n v="587"/>
    <x v="0"/>
    <x v="0"/>
    <x v="1"/>
    <n v="6"/>
    <n v="0"/>
    <x v="1"/>
    <s v="No"/>
    <x v="0"/>
    <n v="158684.81"/>
    <x v="1"/>
    <n v="0.24506937130014"/>
    <s v="No"/>
    <n v="0"/>
    <n v="0"/>
    <x v="0"/>
    <x v="0"/>
    <x v="1"/>
    <x v="1"/>
    <x v="1"/>
    <n v="1"/>
  </r>
  <r>
    <n v="510"/>
    <x v="0"/>
    <x v="1"/>
    <x v="2"/>
    <n v="4"/>
    <n v="0"/>
    <x v="1"/>
    <s v="Yes"/>
    <x v="0"/>
    <n v="118913.53"/>
    <x v="0"/>
    <n v="0.25785567670384563"/>
    <s v="No"/>
    <n v="1"/>
    <n v="0"/>
    <x v="0"/>
    <x v="1"/>
    <x v="1"/>
    <x v="1"/>
    <x v="0"/>
    <n v="0"/>
  </r>
  <r>
    <n v="520"/>
    <x v="0"/>
    <x v="1"/>
    <x v="3"/>
    <n v="6"/>
    <n v="0"/>
    <x v="0"/>
    <s v="Yes"/>
    <x v="1"/>
    <n v="34410.550000000003"/>
    <x v="1"/>
    <n v="0.1142116454935402"/>
    <s v="No"/>
    <n v="0"/>
    <n v="0"/>
    <x v="1"/>
    <x v="0"/>
    <x v="1"/>
    <x v="1"/>
    <x v="2"/>
    <n v="1"/>
  </r>
  <r>
    <n v="722"/>
    <x v="0"/>
    <x v="1"/>
    <x v="4"/>
    <n v="9"/>
    <n v="0"/>
    <x v="0"/>
    <s v="Yes"/>
    <x v="1"/>
    <n v="142033.07"/>
    <x v="1"/>
    <n v="4.1117427493216632E-2"/>
    <s v="No"/>
    <n v="0"/>
    <n v="0"/>
    <x v="1"/>
    <x v="2"/>
    <x v="1"/>
    <x v="2"/>
    <x v="0"/>
    <n v="1"/>
  </r>
  <r>
    <n v="804"/>
    <x v="0"/>
    <x v="0"/>
    <x v="5"/>
    <n v="7"/>
    <n v="76548.600000000006"/>
    <x v="1"/>
    <s v="No"/>
    <x v="1"/>
    <n v="98453.45"/>
    <x v="1"/>
    <n v="4.2770633106992528E-2"/>
    <s v="No"/>
    <n v="0"/>
    <n v="0"/>
    <x v="1"/>
    <x v="1"/>
    <x v="2"/>
    <x v="3"/>
    <x v="3"/>
    <n v="1"/>
  </r>
  <r>
    <n v="582"/>
    <x v="1"/>
    <x v="0"/>
    <x v="6"/>
    <n v="6"/>
    <n v="70349.48"/>
    <x v="0"/>
    <s v="No"/>
    <x v="1"/>
    <n v="178074.04"/>
    <x v="1"/>
    <n v="0.15870375208352691"/>
    <s v="No"/>
    <n v="0"/>
    <n v="0"/>
    <x v="1"/>
    <x v="0"/>
    <x v="2"/>
    <x v="1"/>
    <x v="1"/>
    <n v="1"/>
  </r>
  <r>
    <n v="465"/>
    <x v="2"/>
    <x v="1"/>
    <x v="7"/>
    <n v="8"/>
    <n v="122522.32"/>
    <x v="1"/>
    <s v="No"/>
    <x v="0"/>
    <n v="181297.65"/>
    <x v="0"/>
    <n v="0.55058016626188744"/>
    <s v="Yes"/>
    <n v="1"/>
    <n v="1"/>
    <x v="2"/>
    <x v="3"/>
    <x v="0"/>
    <x v="4"/>
    <x v="1"/>
    <n v="1"/>
  </r>
  <r>
    <n v="556"/>
    <x v="2"/>
    <x v="1"/>
    <x v="8"/>
    <n v="2"/>
    <n v="117419.35"/>
    <x v="1"/>
    <s v="Yes"/>
    <x v="1"/>
    <n v="94153.83"/>
    <x v="1"/>
    <n v="0.45378483806740411"/>
    <s v="No"/>
    <n v="0"/>
    <n v="0"/>
    <x v="0"/>
    <x v="4"/>
    <x v="0"/>
    <x v="1"/>
    <x v="3"/>
    <n v="1"/>
  </r>
  <r>
    <n v="834"/>
    <x v="2"/>
    <x v="1"/>
    <x v="9"/>
    <n v="2"/>
    <n v="131394.56"/>
    <x v="1"/>
    <s v="No"/>
    <x v="0"/>
    <n v="194365.76"/>
    <x v="0"/>
    <n v="0.48715112717619641"/>
    <s v="No"/>
    <n v="1"/>
    <n v="0"/>
    <x v="0"/>
    <x v="0"/>
    <x v="0"/>
    <x v="3"/>
    <x v="1"/>
    <n v="0"/>
  </r>
  <r>
    <n v="637"/>
    <x v="1"/>
    <x v="1"/>
    <x v="10"/>
    <n v="9"/>
    <n v="137843.79999999999"/>
    <x v="1"/>
    <s v="Yes"/>
    <x v="1"/>
    <n v="117622.8"/>
    <x v="0"/>
    <n v="0.2398774145081273"/>
    <s v="No"/>
    <n v="1"/>
    <n v="0"/>
    <x v="0"/>
    <x v="1"/>
    <x v="0"/>
    <x v="0"/>
    <x v="0"/>
    <n v="0"/>
  </r>
  <r>
    <n v="776"/>
    <x v="1"/>
    <x v="1"/>
    <x v="11"/>
    <n v="2"/>
    <n v="103769.22"/>
    <x v="0"/>
    <s v="Yes"/>
    <x v="0"/>
    <n v="194099.12"/>
    <x v="1"/>
    <n v="0.42108301929279979"/>
    <s v="No"/>
    <n v="0"/>
    <n v="0"/>
    <x v="0"/>
    <x v="1"/>
    <x v="0"/>
    <x v="2"/>
    <x v="1"/>
    <n v="1"/>
  </r>
  <r>
    <n v="735"/>
    <x v="1"/>
    <x v="0"/>
    <x v="12"/>
    <n v="10"/>
    <n v="123180.01"/>
    <x v="0"/>
    <s v="Yes"/>
    <x v="1"/>
    <n v="196673.28"/>
    <x v="1"/>
    <n v="0.16940111340180189"/>
    <s v="No"/>
    <n v="0"/>
    <n v="0"/>
    <x v="1"/>
    <x v="0"/>
    <x v="0"/>
    <x v="2"/>
    <x v="1"/>
    <n v="1"/>
  </r>
  <r>
    <n v="675"/>
    <x v="2"/>
    <x v="1"/>
    <x v="13"/>
    <n v="8"/>
    <n v="98373.26"/>
    <x v="1"/>
    <s v="Yes"/>
    <x v="0"/>
    <n v="18203"/>
    <x v="1"/>
    <n v="8.7207541880406039E-2"/>
    <s v="No"/>
    <n v="0"/>
    <n v="0"/>
    <x v="1"/>
    <x v="2"/>
    <x v="2"/>
    <x v="0"/>
    <x v="2"/>
    <n v="1"/>
  </r>
  <r>
    <n v="416"/>
    <x v="1"/>
    <x v="1"/>
    <x v="6"/>
    <n v="10"/>
    <n v="122189.66"/>
    <x v="0"/>
    <s v="Yes"/>
    <x v="0"/>
    <n v="98301.61"/>
    <x v="1"/>
    <n v="0.51567599858415369"/>
    <s v="Yes"/>
    <n v="0"/>
    <n v="1"/>
    <x v="2"/>
    <x v="0"/>
    <x v="0"/>
    <x v="4"/>
    <x v="3"/>
    <n v="0"/>
  </r>
  <r>
    <n v="652"/>
    <x v="0"/>
    <x v="1"/>
    <x v="14"/>
    <n v="10"/>
    <n v="0"/>
    <x v="0"/>
    <s v="Yes"/>
    <x v="1"/>
    <n v="114675.75"/>
    <x v="1"/>
    <n v="0.56653231179298225"/>
    <s v="Yes"/>
    <n v="0"/>
    <n v="1"/>
    <x v="2"/>
    <x v="4"/>
    <x v="1"/>
    <x v="0"/>
    <x v="0"/>
    <n v="0"/>
  </r>
  <r>
    <n v="750"/>
    <x v="0"/>
    <x v="0"/>
    <x v="15"/>
    <n v="3"/>
    <n v="121681.82"/>
    <x v="1"/>
    <s v="Yes"/>
    <x v="0"/>
    <n v="128643.35"/>
    <x v="0"/>
    <n v="6.8238997237371618E-2"/>
    <s v="No"/>
    <n v="1"/>
    <n v="0"/>
    <x v="1"/>
    <x v="2"/>
    <x v="0"/>
    <x v="2"/>
    <x v="0"/>
    <n v="0"/>
  </r>
  <r>
    <n v="646"/>
    <x v="2"/>
    <x v="1"/>
    <x v="16"/>
    <n v="4"/>
    <n v="0"/>
    <x v="2"/>
    <s v="Yes"/>
    <x v="0"/>
    <n v="93251.42"/>
    <x v="0"/>
    <n v="0.305899935446661"/>
    <s v="No"/>
    <n v="1"/>
    <n v="0"/>
    <x v="0"/>
    <x v="0"/>
    <x v="1"/>
    <x v="0"/>
    <x v="3"/>
    <n v="0"/>
  </r>
  <r>
    <n v="647"/>
    <x v="0"/>
    <x v="1"/>
    <x v="0"/>
    <n v="5"/>
    <n v="0"/>
    <x v="2"/>
    <s v="Yes"/>
    <x v="1"/>
    <n v="174205.22"/>
    <x v="0"/>
    <n v="0.1198368902524429"/>
    <s v="No"/>
    <n v="1"/>
    <n v="0"/>
    <x v="1"/>
    <x v="0"/>
    <x v="1"/>
    <x v="0"/>
    <x v="1"/>
    <n v="0"/>
  </r>
  <r>
    <n v="721"/>
    <x v="1"/>
    <x v="0"/>
    <x v="17"/>
    <n v="9"/>
    <n v="154475.54"/>
    <x v="0"/>
    <s v="No"/>
    <x v="1"/>
    <n v="101300.94"/>
    <x v="0"/>
    <n v="6.8476714925903334E-2"/>
    <s v="No"/>
    <n v="1"/>
    <n v="0"/>
    <x v="1"/>
    <x v="2"/>
    <x v="3"/>
    <x v="2"/>
    <x v="0"/>
    <n v="0"/>
  </r>
  <r>
    <n v="506"/>
    <x v="2"/>
    <x v="1"/>
    <x v="6"/>
    <n v="1"/>
    <n v="0"/>
    <x v="0"/>
    <s v="Yes"/>
    <x v="0"/>
    <n v="31766.3"/>
    <x v="1"/>
    <n v="0.27611337963342719"/>
    <s v="No"/>
    <n v="0"/>
    <n v="0"/>
    <x v="0"/>
    <x v="0"/>
    <x v="1"/>
    <x v="1"/>
    <x v="2"/>
    <n v="1"/>
  </r>
  <r>
    <n v="524"/>
    <x v="1"/>
    <x v="1"/>
    <x v="18"/>
    <n v="8"/>
    <n v="107818.63"/>
    <x v="1"/>
    <s v="Yes"/>
    <x v="0"/>
    <n v="199725.39"/>
    <x v="0"/>
    <n v="0.35679682117953287"/>
    <s v="No"/>
    <n v="1"/>
    <n v="0"/>
    <x v="0"/>
    <x v="1"/>
    <x v="0"/>
    <x v="1"/>
    <x v="1"/>
    <n v="0"/>
  </r>
  <r>
    <n v="699"/>
    <x v="1"/>
    <x v="0"/>
    <x v="19"/>
    <n v="4"/>
    <n v="185173.81"/>
    <x v="0"/>
    <s v="Yes"/>
    <x v="0"/>
    <n v="120834.48"/>
    <x v="1"/>
    <n v="0.28821810912491008"/>
    <s v="No"/>
    <n v="0"/>
    <n v="0"/>
    <x v="0"/>
    <x v="1"/>
    <x v="3"/>
    <x v="0"/>
    <x v="0"/>
    <n v="1"/>
  </r>
  <r>
    <n v="656"/>
    <x v="2"/>
    <x v="1"/>
    <x v="10"/>
    <n v="6"/>
    <n v="0"/>
    <x v="0"/>
    <s v="Yes"/>
    <x v="0"/>
    <n v="141069.88"/>
    <x v="1"/>
    <n v="0.22210443908420849"/>
    <s v="No"/>
    <n v="0"/>
    <n v="0"/>
    <x v="0"/>
    <x v="1"/>
    <x v="1"/>
    <x v="0"/>
    <x v="0"/>
    <n v="1"/>
  </r>
  <r>
    <n v="684"/>
    <x v="1"/>
    <x v="1"/>
    <x v="20"/>
    <n v="10"/>
    <n v="126384.42"/>
    <x v="1"/>
    <s v="Yes"/>
    <x v="1"/>
    <n v="198129.36"/>
    <x v="1"/>
    <n v="0.37182405352503101"/>
    <s v="No"/>
    <n v="0"/>
    <n v="0"/>
    <x v="0"/>
    <x v="0"/>
    <x v="0"/>
    <x v="0"/>
    <x v="1"/>
    <n v="1"/>
  </r>
  <r>
    <n v="637"/>
    <x v="2"/>
    <x v="0"/>
    <x v="21"/>
    <n v="2"/>
    <n v="133463.1"/>
    <x v="1"/>
    <s v="No"/>
    <x v="1"/>
    <n v="93165.34"/>
    <x v="1"/>
    <n v="9.3676055376501755E-2"/>
    <s v="No"/>
    <n v="0"/>
    <n v="0"/>
    <x v="1"/>
    <x v="1"/>
    <x v="0"/>
    <x v="0"/>
    <x v="3"/>
    <n v="1"/>
  </r>
  <r>
    <n v="579"/>
    <x v="0"/>
    <x v="1"/>
    <x v="22"/>
    <n v="1"/>
    <n v="129490.36"/>
    <x v="0"/>
    <s v="No"/>
    <x v="1"/>
    <n v="8590.83"/>
    <x v="0"/>
    <n v="0.10387374368306029"/>
    <s v="No"/>
    <n v="1"/>
    <n v="0"/>
    <x v="1"/>
    <x v="1"/>
    <x v="0"/>
    <x v="1"/>
    <x v="2"/>
    <n v="0"/>
  </r>
  <r>
    <n v="756"/>
    <x v="1"/>
    <x v="0"/>
    <x v="0"/>
    <n v="10"/>
    <n v="137452.09"/>
    <x v="1"/>
    <s v="Yes"/>
    <x v="0"/>
    <n v="189543.9"/>
    <x v="1"/>
    <n v="0.42459357023896882"/>
    <s v="No"/>
    <n v="0"/>
    <n v="0"/>
    <x v="0"/>
    <x v="0"/>
    <x v="0"/>
    <x v="2"/>
    <x v="1"/>
    <n v="1"/>
  </r>
  <r>
    <n v="485"/>
    <x v="0"/>
    <x v="1"/>
    <x v="13"/>
    <n v="5"/>
    <n v="113157.22"/>
    <x v="1"/>
    <s v="Yes"/>
    <x v="1"/>
    <n v="54141.5"/>
    <x v="1"/>
    <n v="4.1078207604622823E-2"/>
    <s v="No"/>
    <n v="0"/>
    <n v="0"/>
    <x v="1"/>
    <x v="2"/>
    <x v="0"/>
    <x v="4"/>
    <x v="3"/>
    <n v="1"/>
  </r>
  <r>
    <n v="650"/>
    <x v="2"/>
    <x v="0"/>
    <x v="11"/>
    <n v="5"/>
    <n v="106967.18"/>
    <x v="1"/>
    <s v="No"/>
    <x v="0"/>
    <n v="24495.03"/>
    <x v="1"/>
    <n v="0.17120352658122481"/>
    <s v="No"/>
    <n v="0"/>
    <n v="0"/>
    <x v="1"/>
    <x v="1"/>
    <x v="0"/>
    <x v="0"/>
    <x v="2"/>
    <n v="1"/>
  </r>
  <r>
    <n v="535"/>
    <x v="2"/>
    <x v="1"/>
    <x v="20"/>
    <n v="9"/>
    <n v="0"/>
    <x v="1"/>
    <s v="Yes"/>
    <x v="0"/>
    <n v="149892.79"/>
    <x v="0"/>
    <n v="0.38827928459913302"/>
    <s v="No"/>
    <n v="1"/>
    <n v="0"/>
    <x v="0"/>
    <x v="0"/>
    <x v="1"/>
    <x v="1"/>
    <x v="0"/>
    <n v="0"/>
  </r>
  <r>
    <n v="539"/>
    <x v="2"/>
    <x v="0"/>
    <x v="11"/>
    <n v="2"/>
    <n v="127609.59"/>
    <x v="1"/>
    <s v="Yes"/>
    <x v="0"/>
    <n v="98646.22"/>
    <x v="1"/>
    <n v="0.2013082921022693"/>
    <s v="No"/>
    <n v="0"/>
    <n v="0"/>
    <x v="0"/>
    <x v="1"/>
    <x v="0"/>
    <x v="1"/>
    <x v="3"/>
    <n v="1"/>
  </r>
  <r>
    <n v="586"/>
    <x v="0"/>
    <x v="1"/>
    <x v="17"/>
    <n v="2"/>
    <n v="0"/>
    <x v="0"/>
    <s v="Yes"/>
    <x v="1"/>
    <n v="92067.35"/>
    <x v="1"/>
    <n v="4.6592018221274692E-2"/>
    <s v="No"/>
    <n v="0"/>
    <n v="0"/>
    <x v="1"/>
    <x v="2"/>
    <x v="1"/>
    <x v="1"/>
    <x v="3"/>
    <n v="1"/>
  </r>
  <r>
    <n v="631"/>
    <x v="1"/>
    <x v="1"/>
    <x v="5"/>
    <n v="4"/>
    <n v="123246.7"/>
    <x v="1"/>
    <s v="No"/>
    <x v="0"/>
    <n v="112687.57"/>
    <x v="1"/>
    <n v="0.39825743338246322"/>
    <s v="No"/>
    <n v="0"/>
    <n v="0"/>
    <x v="0"/>
    <x v="1"/>
    <x v="0"/>
    <x v="0"/>
    <x v="0"/>
    <n v="1"/>
  </r>
  <r>
    <n v="660"/>
    <x v="1"/>
    <x v="0"/>
    <x v="18"/>
    <n v="9"/>
    <n v="125189.75"/>
    <x v="0"/>
    <s v="Yes"/>
    <x v="1"/>
    <n v="139874.43"/>
    <x v="1"/>
    <n v="8.0716489557164331E-2"/>
    <s v="No"/>
    <n v="0"/>
    <n v="0"/>
    <x v="1"/>
    <x v="1"/>
    <x v="0"/>
    <x v="0"/>
    <x v="0"/>
    <n v="1"/>
  </r>
  <r>
    <n v="704"/>
    <x v="1"/>
    <x v="1"/>
    <x v="23"/>
    <n v="7"/>
    <n v="113034.22"/>
    <x v="1"/>
    <s v="Yes"/>
    <x v="0"/>
    <n v="162503.48000000001"/>
    <x v="0"/>
    <n v="0.22804486667807361"/>
    <s v="No"/>
    <n v="1"/>
    <n v="0"/>
    <x v="0"/>
    <x v="2"/>
    <x v="0"/>
    <x v="2"/>
    <x v="1"/>
    <n v="0"/>
  </r>
  <r>
    <n v="667"/>
    <x v="0"/>
    <x v="1"/>
    <x v="10"/>
    <n v="2"/>
    <n v="0"/>
    <x v="0"/>
    <s v="Yes"/>
    <x v="0"/>
    <n v="40721.24"/>
    <x v="0"/>
    <n v="0.2315414249734784"/>
    <s v="No"/>
    <n v="1"/>
    <n v="0"/>
    <x v="0"/>
    <x v="1"/>
    <x v="1"/>
    <x v="0"/>
    <x v="2"/>
    <n v="0"/>
  </r>
  <r>
    <n v="682"/>
    <x v="1"/>
    <x v="0"/>
    <x v="23"/>
    <n v="9"/>
    <n v="57929.81"/>
    <x v="0"/>
    <s v="No"/>
    <x v="0"/>
    <n v="53134.3"/>
    <x v="1"/>
    <n v="0.1123850816913039"/>
    <s v="No"/>
    <n v="0"/>
    <n v="0"/>
    <x v="1"/>
    <x v="2"/>
    <x v="2"/>
    <x v="0"/>
    <x v="3"/>
    <n v="1"/>
  </r>
  <r>
    <n v="578"/>
    <x v="2"/>
    <x v="0"/>
    <x v="24"/>
    <n v="4"/>
    <n v="169462.09"/>
    <x v="1"/>
    <s v="Yes"/>
    <x v="0"/>
    <n v="112187.11"/>
    <x v="1"/>
    <n v="0.13627059016703391"/>
    <s v="No"/>
    <n v="0"/>
    <n v="0"/>
    <x v="1"/>
    <x v="2"/>
    <x v="3"/>
    <x v="1"/>
    <x v="0"/>
    <n v="1"/>
  </r>
  <r>
    <n v="484"/>
    <x v="0"/>
    <x v="1"/>
    <x v="22"/>
    <n v="7"/>
    <n v="133868.21"/>
    <x v="1"/>
    <s v="Yes"/>
    <x v="1"/>
    <n v="27286.1"/>
    <x v="1"/>
    <n v="0.10768033359150581"/>
    <s v="No"/>
    <n v="0"/>
    <n v="0"/>
    <x v="1"/>
    <x v="1"/>
    <x v="0"/>
    <x v="4"/>
    <x v="2"/>
    <n v="1"/>
  </r>
  <r>
    <n v="510"/>
    <x v="2"/>
    <x v="1"/>
    <x v="24"/>
    <n v="0"/>
    <n v="0"/>
    <x v="0"/>
    <s v="Yes"/>
    <x v="1"/>
    <n v="130553.47"/>
    <x v="1"/>
    <n v="5.7577222511305197E-2"/>
    <s v="No"/>
    <n v="0"/>
    <n v="0"/>
    <x v="1"/>
    <x v="2"/>
    <x v="1"/>
    <x v="1"/>
    <x v="0"/>
    <n v="1"/>
  </r>
  <r>
    <n v="597"/>
    <x v="0"/>
    <x v="1"/>
    <x v="21"/>
    <n v="8"/>
    <n v="101993.12"/>
    <x v="1"/>
    <s v="No"/>
    <x v="1"/>
    <n v="94774.12"/>
    <x v="1"/>
    <n v="0.13524546835729481"/>
    <s v="No"/>
    <n v="0"/>
    <n v="0"/>
    <x v="1"/>
    <x v="1"/>
    <x v="0"/>
    <x v="1"/>
    <x v="3"/>
    <n v="1"/>
  </r>
  <r>
    <n v="616"/>
    <x v="0"/>
    <x v="0"/>
    <x v="24"/>
    <n v="5"/>
    <n v="0"/>
    <x v="0"/>
    <s v="No"/>
    <x v="1"/>
    <n v="196108.51"/>
    <x v="1"/>
    <n v="3.2052233699742187E-2"/>
    <s v="No"/>
    <n v="0"/>
    <n v="0"/>
    <x v="1"/>
    <x v="2"/>
    <x v="1"/>
    <x v="0"/>
    <x v="1"/>
    <n v="1"/>
  </r>
  <r>
    <n v="616"/>
    <x v="0"/>
    <x v="1"/>
    <x v="25"/>
    <n v="6"/>
    <n v="0"/>
    <x v="0"/>
    <s v="Yes"/>
    <x v="1"/>
    <n v="43001.46"/>
    <x v="1"/>
    <n v="5.4680644863579979E-2"/>
    <s v="No"/>
    <n v="0"/>
    <n v="0"/>
    <x v="1"/>
    <x v="1"/>
    <x v="1"/>
    <x v="0"/>
    <x v="2"/>
    <n v="1"/>
  </r>
  <r>
    <n v="721"/>
    <x v="1"/>
    <x v="0"/>
    <x v="11"/>
    <n v="3"/>
    <n v="107720.64"/>
    <x v="1"/>
    <s v="Yes"/>
    <x v="1"/>
    <n v="158591.12"/>
    <x v="1"/>
    <n v="0.13665061337174941"/>
    <s v="No"/>
    <n v="0"/>
    <n v="0"/>
    <x v="1"/>
    <x v="1"/>
    <x v="0"/>
    <x v="2"/>
    <x v="1"/>
    <n v="1"/>
  </r>
  <r>
    <n v="501"/>
    <x v="2"/>
    <x v="0"/>
    <x v="26"/>
    <n v="10"/>
    <n v="0"/>
    <x v="0"/>
    <s v="Yes"/>
    <x v="1"/>
    <n v="47847.19"/>
    <x v="1"/>
    <n v="0.17038460688790921"/>
    <s v="No"/>
    <n v="0"/>
    <n v="0"/>
    <x v="1"/>
    <x v="3"/>
    <x v="1"/>
    <x v="1"/>
    <x v="2"/>
    <n v="1"/>
  </r>
  <r>
    <n v="759"/>
    <x v="2"/>
    <x v="0"/>
    <x v="3"/>
    <n v="4"/>
    <n v="105420.18"/>
    <x v="1"/>
    <s v="No"/>
    <x v="1"/>
    <n v="121409.06"/>
    <x v="1"/>
    <n v="9.0917206837508008E-2"/>
    <s v="No"/>
    <n v="0"/>
    <n v="0"/>
    <x v="1"/>
    <x v="0"/>
    <x v="0"/>
    <x v="2"/>
    <x v="0"/>
    <n v="1"/>
  </r>
  <r>
    <n v="512"/>
    <x v="0"/>
    <x v="0"/>
    <x v="5"/>
    <n v="3"/>
    <n v="176666.62"/>
    <x v="1"/>
    <s v="Yes"/>
    <x v="0"/>
    <n v="94670.77"/>
    <x v="1"/>
    <n v="0.1806633258506527"/>
    <s v="No"/>
    <n v="0"/>
    <n v="0"/>
    <x v="1"/>
    <x v="1"/>
    <x v="3"/>
    <x v="1"/>
    <x v="3"/>
    <n v="1"/>
  </r>
  <r>
    <n v="689"/>
    <x v="1"/>
    <x v="0"/>
    <x v="5"/>
    <n v="2"/>
    <n v="161814.64000000001"/>
    <x v="0"/>
    <s v="Yes"/>
    <x v="0"/>
    <n v="169381.9"/>
    <x v="1"/>
    <n v="0.27589233198707452"/>
    <s v="No"/>
    <n v="0"/>
    <n v="0"/>
    <x v="0"/>
    <x v="1"/>
    <x v="3"/>
    <x v="0"/>
    <x v="1"/>
    <n v="1"/>
  </r>
  <r>
    <n v="603"/>
    <x v="2"/>
    <x v="0"/>
    <x v="18"/>
    <n v="8"/>
    <n v="0"/>
    <x v="0"/>
    <s v="Yes"/>
    <x v="1"/>
    <n v="169915.02"/>
    <x v="1"/>
    <n v="3.0193399746431409E-2"/>
    <s v="No"/>
    <n v="0"/>
    <n v="0"/>
    <x v="1"/>
    <x v="1"/>
    <x v="1"/>
    <x v="0"/>
    <x v="1"/>
    <n v="1"/>
  </r>
  <r>
    <n v="807"/>
    <x v="2"/>
    <x v="0"/>
    <x v="12"/>
    <n v="1"/>
    <n v="105799.32"/>
    <x v="0"/>
    <s v="Yes"/>
    <x v="0"/>
    <n v="34888.04"/>
    <x v="0"/>
    <n v="0.21488215707768149"/>
    <s v="No"/>
    <n v="1"/>
    <n v="0"/>
    <x v="0"/>
    <x v="0"/>
    <x v="0"/>
    <x v="3"/>
    <x v="2"/>
    <n v="0"/>
  </r>
  <r>
    <n v="670"/>
    <x v="2"/>
    <x v="0"/>
    <x v="11"/>
    <n v="4"/>
    <n v="170557.91"/>
    <x v="0"/>
    <s v="Yes"/>
    <x v="0"/>
    <n v="198252.88"/>
    <x v="1"/>
    <n v="0.19077560399114099"/>
    <s v="No"/>
    <n v="0"/>
    <n v="0"/>
    <x v="1"/>
    <x v="1"/>
    <x v="3"/>
    <x v="0"/>
    <x v="1"/>
    <n v="1"/>
  </r>
  <r>
    <n v="512"/>
    <x v="2"/>
    <x v="1"/>
    <x v="11"/>
    <n v="1"/>
    <n v="0"/>
    <x v="0"/>
    <s v="No"/>
    <x v="1"/>
    <n v="156105.03"/>
    <x v="1"/>
    <n v="9.5173804338323426E-2"/>
    <s v="No"/>
    <n v="0"/>
    <n v="0"/>
    <x v="1"/>
    <x v="1"/>
    <x v="1"/>
    <x v="1"/>
    <x v="1"/>
    <n v="1"/>
  </r>
  <r>
    <n v="668"/>
    <x v="2"/>
    <x v="1"/>
    <x v="16"/>
    <n v="2"/>
    <n v="0"/>
    <x v="2"/>
    <s v="Yes"/>
    <x v="0"/>
    <n v="89048.46"/>
    <x v="0"/>
    <n v="0.31058940368091092"/>
    <s v="No"/>
    <n v="1"/>
    <n v="0"/>
    <x v="0"/>
    <x v="0"/>
    <x v="1"/>
    <x v="0"/>
    <x v="3"/>
    <n v="0"/>
  </r>
  <r>
    <n v="703"/>
    <x v="2"/>
    <x v="0"/>
    <x v="17"/>
    <n v="2"/>
    <n v="81173.83"/>
    <x v="0"/>
    <s v="No"/>
    <x v="1"/>
    <n v="162812.16"/>
    <x v="1"/>
    <n v="3.2191448360148783E-2"/>
    <s v="No"/>
    <n v="0"/>
    <n v="0"/>
    <x v="1"/>
    <x v="2"/>
    <x v="2"/>
    <x v="2"/>
    <x v="1"/>
    <n v="1"/>
  </r>
  <r>
    <n v="772"/>
    <x v="1"/>
    <x v="0"/>
    <x v="27"/>
    <n v="7"/>
    <n v="152400.51"/>
    <x v="0"/>
    <s v="Yes"/>
    <x v="0"/>
    <n v="79414"/>
    <x v="1"/>
    <n v="0.1526433818157559"/>
    <s v="No"/>
    <n v="0"/>
    <n v="0"/>
    <x v="1"/>
    <x v="2"/>
    <x v="3"/>
    <x v="2"/>
    <x v="3"/>
    <n v="1"/>
  </r>
  <r>
    <n v="544"/>
    <x v="1"/>
    <x v="0"/>
    <x v="11"/>
    <n v="2"/>
    <n v="79731.91"/>
    <x v="1"/>
    <s v="Yes"/>
    <x v="1"/>
    <n v="57558.95"/>
    <x v="1"/>
    <n v="0.13822298002247299"/>
    <s v="No"/>
    <n v="0"/>
    <n v="0"/>
    <x v="1"/>
    <x v="1"/>
    <x v="2"/>
    <x v="1"/>
    <x v="3"/>
    <n v="1"/>
  </r>
  <r>
    <n v="651"/>
    <x v="2"/>
    <x v="0"/>
    <x v="28"/>
    <n v="7"/>
    <n v="0"/>
    <x v="0"/>
    <s v="Yes"/>
    <x v="0"/>
    <n v="13898.31"/>
    <x v="1"/>
    <n v="0.1080927682582615"/>
    <s v="No"/>
    <n v="0"/>
    <n v="0"/>
    <x v="1"/>
    <x v="1"/>
    <x v="1"/>
    <x v="0"/>
    <x v="2"/>
    <n v="1"/>
  </r>
  <r>
    <n v="479"/>
    <x v="1"/>
    <x v="0"/>
    <x v="22"/>
    <n v="4"/>
    <n v="138718.92000000001"/>
    <x v="1"/>
    <s v="Yes"/>
    <x v="1"/>
    <n v="47251.79"/>
    <x v="0"/>
    <n v="0.1387664237298043"/>
    <s v="No"/>
    <n v="1"/>
    <n v="0"/>
    <x v="1"/>
    <x v="1"/>
    <x v="0"/>
    <x v="4"/>
    <x v="2"/>
    <n v="0"/>
  </r>
  <r>
    <n v="799"/>
    <x v="2"/>
    <x v="1"/>
    <x v="15"/>
    <n v="8"/>
    <n v="174185.98"/>
    <x v="0"/>
    <s v="No"/>
    <x v="1"/>
    <n v="192633.85"/>
    <x v="1"/>
    <n v="3.8152792641492343E-2"/>
    <s v="No"/>
    <n v="0"/>
    <n v="0"/>
    <x v="1"/>
    <x v="2"/>
    <x v="3"/>
    <x v="2"/>
    <x v="1"/>
    <n v="1"/>
  </r>
  <r>
    <n v="744"/>
    <x v="0"/>
    <x v="1"/>
    <x v="27"/>
    <n v="5"/>
    <n v="166297.89000000001"/>
    <x v="1"/>
    <s v="Yes"/>
    <x v="1"/>
    <n v="181694.44"/>
    <x v="1"/>
    <n v="6.0053531319402872E-2"/>
    <s v="No"/>
    <n v="0"/>
    <n v="0"/>
    <x v="1"/>
    <x v="2"/>
    <x v="3"/>
    <x v="2"/>
    <x v="1"/>
    <n v="1"/>
  </r>
  <r>
    <n v="747"/>
    <x v="0"/>
    <x v="1"/>
    <x v="6"/>
    <n v="5"/>
    <n v="94521.17"/>
    <x v="0"/>
    <s v="Yes"/>
    <x v="0"/>
    <n v="194926.86"/>
    <x v="1"/>
    <n v="0.30255978570447789"/>
    <s v="No"/>
    <n v="0"/>
    <n v="0"/>
    <x v="0"/>
    <x v="0"/>
    <x v="2"/>
    <x v="2"/>
    <x v="1"/>
    <n v="1"/>
  </r>
  <r>
    <n v="583"/>
    <x v="2"/>
    <x v="0"/>
    <x v="29"/>
    <n v="7"/>
    <n v="0"/>
    <x v="0"/>
    <s v="Yes"/>
    <x v="0"/>
    <n v="51285.49"/>
    <x v="1"/>
    <n v="6.2484477648804493E-2"/>
    <s v="No"/>
    <n v="0"/>
    <n v="0"/>
    <x v="1"/>
    <x v="2"/>
    <x v="1"/>
    <x v="1"/>
    <x v="3"/>
    <n v="1"/>
  </r>
  <r>
    <n v="694"/>
    <x v="2"/>
    <x v="1"/>
    <x v="18"/>
    <n v="10"/>
    <n v="0"/>
    <x v="0"/>
    <s v="Yes"/>
    <x v="0"/>
    <n v="160990.26999999999"/>
    <x v="1"/>
    <n v="0.12568037533460169"/>
    <s v="No"/>
    <n v="0"/>
    <n v="0"/>
    <x v="1"/>
    <x v="1"/>
    <x v="1"/>
    <x v="0"/>
    <x v="1"/>
    <n v="1"/>
  </r>
  <r>
    <n v="438"/>
    <x v="1"/>
    <x v="0"/>
    <x v="18"/>
    <n v="8"/>
    <n v="78398.69"/>
    <x v="1"/>
    <s v="Yes"/>
    <x v="0"/>
    <n v="44937.01"/>
    <x v="1"/>
    <n v="0.22442248978632809"/>
    <s v="No"/>
    <n v="0"/>
    <n v="0"/>
    <x v="0"/>
    <x v="1"/>
    <x v="2"/>
    <x v="4"/>
    <x v="2"/>
    <n v="1"/>
  </r>
  <r>
    <n v="652"/>
    <x v="2"/>
    <x v="1"/>
    <x v="30"/>
    <n v="4"/>
    <n v="0"/>
    <x v="0"/>
    <s v="Yes"/>
    <x v="1"/>
    <n v="188603.07"/>
    <x v="1"/>
    <n v="0.68121164444823279"/>
    <s v="Yes"/>
    <n v="0"/>
    <n v="1"/>
    <x v="2"/>
    <x v="4"/>
    <x v="1"/>
    <x v="0"/>
    <x v="1"/>
    <n v="0"/>
  </r>
  <r>
    <n v="642"/>
    <x v="2"/>
    <x v="0"/>
    <x v="2"/>
    <n v="3"/>
    <n v="0"/>
    <x v="0"/>
    <s v="No"/>
    <x v="0"/>
    <n v="171463.83"/>
    <x v="1"/>
    <n v="0.14721210263905171"/>
    <s v="No"/>
    <n v="0"/>
    <n v="0"/>
    <x v="1"/>
    <x v="1"/>
    <x v="1"/>
    <x v="0"/>
    <x v="1"/>
    <n v="1"/>
  </r>
  <r>
    <n v="680"/>
    <x v="2"/>
    <x v="1"/>
    <x v="24"/>
    <n v="8"/>
    <n v="141441.75"/>
    <x v="1"/>
    <s v="Yes"/>
    <x v="1"/>
    <n v="16278.97"/>
    <x v="1"/>
    <n v="6.5066853092916321E-2"/>
    <s v="No"/>
    <n v="0"/>
    <n v="0"/>
    <x v="1"/>
    <x v="2"/>
    <x v="0"/>
    <x v="0"/>
    <x v="2"/>
    <n v="1"/>
  </r>
  <r>
    <n v="667"/>
    <x v="0"/>
    <x v="1"/>
    <x v="21"/>
    <n v="1"/>
    <n v="146502.07"/>
    <x v="1"/>
    <s v="Yes"/>
    <x v="0"/>
    <n v="19162.89"/>
    <x v="1"/>
    <n v="0.34646940080004512"/>
    <s v="No"/>
    <n v="0"/>
    <n v="0"/>
    <x v="0"/>
    <x v="1"/>
    <x v="0"/>
    <x v="0"/>
    <x v="2"/>
    <n v="1"/>
  </r>
  <r>
    <n v="659"/>
    <x v="1"/>
    <x v="1"/>
    <x v="25"/>
    <n v="3"/>
    <n v="150923.74"/>
    <x v="0"/>
    <s v="No"/>
    <x v="1"/>
    <n v="174652.51"/>
    <x v="1"/>
    <n v="0.1717324618657719"/>
    <s v="No"/>
    <n v="0"/>
    <n v="0"/>
    <x v="1"/>
    <x v="1"/>
    <x v="3"/>
    <x v="0"/>
    <x v="1"/>
    <n v="1"/>
  </r>
  <r>
    <n v="649"/>
    <x v="2"/>
    <x v="0"/>
    <x v="5"/>
    <n v="2"/>
    <n v="0"/>
    <x v="0"/>
    <s v="Yes"/>
    <x v="0"/>
    <n v="2010.98"/>
    <x v="1"/>
    <n v="9.6330476245855987E-2"/>
    <s v="No"/>
    <n v="0"/>
    <n v="0"/>
    <x v="1"/>
    <x v="1"/>
    <x v="1"/>
    <x v="0"/>
    <x v="2"/>
    <n v="1"/>
  </r>
  <r>
    <n v="630"/>
    <x v="1"/>
    <x v="1"/>
    <x v="19"/>
    <n v="9"/>
    <n v="106937.05"/>
    <x v="0"/>
    <s v="Yes"/>
    <x v="0"/>
    <n v="138275.01"/>
    <x v="1"/>
    <n v="0.3541687227599089"/>
    <s v="No"/>
    <n v="0"/>
    <n v="0"/>
    <x v="0"/>
    <x v="1"/>
    <x v="0"/>
    <x v="0"/>
    <x v="0"/>
    <n v="1"/>
  </r>
  <r>
    <n v="643"/>
    <x v="1"/>
    <x v="0"/>
    <x v="31"/>
    <n v="3"/>
    <n v="170331.37"/>
    <x v="1"/>
    <s v="Yes"/>
    <x v="1"/>
    <n v="32171.79"/>
    <x v="1"/>
    <n v="0.4825080698471253"/>
    <s v="No"/>
    <n v="0"/>
    <n v="0"/>
    <x v="0"/>
    <x v="3"/>
    <x v="3"/>
    <x v="0"/>
    <x v="2"/>
    <n v="1"/>
  </r>
  <r>
    <n v="654"/>
    <x v="1"/>
    <x v="1"/>
    <x v="25"/>
    <n v="1"/>
    <n v="114510.85"/>
    <x v="1"/>
    <s v="Yes"/>
    <x v="1"/>
    <n v="126143.23"/>
    <x v="1"/>
    <n v="0.17072774882740441"/>
    <s v="No"/>
    <n v="0"/>
    <n v="0"/>
    <x v="1"/>
    <x v="1"/>
    <x v="0"/>
    <x v="0"/>
    <x v="0"/>
    <n v="1"/>
  </r>
  <r>
    <n v="539"/>
    <x v="2"/>
    <x v="0"/>
    <x v="24"/>
    <n v="0"/>
    <n v="0"/>
    <x v="0"/>
    <s v="Yes"/>
    <x v="0"/>
    <n v="160979.66"/>
    <x v="1"/>
    <n v="9.4834191384203848E-2"/>
    <s v="No"/>
    <n v="0"/>
    <n v="0"/>
    <x v="1"/>
    <x v="2"/>
    <x v="1"/>
    <x v="1"/>
    <x v="1"/>
    <n v="1"/>
  </r>
  <r>
    <n v="648"/>
    <x v="2"/>
    <x v="1"/>
    <x v="32"/>
    <n v="9"/>
    <n v="102535.57"/>
    <x v="1"/>
    <s v="Yes"/>
    <x v="1"/>
    <n v="189543.19"/>
    <x v="1"/>
    <n v="0.23384424904603451"/>
    <s v="No"/>
    <n v="0"/>
    <n v="0"/>
    <x v="0"/>
    <x v="0"/>
    <x v="0"/>
    <x v="0"/>
    <x v="1"/>
    <n v="1"/>
  </r>
  <r>
    <n v="769"/>
    <x v="2"/>
    <x v="1"/>
    <x v="10"/>
    <n v="8"/>
    <n v="0"/>
    <x v="1"/>
    <s v="No"/>
    <x v="1"/>
    <n v="21016"/>
    <x v="1"/>
    <n v="8.3749337219747699E-2"/>
    <s v="No"/>
    <n v="0"/>
    <n v="0"/>
    <x v="1"/>
    <x v="1"/>
    <x v="1"/>
    <x v="2"/>
    <x v="2"/>
    <n v="1"/>
  </r>
  <r>
    <n v="745"/>
    <x v="1"/>
    <x v="0"/>
    <x v="1"/>
    <n v="10"/>
    <n v="117231.63"/>
    <x v="2"/>
    <s v="Yes"/>
    <x v="1"/>
    <n v="122381.02"/>
    <x v="0"/>
    <n v="0.16667093248623971"/>
    <s v="No"/>
    <n v="1"/>
    <n v="0"/>
    <x v="1"/>
    <x v="0"/>
    <x v="0"/>
    <x v="2"/>
    <x v="0"/>
    <n v="0"/>
  </r>
  <r>
    <n v="572"/>
    <x v="0"/>
    <x v="0"/>
    <x v="22"/>
    <n v="4"/>
    <n v="152390.26"/>
    <x v="1"/>
    <s v="Yes"/>
    <x v="0"/>
    <n v="128123.66"/>
    <x v="1"/>
    <n v="0.18703320807934889"/>
    <s v="No"/>
    <n v="0"/>
    <n v="0"/>
    <x v="1"/>
    <x v="1"/>
    <x v="3"/>
    <x v="1"/>
    <x v="0"/>
    <n v="1"/>
  </r>
  <r>
    <n v="611"/>
    <x v="0"/>
    <x v="0"/>
    <x v="16"/>
    <n v="6"/>
    <n v="0"/>
    <x v="0"/>
    <s v="Yes"/>
    <x v="0"/>
    <n v="45886.33"/>
    <x v="1"/>
    <n v="0.21983298323265749"/>
    <s v="No"/>
    <n v="0"/>
    <n v="0"/>
    <x v="0"/>
    <x v="0"/>
    <x v="1"/>
    <x v="0"/>
    <x v="2"/>
    <n v="1"/>
  </r>
  <r>
    <n v="730"/>
    <x v="0"/>
    <x v="0"/>
    <x v="33"/>
    <n v="2"/>
    <n v="0"/>
    <x v="0"/>
    <s v="Yes"/>
    <x v="1"/>
    <n v="186489.95"/>
    <x v="1"/>
    <n v="0.25026712072622948"/>
    <s v="No"/>
    <n v="0"/>
    <n v="0"/>
    <x v="0"/>
    <x v="4"/>
    <x v="1"/>
    <x v="2"/>
    <x v="1"/>
    <n v="1"/>
  </r>
  <r>
    <n v="752"/>
    <x v="1"/>
    <x v="0"/>
    <x v="2"/>
    <n v="3"/>
    <n v="183102.29"/>
    <x v="1"/>
    <s v="Yes"/>
    <x v="1"/>
    <n v="71557.119999999995"/>
    <x v="1"/>
    <n v="0.16189695787106231"/>
    <s v="No"/>
    <n v="0"/>
    <n v="0"/>
    <x v="1"/>
    <x v="1"/>
    <x v="3"/>
    <x v="2"/>
    <x v="3"/>
    <n v="1"/>
  </r>
  <r>
    <n v="645"/>
    <x v="1"/>
    <x v="1"/>
    <x v="11"/>
    <n v="2"/>
    <n v="136925.09"/>
    <x v="0"/>
    <s v="No"/>
    <x v="1"/>
    <n v="153400.24"/>
    <x v="1"/>
    <n v="0.22756286731699041"/>
    <s v="No"/>
    <n v="0"/>
    <n v="0"/>
    <x v="0"/>
    <x v="1"/>
    <x v="0"/>
    <x v="0"/>
    <x v="1"/>
    <n v="1"/>
  </r>
  <r>
    <n v="557"/>
    <x v="2"/>
    <x v="0"/>
    <x v="5"/>
    <n v="3"/>
    <n v="54503.55"/>
    <x v="1"/>
    <s v="Yes"/>
    <x v="1"/>
    <n v="371.05"/>
    <x v="1"/>
    <n v="4.5621375135771032E-2"/>
    <s v="No"/>
    <n v="0"/>
    <n v="0"/>
    <x v="1"/>
    <x v="1"/>
    <x v="2"/>
    <x v="1"/>
    <x v="2"/>
    <n v="1"/>
  </r>
  <r>
    <n v="709"/>
    <x v="0"/>
    <x v="0"/>
    <x v="34"/>
    <n v="10"/>
    <n v="0"/>
    <x v="0"/>
    <s v="No"/>
    <x v="0"/>
    <n v="129590.18"/>
    <x v="1"/>
    <n v="4.5806656107191313E-2"/>
    <s v="No"/>
    <n v="0"/>
    <n v="0"/>
    <x v="1"/>
    <x v="2"/>
    <x v="1"/>
    <x v="2"/>
    <x v="0"/>
    <n v="1"/>
  </r>
  <r>
    <n v="850"/>
    <x v="2"/>
    <x v="0"/>
    <x v="2"/>
    <n v="1"/>
    <n v="0"/>
    <x v="0"/>
    <s v="Yes"/>
    <x v="1"/>
    <n v="80006.649999999994"/>
    <x v="1"/>
    <n v="4.5899571195773738E-2"/>
    <s v="No"/>
    <n v="0"/>
    <n v="0"/>
    <x v="1"/>
    <x v="1"/>
    <x v="1"/>
    <x v="3"/>
    <x v="3"/>
    <n v="1"/>
  </r>
  <r>
    <n v="643"/>
    <x v="2"/>
    <x v="1"/>
    <x v="16"/>
    <n v="6"/>
    <n v="0"/>
    <x v="0"/>
    <s v="No"/>
    <x v="0"/>
    <n v="106781.59"/>
    <x v="1"/>
    <n v="0.32883432076919789"/>
    <s v="No"/>
    <n v="0"/>
    <n v="0"/>
    <x v="0"/>
    <x v="0"/>
    <x v="1"/>
    <x v="0"/>
    <x v="0"/>
    <n v="1"/>
  </r>
  <r>
    <n v="596"/>
    <x v="2"/>
    <x v="0"/>
    <x v="10"/>
    <n v="9"/>
    <n v="0"/>
    <x v="1"/>
    <s v="Yes"/>
    <x v="0"/>
    <n v="48963.59"/>
    <x v="1"/>
    <n v="0.1459580169108177"/>
    <s v="No"/>
    <n v="0"/>
    <n v="0"/>
    <x v="1"/>
    <x v="1"/>
    <x v="1"/>
    <x v="1"/>
    <x v="2"/>
    <n v="1"/>
  </r>
  <r>
    <n v="568"/>
    <x v="1"/>
    <x v="0"/>
    <x v="21"/>
    <n v="1"/>
    <n v="99282.63"/>
    <x v="1"/>
    <s v="No"/>
    <x v="0"/>
    <n v="134600.94"/>
    <x v="0"/>
    <n v="0.40392861318245221"/>
    <s v="No"/>
    <n v="1"/>
    <n v="0"/>
    <x v="0"/>
    <x v="1"/>
    <x v="2"/>
    <x v="1"/>
    <x v="0"/>
    <n v="0"/>
  </r>
  <r>
    <n v="619"/>
    <x v="1"/>
    <x v="0"/>
    <x v="26"/>
    <n v="3"/>
    <n v="137946.39000000001"/>
    <x v="1"/>
    <s v="Yes"/>
    <x v="1"/>
    <n v="72467.990000000005"/>
    <x v="0"/>
    <n v="0.43468608001985382"/>
    <s v="No"/>
    <n v="1"/>
    <n v="0"/>
    <x v="0"/>
    <x v="3"/>
    <x v="0"/>
    <x v="0"/>
    <x v="3"/>
    <n v="0"/>
  </r>
  <r>
    <n v="626"/>
    <x v="2"/>
    <x v="1"/>
    <x v="22"/>
    <n v="3"/>
    <n v="0"/>
    <x v="1"/>
    <s v="No"/>
    <x v="0"/>
    <n v="80190.36"/>
    <x v="1"/>
    <n v="0.2030208631720144"/>
    <s v="No"/>
    <n v="0"/>
    <n v="0"/>
    <x v="0"/>
    <x v="1"/>
    <x v="1"/>
    <x v="0"/>
    <x v="3"/>
    <n v="1"/>
  </r>
  <r>
    <n v="534"/>
    <x v="2"/>
    <x v="1"/>
    <x v="19"/>
    <n v="7"/>
    <n v="121551.58"/>
    <x v="0"/>
    <s v="Yes"/>
    <x v="1"/>
    <n v="70179"/>
    <x v="1"/>
    <n v="8.5237238260609693E-2"/>
    <s v="No"/>
    <n v="0"/>
    <n v="0"/>
    <x v="1"/>
    <x v="1"/>
    <x v="0"/>
    <x v="1"/>
    <x v="3"/>
    <n v="1"/>
  </r>
  <r>
    <n v="748"/>
    <x v="2"/>
    <x v="1"/>
    <x v="27"/>
    <n v="1"/>
    <n v="77780.289999999994"/>
    <x v="1"/>
    <s v="No"/>
    <x v="1"/>
    <n v="183049.41"/>
    <x v="1"/>
    <n v="5.1706735988022598E-2"/>
    <s v="No"/>
    <n v="0"/>
    <n v="0"/>
    <x v="1"/>
    <x v="2"/>
    <x v="2"/>
    <x v="2"/>
    <x v="1"/>
    <n v="1"/>
  </r>
  <r>
    <n v="675"/>
    <x v="2"/>
    <x v="1"/>
    <x v="2"/>
    <n v="6"/>
    <n v="68065.8"/>
    <x v="1"/>
    <s v="No"/>
    <x v="0"/>
    <n v="138777"/>
    <x v="0"/>
    <n v="0.26315435874254522"/>
    <s v="No"/>
    <n v="1"/>
    <n v="0"/>
    <x v="0"/>
    <x v="1"/>
    <x v="2"/>
    <x v="0"/>
    <x v="0"/>
    <n v="0"/>
  </r>
  <r>
    <n v="778"/>
    <x v="0"/>
    <x v="1"/>
    <x v="35"/>
    <n v="6"/>
    <n v="127299.34"/>
    <x v="0"/>
    <s v="Yes"/>
    <x v="0"/>
    <n v="124694.99"/>
    <x v="1"/>
    <n v="0.40449563225812352"/>
    <s v="No"/>
    <n v="0"/>
    <n v="0"/>
    <x v="0"/>
    <x v="0"/>
    <x v="0"/>
    <x v="2"/>
    <x v="0"/>
    <n v="1"/>
  </r>
  <r>
    <n v="509"/>
    <x v="0"/>
    <x v="1"/>
    <x v="36"/>
    <n v="3"/>
    <n v="108738.71"/>
    <x v="0"/>
    <s v="Yes"/>
    <x v="0"/>
    <n v="106920.57"/>
    <x v="1"/>
    <n v="0.13858801249445571"/>
    <s v="No"/>
    <n v="0"/>
    <n v="0"/>
    <x v="1"/>
    <x v="2"/>
    <x v="0"/>
    <x v="1"/>
    <x v="0"/>
    <n v="1"/>
  </r>
  <r>
    <n v="818"/>
    <x v="0"/>
    <x v="0"/>
    <x v="27"/>
    <n v="4"/>
    <n v="0"/>
    <x v="0"/>
    <s v="Yes"/>
    <x v="1"/>
    <n v="167036.94"/>
    <x v="1"/>
    <n v="2.0385714251447799E-2"/>
    <s v="No"/>
    <n v="0"/>
    <n v="0"/>
    <x v="1"/>
    <x v="2"/>
    <x v="1"/>
    <x v="3"/>
    <x v="1"/>
    <n v="1"/>
  </r>
  <r>
    <n v="816"/>
    <x v="1"/>
    <x v="1"/>
    <x v="2"/>
    <n v="5"/>
    <n v="130878.75"/>
    <x v="2"/>
    <s v="Yes"/>
    <x v="0"/>
    <n v="71905.77"/>
    <x v="0"/>
    <n v="0.39338511116504898"/>
    <s v="No"/>
    <n v="1"/>
    <n v="0"/>
    <x v="0"/>
    <x v="1"/>
    <x v="0"/>
    <x v="3"/>
    <x v="3"/>
    <n v="0"/>
  </r>
  <r>
    <n v="631"/>
    <x v="0"/>
    <x v="0"/>
    <x v="29"/>
    <n v="10"/>
    <n v="134169.62"/>
    <x v="1"/>
    <s v="Yes"/>
    <x v="1"/>
    <n v="176730.02"/>
    <x v="1"/>
    <n v="3.452890083827248E-2"/>
    <s v="No"/>
    <n v="0"/>
    <n v="0"/>
    <x v="1"/>
    <x v="2"/>
    <x v="0"/>
    <x v="0"/>
    <x v="1"/>
    <n v="1"/>
  </r>
  <r>
    <n v="621"/>
    <x v="1"/>
    <x v="0"/>
    <x v="16"/>
    <n v="6"/>
    <n v="141078.37"/>
    <x v="1"/>
    <s v="No"/>
    <x v="0"/>
    <n v="34580.800000000003"/>
    <x v="0"/>
    <n v="0.49289336826930769"/>
    <s v="No"/>
    <n v="1"/>
    <n v="0"/>
    <x v="0"/>
    <x v="0"/>
    <x v="0"/>
    <x v="0"/>
    <x v="2"/>
    <n v="0"/>
  </r>
  <r>
    <n v="605"/>
    <x v="1"/>
    <x v="1"/>
    <x v="18"/>
    <n v="1"/>
    <n v="117992.59"/>
    <x v="1"/>
    <s v="Yes"/>
    <x v="1"/>
    <n v="183598.77"/>
    <x v="1"/>
    <n v="0.1708834977649242"/>
    <s v="No"/>
    <n v="0"/>
    <n v="0"/>
    <x v="1"/>
    <x v="1"/>
    <x v="0"/>
    <x v="0"/>
    <x v="1"/>
    <n v="1"/>
  </r>
  <r>
    <n v="798"/>
    <x v="2"/>
    <x v="0"/>
    <x v="11"/>
    <n v="8"/>
    <n v="0"/>
    <x v="2"/>
    <s v="No"/>
    <x v="0"/>
    <n v="110783.28"/>
    <x v="1"/>
    <n v="0.1020060340161927"/>
    <s v="No"/>
    <n v="0"/>
    <n v="0"/>
    <x v="1"/>
    <x v="1"/>
    <x v="1"/>
    <x v="2"/>
    <x v="0"/>
    <n v="1"/>
  </r>
  <r>
    <n v="641"/>
    <x v="2"/>
    <x v="0"/>
    <x v="11"/>
    <n v="7"/>
    <n v="0"/>
    <x v="0"/>
    <s v="Yes"/>
    <x v="0"/>
    <n v="75248.3"/>
    <x v="1"/>
    <n v="0.11971496125304509"/>
    <s v="No"/>
    <n v="0"/>
    <n v="0"/>
    <x v="1"/>
    <x v="1"/>
    <x v="1"/>
    <x v="0"/>
    <x v="3"/>
    <n v="1"/>
  </r>
  <r>
    <n v="542"/>
    <x v="2"/>
    <x v="0"/>
    <x v="10"/>
    <n v="3"/>
    <n v="135096.76999999999"/>
    <x v="1"/>
    <s v="Yes"/>
    <x v="1"/>
    <n v="14353.43"/>
    <x v="0"/>
    <n v="8.5517521523770415E-2"/>
    <s v="No"/>
    <n v="1"/>
    <n v="0"/>
    <x v="1"/>
    <x v="1"/>
    <x v="0"/>
    <x v="1"/>
    <x v="2"/>
    <n v="0"/>
  </r>
  <r>
    <n v="639"/>
    <x v="2"/>
    <x v="1"/>
    <x v="2"/>
    <n v="4"/>
    <n v="81550.94"/>
    <x v="0"/>
    <s v="No"/>
    <x v="1"/>
    <n v="118974.77"/>
    <x v="1"/>
    <n v="0.1057654455107144"/>
    <s v="No"/>
    <n v="0"/>
    <n v="0"/>
    <x v="1"/>
    <x v="1"/>
    <x v="2"/>
    <x v="0"/>
    <x v="0"/>
    <n v="1"/>
  </r>
  <r>
    <n v="531"/>
    <x v="2"/>
    <x v="1"/>
    <x v="35"/>
    <n v="6"/>
    <n v="0"/>
    <x v="1"/>
    <s v="No"/>
    <x v="0"/>
    <n v="194998.34"/>
    <x v="0"/>
    <n v="0.3991609652647562"/>
    <s v="No"/>
    <n v="1"/>
    <n v="0"/>
    <x v="0"/>
    <x v="0"/>
    <x v="1"/>
    <x v="1"/>
    <x v="1"/>
    <n v="0"/>
  </r>
  <r>
    <n v="673"/>
    <x v="2"/>
    <x v="1"/>
    <x v="2"/>
    <n v="2"/>
    <n v="170061.92"/>
    <x v="0"/>
    <s v="No"/>
    <x v="0"/>
    <n v="134901.34"/>
    <x v="0"/>
    <n v="0.31205510789719432"/>
    <s v="No"/>
    <n v="1"/>
    <n v="0"/>
    <x v="0"/>
    <x v="1"/>
    <x v="3"/>
    <x v="0"/>
    <x v="0"/>
    <n v="0"/>
  </r>
  <r>
    <n v="555"/>
    <x v="0"/>
    <x v="0"/>
    <x v="25"/>
    <n v="4"/>
    <n v="0"/>
    <x v="0"/>
    <s v="Yes"/>
    <x v="1"/>
    <n v="54405.79"/>
    <x v="1"/>
    <n v="3.525357978768643E-2"/>
    <s v="No"/>
    <n v="0"/>
    <n v="0"/>
    <x v="1"/>
    <x v="1"/>
    <x v="1"/>
    <x v="1"/>
    <x v="3"/>
    <n v="1"/>
  </r>
  <r>
    <n v="774"/>
    <x v="2"/>
    <x v="0"/>
    <x v="37"/>
    <n v="5"/>
    <n v="85891.55"/>
    <x v="1"/>
    <s v="Yes"/>
    <x v="0"/>
    <n v="74135.48"/>
    <x v="0"/>
    <n v="0.49495196452037887"/>
    <s v="No"/>
    <n v="1"/>
    <n v="0"/>
    <x v="0"/>
    <x v="3"/>
    <x v="2"/>
    <x v="2"/>
    <x v="3"/>
    <n v="0"/>
  </r>
  <r>
    <n v="691"/>
    <x v="1"/>
    <x v="0"/>
    <x v="24"/>
    <n v="7"/>
    <n v="116927.89"/>
    <x v="1"/>
    <s v="Yes"/>
    <x v="0"/>
    <n v="21198.39"/>
    <x v="1"/>
    <n v="0.20054958044763069"/>
    <s v="No"/>
    <n v="0"/>
    <n v="0"/>
    <x v="0"/>
    <x v="2"/>
    <x v="0"/>
    <x v="0"/>
    <x v="2"/>
    <n v="1"/>
  </r>
  <r>
    <n v="684"/>
    <x v="1"/>
    <x v="1"/>
    <x v="21"/>
    <n v="6"/>
    <n v="137326.65"/>
    <x v="1"/>
    <s v="Yes"/>
    <x v="0"/>
    <n v="186976.6"/>
    <x v="1"/>
    <n v="0.51868960600202718"/>
    <s v="Yes"/>
    <n v="0"/>
    <n v="1"/>
    <x v="2"/>
    <x v="1"/>
    <x v="0"/>
    <x v="0"/>
    <x v="1"/>
    <n v="0"/>
  </r>
  <r>
    <n v="599"/>
    <x v="0"/>
    <x v="1"/>
    <x v="11"/>
    <n v="2"/>
    <n v="0"/>
    <x v="0"/>
    <s v="Yes"/>
    <x v="1"/>
    <n v="143739.29"/>
    <x v="1"/>
    <n v="8.8445357860565857E-2"/>
    <s v="No"/>
    <n v="0"/>
    <n v="0"/>
    <x v="1"/>
    <x v="1"/>
    <x v="1"/>
    <x v="1"/>
    <x v="0"/>
    <n v="1"/>
  </r>
  <r>
    <n v="605"/>
    <x v="2"/>
    <x v="1"/>
    <x v="7"/>
    <n v="3"/>
    <n v="136188.78"/>
    <x v="1"/>
    <s v="Yes"/>
    <x v="1"/>
    <n v="67110.59"/>
    <x v="0"/>
    <n v="0.27978739542243669"/>
    <s v="No"/>
    <n v="1"/>
    <n v="0"/>
    <x v="0"/>
    <x v="3"/>
    <x v="0"/>
    <x v="0"/>
    <x v="3"/>
    <n v="0"/>
  </r>
  <r>
    <n v="793"/>
    <x v="0"/>
    <x v="0"/>
    <x v="2"/>
    <n v="9"/>
    <n v="0"/>
    <x v="0"/>
    <s v="Yes"/>
    <x v="0"/>
    <n v="88225.02"/>
    <x v="1"/>
    <n v="0.11709167920166259"/>
    <s v="No"/>
    <n v="0"/>
    <n v="0"/>
    <x v="1"/>
    <x v="1"/>
    <x v="1"/>
    <x v="2"/>
    <x v="3"/>
    <n v="1"/>
  </r>
  <r>
    <n v="698"/>
    <x v="2"/>
    <x v="0"/>
    <x v="20"/>
    <n v="4"/>
    <n v="101238.24"/>
    <x v="0"/>
    <s v="No"/>
    <x v="1"/>
    <n v="177815.87"/>
    <x v="0"/>
    <n v="0.13020043062549291"/>
    <s v="No"/>
    <n v="1"/>
    <n v="0"/>
    <x v="1"/>
    <x v="0"/>
    <x v="0"/>
    <x v="0"/>
    <x v="1"/>
    <n v="0"/>
  </r>
  <r>
    <n v="696"/>
    <x v="1"/>
    <x v="0"/>
    <x v="25"/>
    <n v="8"/>
    <n v="101160.99"/>
    <x v="1"/>
    <s v="Yes"/>
    <x v="1"/>
    <n v="115916.55"/>
    <x v="1"/>
    <n v="8.8195887883610602E-2"/>
    <s v="No"/>
    <n v="0"/>
    <n v="0"/>
    <x v="1"/>
    <x v="1"/>
    <x v="0"/>
    <x v="0"/>
    <x v="0"/>
    <n v="1"/>
  </r>
  <r>
    <n v="776"/>
    <x v="2"/>
    <x v="1"/>
    <x v="18"/>
    <n v="2"/>
    <n v="0"/>
    <x v="0"/>
    <s v="Yes"/>
    <x v="1"/>
    <n v="112349.51"/>
    <x v="1"/>
    <n v="4.9488841423208522E-2"/>
    <s v="No"/>
    <n v="0"/>
    <n v="0"/>
    <x v="1"/>
    <x v="1"/>
    <x v="1"/>
    <x v="2"/>
    <x v="0"/>
    <n v="1"/>
  </r>
  <r>
    <n v="673"/>
    <x v="2"/>
    <x v="0"/>
    <x v="24"/>
    <n v="1"/>
    <n v="64097.75"/>
    <x v="1"/>
    <s v="Yes"/>
    <x v="1"/>
    <n v="77783.350000000006"/>
    <x v="1"/>
    <n v="3.7861577631676489E-2"/>
    <s v="No"/>
    <n v="0"/>
    <n v="0"/>
    <x v="1"/>
    <x v="2"/>
    <x v="2"/>
    <x v="0"/>
    <x v="3"/>
    <n v="1"/>
  </r>
  <r>
    <n v="519"/>
    <x v="0"/>
    <x v="1"/>
    <x v="26"/>
    <n v="2"/>
    <n v="119035.35"/>
    <x v="0"/>
    <s v="Yes"/>
    <x v="1"/>
    <n v="29871.79"/>
    <x v="1"/>
    <n v="0.3652360593407149"/>
    <s v="No"/>
    <n v="0"/>
    <n v="0"/>
    <x v="0"/>
    <x v="3"/>
    <x v="0"/>
    <x v="1"/>
    <x v="2"/>
    <n v="1"/>
  </r>
  <r>
    <n v="729"/>
    <x v="2"/>
    <x v="0"/>
    <x v="25"/>
    <n v="6"/>
    <n v="93694.42"/>
    <x v="1"/>
    <s v="Yes"/>
    <x v="1"/>
    <n v="79919.13"/>
    <x v="1"/>
    <n v="4.1208029759947751E-2"/>
    <s v="No"/>
    <n v="0"/>
    <n v="0"/>
    <x v="1"/>
    <x v="1"/>
    <x v="2"/>
    <x v="2"/>
    <x v="3"/>
    <n v="1"/>
  </r>
  <r>
    <n v="745"/>
    <x v="1"/>
    <x v="1"/>
    <x v="17"/>
    <n v="1"/>
    <n v="111071.36"/>
    <x v="1"/>
    <s v="Yes"/>
    <x v="0"/>
    <n v="73275.960000000006"/>
    <x v="0"/>
    <n v="0.291506570266098"/>
    <s v="No"/>
    <n v="1"/>
    <n v="0"/>
    <x v="0"/>
    <x v="2"/>
    <x v="0"/>
    <x v="2"/>
    <x v="3"/>
    <n v="0"/>
  </r>
  <r>
    <n v="504"/>
    <x v="2"/>
    <x v="1"/>
    <x v="9"/>
    <n v="7"/>
    <n v="0"/>
    <x v="2"/>
    <s v="No"/>
    <x v="1"/>
    <n v="87822.14"/>
    <x v="0"/>
    <n v="0.1653260006431157"/>
    <s v="No"/>
    <n v="1"/>
    <n v="0"/>
    <x v="1"/>
    <x v="0"/>
    <x v="1"/>
    <x v="1"/>
    <x v="3"/>
    <n v="0"/>
  </r>
  <r>
    <n v="749"/>
    <x v="2"/>
    <x v="0"/>
    <x v="23"/>
    <n v="1"/>
    <n v="0"/>
    <x v="2"/>
    <s v="Yes"/>
    <x v="1"/>
    <n v="47911.03"/>
    <x v="1"/>
    <n v="1.5955621999817499E-2"/>
    <s v="No"/>
    <n v="0"/>
    <n v="0"/>
    <x v="1"/>
    <x v="2"/>
    <x v="1"/>
    <x v="2"/>
    <x v="2"/>
    <n v="1"/>
  </r>
  <r>
    <n v="590"/>
    <x v="0"/>
    <x v="1"/>
    <x v="7"/>
    <n v="3"/>
    <n v="154962.99"/>
    <x v="2"/>
    <s v="No"/>
    <x v="1"/>
    <n v="191932.27"/>
    <x v="0"/>
    <n v="0.27823718759926719"/>
    <s v="No"/>
    <n v="1"/>
    <n v="0"/>
    <x v="0"/>
    <x v="3"/>
    <x v="3"/>
    <x v="1"/>
    <x v="1"/>
    <n v="0"/>
  </r>
  <r>
    <n v="587"/>
    <x v="1"/>
    <x v="0"/>
    <x v="21"/>
    <n v="5"/>
    <n v="138241.9"/>
    <x v="0"/>
    <s v="Yes"/>
    <x v="0"/>
    <n v="159418.1"/>
    <x v="1"/>
    <n v="0.37697834930315682"/>
    <s v="No"/>
    <n v="0"/>
    <n v="0"/>
    <x v="0"/>
    <x v="1"/>
    <x v="0"/>
    <x v="1"/>
    <x v="1"/>
    <n v="1"/>
  </r>
  <r>
    <n v="598"/>
    <x v="1"/>
    <x v="0"/>
    <x v="6"/>
    <n v="3"/>
    <n v="91536.93"/>
    <x v="1"/>
    <s v="Yes"/>
    <x v="0"/>
    <n v="191468.78"/>
    <x v="0"/>
    <n v="0.4022864155375046"/>
    <s v="No"/>
    <n v="1"/>
    <n v="0"/>
    <x v="0"/>
    <x v="0"/>
    <x v="2"/>
    <x v="1"/>
    <x v="1"/>
    <n v="0"/>
  </r>
  <r>
    <n v="543"/>
    <x v="2"/>
    <x v="0"/>
    <x v="28"/>
    <n v="4"/>
    <n v="0"/>
    <x v="0"/>
    <s v="Yes"/>
    <x v="1"/>
    <n v="141210.5"/>
    <x v="1"/>
    <n v="4.7657870414078131E-2"/>
    <s v="No"/>
    <n v="0"/>
    <n v="0"/>
    <x v="1"/>
    <x v="1"/>
    <x v="1"/>
    <x v="1"/>
    <x v="0"/>
    <n v="1"/>
  </r>
  <r>
    <n v="601"/>
    <x v="2"/>
    <x v="0"/>
    <x v="0"/>
    <n v="1"/>
    <n v="100486.18"/>
    <x v="0"/>
    <s v="Yes"/>
    <x v="1"/>
    <n v="62678.53"/>
    <x v="1"/>
    <n v="0.1027329319675367"/>
    <s v="No"/>
    <n v="0"/>
    <n v="0"/>
    <x v="1"/>
    <x v="0"/>
    <x v="0"/>
    <x v="0"/>
    <x v="3"/>
    <n v="1"/>
  </r>
  <r>
    <n v="848"/>
    <x v="0"/>
    <x v="0"/>
    <x v="21"/>
    <n v="3"/>
    <n v="110929.96"/>
    <x v="1"/>
    <s v="Yes"/>
    <x v="1"/>
    <n v="30876.84"/>
    <x v="1"/>
    <n v="7.4298385027305777E-2"/>
    <s v="No"/>
    <n v="0"/>
    <n v="0"/>
    <x v="1"/>
    <x v="1"/>
    <x v="0"/>
    <x v="3"/>
    <x v="2"/>
    <n v="1"/>
  </r>
  <r>
    <n v="593"/>
    <x v="2"/>
    <x v="1"/>
    <x v="6"/>
    <n v="6"/>
    <n v="0"/>
    <x v="1"/>
    <s v="Yes"/>
    <x v="0"/>
    <n v="65170.66"/>
    <x v="1"/>
    <n v="0.26880491556497471"/>
    <s v="No"/>
    <n v="0"/>
    <n v="0"/>
    <x v="0"/>
    <x v="0"/>
    <x v="1"/>
    <x v="1"/>
    <x v="3"/>
    <n v="1"/>
  </r>
  <r>
    <n v="701"/>
    <x v="0"/>
    <x v="0"/>
    <x v="28"/>
    <n v="8"/>
    <n v="0"/>
    <x v="0"/>
    <s v="Yes"/>
    <x v="0"/>
    <n v="169161.46"/>
    <x v="1"/>
    <n v="0.11511899785895539"/>
    <s v="No"/>
    <n v="0"/>
    <n v="0"/>
    <x v="1"/>
    <x v="1"/>
    <x v="1"/>
    <x v="2"/>
    <x v="1"/>
    <n v="1"/>
  </r>
  <r>
    <n v="607"/>
    <x v="0"/>
    <x v="1"/>
    <x v="5"/>
    <n v="2"/>
    <n v="108431.87"/>
    <x v="0"/>
    <s v="No"/>
    <x v="1"/>
    <n v="109291.39"/>
    <x v="0"/>
    <n v="8.7839547425559245E-2"/>
    <s v="No"/>
    <n v="1"/>
    <n v="0"/>
    <x v="1"/>
    <x v="1"/>
    <x v="0"/>
    <x v="0"/>
    <x v="0"/>
    <n v="0"/>
  </r>
  <r>
    <n v="647"/>
    <x v="1"/>
    <x v="1"/>
    <x v="7"/>
    <n v="1"/>
    <n v="119741.77"/>
    <x v="0"/>
    <s v="No"/>
    <x v="0"/>
    <n v="54954.51"/>
    <x v="0"/>
    <n v="0.6947532036223466"/>
    <s v="Yes"/>
    <n v="1"/>
    <n v="1"/>
    <x v="2"/>
    <x v="3"/>
    <x v="0"/>
    <x v="0"/>
    <x v="3"/>
    <n v="1"/>
  </r>
  <r>
    <n v="621"/>
    <x v="0"/>
    <x v="0"/>
    <x v="38"/>
    <n v="9"/>
    <n v="170491.84"/>
    <x v="1"/>
    <s v="Yes"/>
    <x v="0"/>
    <n v="35588.07"/>
    <x v="0"/>
    <n v="0.43161961345669342"/>
    <s v="No"/>
    <n v="1"/>
    <n v="0"/>
    <x v="0"/>
    <x v="3"/>
    <x v="3"/>
    <x v="0"/>
    <x v="2"/>
    <n v="0"/>
  </r>
  <r>
    <n v="646"/>
    <x v="1"/>
    <x v="0"/>
    <x v="10"/>
    <n v="9"/>
    <n v="111574.41"/>
    <x v="1"/>
    <s v="Yes"/>
    <x v="1"/>
    <n v="30838.51"/>
    <x v="1"/>
    <n v="0.13899121915421819"/>
    <s v="No"/>
    <n v="0"/>
    <n v="0"/>
    <x v="1"/>
    <x v="1"/>
    <x v="0"/>
    <x v="0"/>
    <x v="2"/>
    <n v="1"/>
  </r>
  <r>
    <n v="688"/>
    <x v="1"/>
    <x v="0"/>
    <x v="27"/>
    <n v="8"/>
    <n v="146133.39000000001"/>
    <x v="1"/>
    <s v="Yes"/>
    <x v="1"/>
    <n v="175296.76"/>
    <x v="1"/>
    <n v="6.7577916360978554E-2"/>
    <s v="No"/>
    <n v="0"/>
    <n v="0"/>
    <x v="1"/>
    <x v="2"/>
    <x v="0"/>
    <x v="0"/>
    <x v="1"/>
    <n v="1"/>
  </r>
  <r>
    <n v="850"/>
    <x v="0"/>
    <x v="0"/>
    <x v="22"/>
    <n v="7"/>
    <n v="110349.82"/>
    <x v="1"/>
    <s v="No"/>
    <x v="0"/>
    <n v="126355.8"/>
    <x v="1"/>
    <n v="0.14197659463273771"/>
    <s v="No"/>
    <n v="0"/>
    <n v="0"/>
    <x v="1"/>
    <x v="1"/>
    <x v="0"/>
    <x v="3"/>
    <x v="0"/>
    <n v="1"/>
  </r>
  <r>
    <n v="706"/>
    <x v="2"/>
    <x v="1"/>
    <x v="4"/>
    <n v="5"/>
    <n v="112564.62"/>
    <x v="1"/>
    <s v="Yes"/>
    <x v="0"/>
    <n v="42334.38"/>
    <x v="1"/>
    <n v="0.158679044926435"/>
    <s v="No"/>
    <n v="0"/>
    <n v="0"/>
    <x v="1"/>
    <x v="2"/>
    <x v="0"/>
    <x v="2"/>
    <x v="2"/>
    <n v="1"/>
  </r>
  <r>
    <n v="578"/>
    <x v="2"/>
    <x v="0"/>
    <x v="2"/>
    <n v="7"/>
    <n v="82259.289999999994"/>
    <x v="1"/>
    <s v="Yes"/>
    <x v="0"/>
    <n v="8996.9699999999993"/>
    <x v="1"/>
    <n v="0.1682923056182348"/>
    <s v="No"/>
    <n v="0"/>
    <n v="0"/>
    <x v="1"/>
    <x v="1"/>
    <x v="2"/>
    <x v="1"/>
    <x v="2"/>
    <n v="1"/>
  </r>
  <r>
    <n v="459"/>
    <x v="1"/>
    <x v="0"/>
    <x v="20"/>
    <n v="4"/>
    <n v="133994.51999999999"/>
    <x v="1"/>
    <s v="Yes"/>
    <x v="1"/>
    <n v="19287.060000000001"/>
    <x v="0"/>
    <n v="0.29365325301953121"/>
    <s v="No"/>
    <n v="1"/>
    <n v="0"/>
    <x v="0"/>
    <x v="0"/>
    <x v="0"/>
    <x v="4"/>
    <x v="2"/>
    <n v="0"/>
  </r>
  <r>
    <n v="632"/>
    <x v="1"/>
    <x v="1"/>
    <x v="6"/>
    <n v="3"/>
    <n v="81877.38"/>
    <x v="1"/>
    <s v="Yes"/>
    <x v="1"/>
    <n v="33642.21"/>
    <x v="1"/>
    <n v="0.25441251050349473"/>
    <s v="No"/>
    <n v="0"/>
    <n v="0"/>
    <x v="0"/>
    <x v="0"/>
    <x v="2"/>
    <x v="0"/>
    <x v="2"/>
    <n v="1"/>
  </r>
  <r>
    <n v="694"/>
    <x v="0"/>
    <x v="0"/>
    <x v="26"/>
    <n v="8"/>
    <n v="116326.07"/>
    <x v="1"/>
    <s v="Yes"/>
    <x v="1"/>
    <n v="117704.65"/>
    <x v="1"/>
    <n v="0.23248425490008251"/>
    <s v="No"/>
    <n v="0"/>
    <n v="0"/>
    <x v="0"/>
    <x v="3"/>
    <x v="0"/>
    <x v="0"/>
    <x v="0"/>
    <n v="1"/>
  </r>
  <r>
    <n v="559"/>
    <x v="2"/>
    <x v="1"/>
    <x v="18"/>
    <n v="3"/>
    <n v="127070.73"/>
    <x v="1"/>
    <s v="No"/>
    <x v="1"/>
    <n v="160941.78"/>
    <x v="1"/>
    <n v="8.8470550907483819E-2"/>
    <s v="No"/>
    <n v="0"/>
    <n v="0"/>
    <x v="1"/>
    <x v="1"/>
    <x v="0"/>
    <x v="1"/>
    <x v="1"/>
    <n v="1"/>
  </r>
  <r>
    <n v="788"/>
    <x v="0"/>
    <x v="1"/>
    <x v="39"/>
    <n v="1"/>
    <n v="0"/>
    <x v="0"/>
    <s v="Yes"/>
    <x v="1"/>
    <n v="41610.620000000003"/>
    <x v="1"/>
    <n v="0.48520594065109829"/>
    <s v="No"/>
    <n v="0"/>
    <n v="0"/>
    <x v="0"/>
    <x v="4"/>
    <x v="1"/>
    <x v="2"/>
    <x v="2"/>
    <n v="1"/>
  </r>
  <r>
    <n v="715"/>
    <x v="2"/>
    <x v="1"/>
    <x v="18"/>
    <n v="2"/>
    <n v="112212.14"/>
    <x v="0"/>
    <s v="Yes"/>
    <x v="1"/>
    <n v="181600.72"/>
    <x v="1"/>
    <n v="7.0211415543030453E-2"/>
    <s v="No"/>
    <n v="0"/>
    <n v="0"/>
    <x v="1"/>
    <x v="1"/>
    <x v="0"/>
    <x v="2"/>
    <x v="1"/>
    <n v="1"/>
  </r>
  <r>
    <n v="543"/>
    <x v="1"/>
    <x v="1"/>
    <x v="26"/>
    <n v="1"/>
    <n v="106138.33"/>
    <x v="0"/>
    <s v="Yes"/>
    <x v="1"/>
    <n v="120657.32"/>
    <x v="0"/>
    <n v="0.55424024642465441"/>
    <s v="Yes"/>
    <n v="1"/>
    <n v="1"/>
    <x v="2"/>
    <x v="3"/>
    <x v="0"/>
    <x v="1"/>
    <x v="0"/>
    <n v="1"/>
  </r>
  <r>
    <n v="669"/>
    <x v="2"/>
    <x v="0"/>
    <x v="24"/>
    <n v="7"/>
    <n v="95128.86"/>
    <x v="1"/>
    <s v="No"/>
    <x v="0"/>
    <n v="19799.259999999998"/>
    <x v="1"/>
    <n v="0.1014594385662355"/>
    <s v="No"/>
    <n v="0"/>
    <n v="0"/>
    <x v="1"/>
    <x v="2"/>
    <x v="2"/>
    <x v="0"/>
    <x v="2"/>
    <n v="1"/>
  </r>
  <r>
    <n v="580"/>
    <x v="2"/>
    <x v="1"/>
    <x v="22"/>
    <n v="8"/>
    <n v="0"/>
    <x v="0"/>
    <s v="No"/>
    <x v="1"/>
    <n v="10357.030000000001"/>
    <x v="1"/>
    <n v="6.4939264675807309E-2"/>
    <s v="No"/>
    <n v="0"/>
    <n v="0"/>
    <x v="1"/>
    <x v="1"/>
    <x v="1"/>
    <x v="1"/>
    <x v="2"/>
    <n v="1"/>
  </r>
  <r>
    <n v="540"/>
    <x v="2"/>
    <x v="0"/>
    <x v="20"/>
    <n v="0"/>
    <n v="148116.48000000001"/>
    <x v="1"/>
    <s v="No"/>
    <x v="0"/>
    <n v="116973.48"/>
    <x v="1"/>
    <n v="0.39419489215591341"/>
    <s v="No"/>
    <n v="0"/>
    <n v="0"/>
    <x v="0"/>
    <x v="0"/>
    <x v="0"/>
    <x v="1"/>
    <x v="0"/>
    <n v="1"/>
  </r>
  <r>
    <n v="459"/>
    <x v="0"/>
    <x v="1"/>
    <x v="3"/>
    <n v="6"/>
    <n v="129634.25"/>
    <x v="0"/>
    <s v="Yes"/>
    <x v="1"/>
    <n v="177683.02"/>
    <x v="0"/>
    <n v="0.16937672343455329"/>
    <s v="No"/>
    <n v="1"/>
    <n v="0"/>
    <x v="1"/>
    <x v="0"/>
    <x v="0"/>
    <x v="4"/>
    <x v="1"/>
    <n v="0"/>
  </r>
  <r>
    <n v="787"/>
    <x v="2"/>
    <x v="1"/>
    <x v="3"/>
    <n v="10"/>
    <n v="145988.65"/>
    <x v="0"/>
    <s v="Yes"/>
    <x v="1"/>
    <n v="79510.37"/>
    <x v="1"/>
    <n v="0.1248538947446466"/>
    <s v="No"/>
    <n v="0"/>
    <n v="0"/>
    <x v="1"/>
    <x v="0"/>
    <x v="0"/>
    <x v="2"/>
    <x v="3"/>
    <n v="1"/>
  </r>
  <r>
    <n v="738"/>
    <x v="1"/>
    <x v="0"/>
    <x v="12"/>
    <n v="9"/>
    <n v="121152.05"/>
    <x v="0"/>
    <s v="Yes"/>
    <x v="0"/>
    <n v="64166.7"/>
    <x v="0"/>
    <n v="0.36315643971706357"/>
    <s v="No"/>
    <n v="1"/>
    <n v="0"/>
    <x v="0"/>
    <x v="0"/>
    <x v="0"/>
    <x v="2"/>
    <x v="3"/>
    <n v="0"/>
  </r>
  <r>
    <n v="497"/>
    <x v="2"/>
    <x v="0"/>
    <x v="35"/>
    <n v="6"/>
    <n v="0"/>
    <x v="1"/>
    <s v="Yes"/>
    <x v="1"/>
    <n v="90055.08"/>
    <x v="1"/>
    <n v="0.1077733545486516"/>
    <s v="No"/>
    <n v="0"/>
    <n v="0"/>
    <x v="1"/>
    <x v="0"/>
    <x v="1"/>
    <x v="4"/>
    <x v="3"/>
    <n v="1"/>
  </r>
  <r>
    <n v="525"/>
    <x v="2"/>
    <x v="0"/>
    <x v="28"/>
    <n v="2"/>
    <n v="114628.4"/>
    <x v="1"/>
    <s v="No"/>
    <x v="1"/>
    <n v="168290.06"/>
    <x v="1"/>
    <n v="7.6225537509861691E-2"/>
    <s v="No"/>
    <n v="0"/>
    <n v="0"/>
    <x v="1"/>
    <x v="1"/>
    <x v="0"/>
    <x v="1"/>
    <x v="1"/>
    <n v="1"/>
  </r>
  <r>
    <n v="606"/>
    <x v="2"/>
    <x v="0"/>
    <x v="21"/>
    <n v="5"/>
    <n v="0"/>
    <x v="0"/>
    <s v="Yes"/>
    <x v="1"/>
    <n v="70899.27"/>
    <x v="1"/>
    <n v="5.7235312845469302E-2"/>
    <s v="No"/>
    <n v="0"/>
    <n v="0"/>
    <x v="1"/>
    <x v="1"/>
    <x v="1"/>
    <x v="0"/>
    <x v="3"/>
    <n v="1"/>
  </r>
  <r>
    <n v="664"/>
    <x v="1"/>
    <x v="1"/>
    <x v="28"/>
    <n v="2"/>
    <n v="127160.78"/>
    <x v="0"/>
    <s v="Yes"/>
    <x v="0"/>
    <n v="78140.75"/>
    <x v="1"/>
    <n v="0.42091181678869982"/>
    <s v="No"/>
    <n v="0"/>
    <n v="0"/>
    <x v="0"/>
    <x v="1"/>
    <x v="0"/>
    <x v="0"/>
    <x v="3"/>
    <n v="1"/>
  </r>
  <r>
    <n v="736"/>
    <x v="0"/>
    <x v="1"/>
    <x v="17"/>
    <n v="2"/>
    <n v="0"/>
    <x v="0"/>
    <s v="Yes"/>
    <x v="1"/>
    <n v="117431.1"/>
    <x v="1"/>
    <n v="4.2767320667394318E-2"/>
    <s v="No"/>
    <n v="0"/>
    <n v="0"/>
    <x v="1"/>
    <x v="2"/>
    <x v="1"/>
    <x v="2"/>
    <x v="0"/>
    <n v="1"/>
  </r>
  <r>
    <n v="633"/>
    <x v="2"/>
    <x v="1"/>
    <x v="11"/>
    <n v="9"/>
    <n v="156091.97"/>
    <x v="1"/>
    <s v="Yes"/>
    <x v="0"/>
    <n v="72008.61"/>
    <x v="1"/>
    <n v="0.27381739098647789"/>
    <s v="No"/>
    <n v="0"/>
    <n v="0"/>
    <x v="0"/>
    <x v="1"/>
    <x v="3"/>
    <x v="0"/>
    <x v="3"/>
    <n v="1"/>
  </r>
  <r>
    <n v="663"/>
    <x v="1"/>
    <x v="1"/>
    <x v="28"/>
    <n v="6"/>
    <n v="77253.5"/>
    <x v="1"/>
    <s v="No"/>
    <x v="0"/>
    <n v="35817.97"/>
    <x v="0"/>
    <n v="0.39778739294500159"/>
    <s v="No"/>
    <n v="1"/>
    <n v="0"/>
    <x v="0"/>
    <x v="1"/>
    <x v="2"/>
    <x v="0"/>
    <x v="2"/>
    <n v="0"/>
  </r>
  <r>
    <n v="710"/>
    <x v="0"/>
    <x v="1"/>
    <x v="29"/>
    <n v="2"/>
    <n v="135277.96"/>
    <x v="1"/>
    <s v="Yes"/>
    <x v="0"/>
    <n v="142200.15"/>
    <x v="1"/>
    <n v="0.16710048452442861"/>
    <s v="No"/>
    <n v="0"/>
    <n v="0"/>
    <x v="1"/>
    <x v="2"/>
    <x v="0"/>
    <x v="2"/>
    <x v="0"/>
    <n v="1"/>
  </r>
  <r>
    <n v="720"/>
    <x v="1"/>
    <x v="0"/>
    <x v="37"/>
    <n v="9"/>
    <n v="115920.62"/>
    <x v="0"/>
    <s v="No"/>
    <x v="0"/>
    <n v="157552.07999999999"/>
    <x v="0"/>
    <n v="0.68558453534676944"/>
    <s v="Yes"/>
    <n v="1"/>
    <n v="1"/>
    <x v="2"/>
    <x v="3"/>
    <x v="0"/>
    <x v="2"/>
    <x v="1"/>
    <n v="1"/>
  </r>
  <r>
    <n v="742"/>
    <x v="1"/>
    <x v="1"/>
    <x v="28"/>
    <n v="2"/>
    <n v="129748.54"/>
    <x v="0"/>
    <s v="No"/>
    <x v="0"/>
    <n v="47271.61"/>
    <x v="0"/>
    <n v="0.41304718821903241"/>
    <s v="No"/>
    <n v="1"/>
    <n v="0"/>
    <x v="0"/>
    <x v="1"/>
    <x v="0"/>
    <x v="2"/>
    <x v="2"/>
    <n v="0"/>
  </r>
  <r>
    <n v="648"/>
    <x v="2"/>
    <x v="0"/>
    <x v="5"/>
    <n v="7"/>
    <n v="134944"/>
    <x v="1"/>
    <s v="Yes"/>
    <x v="1"/>
    <n v="117036.38"/>
    <x v="1"/>
    <n v="5.1706486365292743E-2"/>
    <s v="No"/>
    <n v="0"/>
    <n v="0"/>
    <x v="1"/>
    <x v="1"/>
    <x v="0"/>
    <x v="0"/>
    <x v="0"/>
    <n v="1"/>
  </r>
  <r>
    <n v="692"/>
    <x v="0"/>
    <x v="0"/>
    <x v="17"/>
    <n v="9"/>
    <n v="118945.09"/>
    <x v="1"/>
    <s v="No"/>
    <x v="0"/>
    <n v="16064.25"/>
    <x v="0"/>
    <n v="9.2244098406850036E-2"/>
    <s v="No"/>
    <n v="1"/>
    <n v="0"/>
    <x v="1"/>
    <x v="2"/>
    <x v="0"/>
    <x v="0"/>
    <x v="2"/>
    <n v="0"/>
  </r>
  <r>
    <n v="688"/>
    <x v="2"/>
    <x v="0"/>
    <x v="27"/>
    <n v="1"/>
    <n v="0"/>
    <x v="0"/>
    <s v="Yes"/>
    <x v="1"/>
    <n v="104435.94"/>
    <x v="1"/>
    <n v="2.1958316191968041E-2"/>
    <s v="No"/>
    <n v="0"/>
    <n v="0"/>
    <x v="1"/>
    <x v="2"/>
    <x v="1"/>
    <x v="0"/>
    <x v="0"/>
    <n v="1"/>
  </r>
  <r>
    <n v="698"/>
    <x v="2"/>
    <x v="0"/>
    <x v="28"/>
    <n v="2"/>
    <n v="82275.350000000006"/>
    <x v="0"/>
    <s v="Yes"/>
    <x v="1"/>
    <n v="93249.26"/>
    <x v="1"/>
    <n v="5.3342481075167147E-2"/>
    <s v="No"/>
    <n v="0"/>
    <n v="0"/>
    <x v="1"/>
    <x v="1"/>
    <x v="2"/>
    <x v="0"/>
    <x v="3"/>
    <n v="1"/>
  </r>
  <r>
    <n v="614"/>
    <x v="1"/>
    <x v="1"/>
    <x v="18"/>
    <n v="7"/>
    <n v="120599.38"/>
    <x v="0"/>
    <s v="Yes"/>
    <x v="1"/>
    <n v="46163.44"/>
    <x v="1"/>
    <n v="0.1326092946123687"/>
    <s v="No"/>
    <n v="0"/>
    <n v="0"/>
    <x v="1"/>
    <x v="1"/>
    <x v="0"/>
    <x v="0"/>
    <x v="2"/>
    <n v="1"/>
  </r>
  <r>
    <n v="790"/>
    <x v="0"/>
    <x v="1"/>
    <x v="16"/>
    <n v="9"/>
    <n v="0"/>
    <x v="1"/>
    <s v="No"/>
    <x v="0"/>
    <n v="14679.81"/>
    <x v="0"/>
    <n v="0.31343886862459019"/>
    <s v="No"/>
    <n v="1"/>
    <n v="0"/>
    <x v="0"/>
    <x v="0"/>
    <x v="1"/>
    <x v="2"/>
    <x v="2"/>
    <n v="0"/>
  </r>
  <r>
    <n v="618"/>
    <x v="2"/>
    <x v="1"/>
    <x v="22"/>
    <n v="10"/>
    <n v="0"/>
    <x v="0"/>
    <s v="Yes"/>
    <x v="0"/>
    <n v="180439.75"/>
    <x v="1"/>
    <n v="0.17076245249163591"/>
    <s v="No"/>
    <n v="0"/>
    <n v="0"/>
    <x v="1"/>
    <x v="1"/>
    <x v="1"/>
    <x v="0"/>
    <x v="1"/>
    <n v="1"/>
  </r>
  <r>
    <n v="516"/>
    <x v="0"/>
    <x v="1"/>
    <x v="5"/>
    <n v="3"/>
    <n v="0"/>
    <x v="0"/>
    <s v="Yes"/>
    <x v="1"/>
    <n v="58685.59"/>
    <x v="1"/>
    <n v="6.6692068020055534E-2"/>
    <s v="No"/>
    <n v="0"/>
    <n v="0"/>
    <x v="1"/>
    <x v="1"/>
    <x v="1"/>
    <x v="1"/>
    <x v="3"/>
    <n v="1"/>
  </r>
  <r>
    <n v="700"/>
    <x v="2"/>
    <x v="1"/>
    <x v="27"/>
    <n v="2"/>
    <n v="0"/>
    <x v="0"/>
    <s v="No"/>
    <x v="0"/>
    <n v="50051.42"/>
    <x v="1"/>
    <n v="0.10107150126771081"/>
    <s v="No"/>
    <n v="0"/>
    <n v="0"/>
    <x v="1"/>
    <x v="2"/>
    <x v="1"/>
    <x v="0"/>
    <x v="3"/>
    <n v="1"/>
  </r>
  <r>
    <n v="633"/>
    <x v="2"/>
    <x v="1"/>
    <x v="24"/>
    <n v="6"/>
    <n v="0"/>
    <x v="0"/>
    <s v="No"/>
    <x v="0"/>
    <n v="41642.29"/>
    <x v="1"/>
    <n v="0.12709714142508119"/>
    <s v="No"/>
    <n v="0"/>
    <n v="0"/>
    <x v="1"/>
    <x v="2"/>
    <x v="1"/>
    <x v="0"/>
    <x v="2"/>
    <n v="1"/>
  </r>
  <r>
    <n v="773"/>
    <x v="0"/>
    <x v="1"/>
    <x v="6"/>
    <n v="5"/>
    <n v="0"/>
    <x v="1"/>
    <s v="Yes"/>
    <x v="0"/>
    <n v="28266.9"/>
    <x v="0"/>
    <n v="0.2520425313093041"/>
    <s v="No"/>
    <n v="1"/>
    <n v="0"/>
    <x v="0"/>
    <x v="0"/>
    <x v="1"/>
    <x v="2"/>
    <x v="2"/>
    <n v="0"/>
  </r>
  <r>
    <n v="505"/>
    <x v="2"/>
    <x v="0"/>
    <x v="9"/>
    <n v="7"/>
    <n v="80001.23"/>
    <x v="1"/>
    <s v="No"/>
    <x v="0"/>
    <n v="135180.10999999999"/>
    <x v="1"/>
    <n v="0.34607055903503992"/>
    <s v="No"/>
    <n v="0"/>
    <n v="0"/>
    <x v="0"/>
    <x v="0"/>
    <x v="2"/>
    <x v="1"/>
    <x v="0"/>
    <n v="1"/>
  </r>
  <r>
    <n v="705"/>
    <x v="2"/>
    <x v="0"/>
    <x v="36"/>
    <n v="0"/>
    <n v="97544.29"/>
    <x v="1"/>
    <s v="No"/>
    <x v="1"/>
    <n v="59887.15"/>
    <x v="1"/>
    <n v="2.9350207529945879E-2"/>
    <s v="No"/>
    <n v="0"/>
    <n v="0"/>
    <x v="1"/>
    <x v="2"/>
    <x v="2"/>
    <x v="2"/>
    <x v="3"/>
    <n v="1"/>
  </r>
  <r>
    <n v="511"/>
    <x v="1"/>
    <x v="1"/>
    <x v="6"/>
    <n v="8"/>
    <n v="153895.65"/>
    <x v="1"/>
    <s v="Yes"/>
    <x v="1"/>
    <n v="39087.42"/>
    <x v="1"/>
    <n v="0.28891075322201398"/>
    <s v="No"/>
    <n v="0"/>
    <n v="0"/>
    <x v="0"/>
    <x v="0"/>
    <x v="3"/>
    <x v="1"/>
    <x v="2"/>
    <n v="1"/>
  </r>
  <r>
    <n v="523"/>
    <x v="0"/>
    <x v="0"/>
    <x v="25"/>
    <n v="4"/>
    <n v="0"/>
    <x v="0"/>
    <s v="Yes"/>
    <x v="0"/>
    <n v="167848.02"/>
    <x v="1"/>
    <n v="0.1058539175452447"/>
    <s v="No"/>
    <n v="0"/>
    <n v="0"/>
    <x v="1"/>
    <x v="1"/>
    <x v="1"/>
    <x v="1"/>
    <x v="1"/>
    <n v="1"/>
  </r>
  <r>
    <n v="667"/>
    <x v="2"/>
    <x v="0"/>
    <x v="12"/>
    <n v="8"/>
    <n v="190227.46"/>
    <x v="1"/>
    <s v="Yes"/>
    <x v="0"/>
    <n v="97508.04"/>
    <x v="0"/>
    <n v="0.27291809820838442"/>
    <s v="No"/>
    <n v="1"/>
    <n v="0"/>
    <x v="0"/>
    <x v="0"/>
    <x v="3"/>
    <x v="0"/>
    <x v="3"/>
    <n v="0"/>
  </r>
  <r>
    <n v="594"/>
    <x v="2"/>
    <x v="0"/>
    <x v="2"/>
    <n v="4"/>
    <n v="0"/>
    <x v="0"/>
    <s v="No"/>
    <x v="0"/>
    <n v="186884.04"/>
    <x v="1"/>
    <n v="0.1500045563816948"/>
    <s v="No"/>
    <n v="0"/>
    <n v="0"/>
    <x v="1"/>
    <x v="1"/>
    <x v="1"/>
    <x v="1"/>
    <x v="1"/>
    <n v="1"/>
  </r>
  <r>
    <n v="636"/>
    <x v="2"/>
    <x v="1"/>
    <x v="20"/>
    <n v="1"/>
    <n v="170833.46"/>
    <x v="1"/>
    <s v="Yes"/>
    <x v="0"/>
    <n v="110510.28"/>
    <x v="0"/>
    <n v="0.51363583428939874"/>
    <s v="Yes"/>
    <n v="1"/>
    <n v="1"/>
    <x v="2"/>
    <x v="0"/>
    <x v="3"/>
    <x v="0"/>
    <x v="0"/>
    <n v="1"/>
  </r>
  <r>
    <n v="501"/>
    <x v="2"/>
    <x v="1"/>
    <x v="10"/>
    <n v="9"/>
    <n v="117301.66"/>
    <x v="1"/>
    <s v="No"/>
    <x v="0"/>
    <n v="182025.95"/>
    <x v="1"/>
    <n v="0.32240584649087389"/>
    <s v="No"/>
    <n v="0"/>
    <n v="0"/>
    <x v="0"/>
    <x v="1"/>
    <x v="0"/>
    <x v="1"/>
    <x v="1"/>
    <n v="1"/>
  </r>
  <r>
    <n v="518"/>
    <x v="2"/>
    <x v="1"/>
    <x v="1"/>
    <n v="9"/>
    <n v="105525.65"/>
    <x v="0"/>
    <s v="Yes"/>
    <x v="1"/>
    <n v="73418.289999999994"/>
    <x v="1"/>
    <n v="0.1641698718258485"/>
    <s v="No"/>
    <n v="0"/>
    <n v="0"/>
    <x v="1"/>
    <x v="0"/>
    <x v="0"/>
    <x v="1"/>
    <x v="3"/>
    <n v="1"/>
  </r>
  <r>
    <n v="585"/>
    <x v="2"/>
    <x v="0"/>
    <x v="3"/>
    <n v="2"/>
    <n v="0"/>
    <x v="0"/>
    <s v="Yes"/>
    <x v="1"/>
    <n v="18657.77"/>
    <x v="1"/>
    <n v="6.8562389583464139E-2"/>
    <s v="No"/>
    <n v="0"/>
    <n v="0"/>
    <x v="1"/>
    <x v="0"/>
    <x v="1"/>
    <x v="1"/>
    <x v="2"/>
    <n v="1"/>
  </r>
  <r>
    <n v="733"/>
    <x v="1"/>
    <x v="0"/>
    <x v="40"/>
    <n v="3"/>
    <n v="106545.53"/>
    <x v="1"/>
    <s v="Yes"/>
    <x v="1"/>
    <n v="134589.57999999999"/>
    <x v="1"/>
    <n v="0.70465663558470348"/>
    <s v="Yes"/>
    <n v="0"/>
    <n v="1"/>
    <x v="2"/>
    <x v="4"/>
    <x v="0"/>
    <x v="2"/>
    <x v="0"/>
    <n v="0"/>
  </r>
  <r>
    <n v="728"/>
    <x v="1"/>
    <x v="1"/>
    <x v="22"/>
    <n v="8"/>
    <n v="125884.95"/>
    <x v="0"/>
    <s v="Yes"/>
    <x v="0"/>
    <n v="54359.02"/>
    <x v="0"/>
    <n v="0.36062054226187629"/>
    <s v="No"/>
    <n v="1"/>
    <n v="0"/>
    <x v="0"/>
    <x v="1"/>
    <x v="0"/>
    <x v="2"/>
    <x v="3"/>
    <n v="0"/>
  </r>
  <r>
    <n v="657"/>
    <x v="1"/>
    <x v="0"/>
    <x v="36"/>
    <n v="2"/>
    <n v="171770.55"/>
    <x v="1"/>
    <s v="Yes"/>
    <x v="0"/>
    <n v="22745.5"/>
    <x v="1"/>
    <n v="0.18432060930844871"/>
    <s v="No"/>
    <n v="0"/>
    <n v="0"/>
    <x v="1"/>
    <x v="2"/>
    <x v="3"/>
    <x v="0"/>
    <x v="2"/>
    <n v="1"/>
  </r>
  <r>
    <n v="639"/>
    <x v="1"/>
    <x v="0"/>
    <x v="2"/>
    <n v="5"/>
    <n v="130170.82"/>
    <x v="1"/>
    <s v="Yes"/>
    <x v="1"/>
    <n v="149599.62"/>
    <x v="1"/>
    <n v="0.15458963528390701"/>
    <s v="No"/>
    <n v="0"/>
    <n v="0"/>
    <x v="1"/>
    <x v="1"/>
    <x v="0"/>
    <x v="0"/>
    <x v="0"/>
    <n v="1"/>
  </r>
  <r>
    <n v="512"/>
    <x v="0"/>
    <x v="0"/>
    <x v="28"/>
    <n v="1"/>
    <n v="0"/>
    <x v="1"/>
    <s v="No"/>
    <x v="1"/>
    <n v="135482.26"/>
    <x v="0"/>
    <n v="6.0482783554536262E-2"/>
    <s v="No"/>
    <n v="1"/>
    <n v="0"/>
    <x v="1"/>
    <x v="1"/>
    <x v="1"/>
    <x v="1"/>
    <x v="0"/>
    <n v="0"/>
  </r>
  <r>
    <n v="577"/>
    <x v="2"/>
    <x v="1"/>
    <x v="11"/>
    <n v="4"/>
    <n v="0"/>
    <x v="1"/>
    <s v="Yes"/>
    <x v="1"/>
    <n v="79881.39"/>
    <x v="1"/>
    <n v="8.8858697311289314E-2"/>
    <s v="No"/>
    <n v="0"/>
    <n v="0"/>
    <x v="1"/>
    <x v="1"/>
    <x v="1"/>
    <x v="1"/>
    <x v="3"/>
    <n v="1"/>
  </r>
  <r>
    <n v="710"/>
    <x v="0"/>
    <x v="0"/>
    <x v="22"/>
    <n v="1"/>
    <n v="106518.52"/>
    <x v="1"/>
    <s v="Yes"/>
    <x v="1"/>
    <n v="127951.81"/>
    <x v="1"/>
    <n v="6.2126964536388933E-2"/>
    <s v="No"/>
    <n v="0"/>
    <n v="0"/>
    <x v="1"/>
    <x v="1"/>
    <x v="0"/>
    <x v="2"/>
    <x v="0"/>
    <n v="1"/>
  </r>
  <r>
    <n v="635"/>
    <x v="2"/>
    <x v="1"/>
    <x v="20"/>
    <n v="8"/>
    <n v="130796.33"/>
    <x v="0"/>
    <s v="Yes"/>
    <x v="1"/>
    <n v="43250.3"/>
    <x v="1"/>
    <n v="0.19495323515109431"/>
    <s v="No"/>
    <n v="0"/>
    <n v="0"/>
    <x v="1"/>
    <x v="0"/>
    <x v="0"/>
    <x v="0"/>
    <x v="2"/>
    <n v="1"/>
  </r>
  <r>
    <n v="789"/>
    <x v="1"/>
    <x v="0"/>
    <x v="5"/>
    <n v="8"/>
    <n v="151607.56"/>
    <x v="1"/>
    <s v="Yes"/>
    <x v="0"/>
    <n v="4389.3999999999996"/>
    <x v="1"/>
    <n v="0.2372092416006113"/>
    <s v="No"/>
    <n v="0"/>
    <n v="0"/>
    <x v="0"/>
    <x v="1"/>
    <x v="3"/>
    <x v="2"/>
    <x v="2"/>
    <n v="1"/>
  </r>
  <r>
    <n v="571"/>
    <x v="1"/>
    <x v="1"/>
    <x v="41"/>
    <n v="9"/>
    <n v="111577.01"/>
    <x v="1"/>
    <s v="No"/>
    <x v="1"/>
    <n v="189271.9"/>
    <x v="1"/>
    <n v="0.70979282390295273"/>
    <s v="Yes"/>
    <n v="0"/>
    <n v="1"/>
    <x v="2"/>
    <x v="4"/>
    <x v="0"/>
    <x v="1"/>
    <x v="1"/>
    <n v="0"/>
  </r>
  <r>
    <n v="665"/>
    <x v="0"/>
    <x v="1"/>
    <x v="3"/>
    <n v="2"/>
    <n v="156371.60999999999"/>
    <x v="0"/>
    <s v="No"/>
    <x v="1"/>
    <n v="156774.94"/>
    <x v="0"/>
    <n v="0.17311560434921891"/>
    <s v="No"/>
    <n v="1"/>
    <n v="0"/>
    <x v="1"/>
    <x v="0"/>
    <x v="3"/>
    <x v="0"/>
    <x v="1"/>
    <n v="0"/>
  </r>
  <r>
    <n v="531"/>
    <x v="0"/>
    <x v="0"/>
    <x v="29"/>
    <n v="8"/>
    <n v="132576.25"/>
    <x v="1"/>
    <s v="No"/>
    <x v="0"/>
    <n v="7222.92"/>
    <x v="1"/>
    <n v="9.9849717939443541E-2"/>
    <s v="No"/>
    <n v="0"/>
    <n v="0"/>
    <x v="1"/>
    <x v="2"/>
    <x v="0"/>
    <x v="1"/>
    <x v="2"/>
    <n v="1"/>
  </r>
  <r>
    <n v="685"/>
    <x v="0"/>
    <x v="0"/>
    <x v="22"/>
    <n v="4"/>
    <n v="137948.51"/>
    <x v="1"/>
    <s v="Yes"/>
    <x v="0"/>
    <n v="113639.64"/>
    <x v="1"/>
    <n v="0.1689383204587975"/>
    <s v="No"/>
    <n v="0"/>
    <n v="0"/>
    <x v="1"/>
    <x v="1"/>
    <x v="0"/>
    <x v="0"/>
    <x v="0"/>
    <n v="1"/>
  </r>
  <r>
    <n v="683"/>
    <x v="1"/>
    <x v="1"/>
    <x v="12"/>
    <n v="4"/>
    <n v="115888.04"/>
    <x v="1"/>
    <s v="Yes"/>
    <x v="1"/>
    <n v="117349.19"/>
    <x v="0"/>
    <n v="0.29999005272349027"/>
    <s v="No"/>
    <n v="1"/>
    <n v="0"/>
    <x v="0"/>
    <x v="0"/>
    <x v="0"/>
    <x v="0"/>
    <x v="0"/>
    <n v="0"/>
  </r>
  <r>
    <n v="638"/>
    <x v="2"/>
    <x v="1"/>
    <x v="20"/>
    <n v="10"/>
    <n v="138333.03"/>
    <x v="1"/>
    <s v="Yes"/>
    <x v="1"/>
    <n v="47679.14"/>
    <x v="1"/>
    <n v="0.20847031003947139"/>
    <s v="No"/>
    <n v="0"/>
    <n v="0"/>
    <x v="0"/>
    <x v="0"/>
    <x v="0"/>
    <x v="0"/>
    <x v="2"/>
    <n v="1"/>
  </r>
  <r>
    <n v="586"/>
    <x v="2"/>
    <x v="1"/>
    <x v="12"/>
    <n v="8"/>
    <n v="132558.26"/>
    <x v="1"/>
    <s v="Yes"/>
    <x v="0"/>
    <n v="67046.83"/>
    <x v="0"/>
    <n v="0.36753074789462908"/>
    <s v="No"/>
    <n v="1"/>
    <n v="0"/>
    <x v="0"/>
    <x v="0"/>
    <x v="0"/>
    <x v="1"/>
    <x v="3"/>
    <n v="0"/>
  </r>
  <r>
    <n v="668"/>
    <x v="2"/>
    <x v="0"/>
    <x v="25"/>
    <n v="7"/>
    <n v="0"/>
    <x v="0"/>
    <s v="Yes"/>
    <x v="1"/>
    <n v="777.37"/>
    <x v="1"/>
    <n v="2.887940883317737E-2"/>
    <s v="No"/>
    <n v="0"/>
    <n v="0"/>
    <x v="1"/>
    <x v="1"/>
    <x v="1"/>
    <x v="0"/>
    <x v="2"/>
    <n v="1"/>
  </r>
  <r>
    <n v="659"/>
    <x v="0"/>
    <x v="0"/>
    <x v="18"/>
    <n v="7"/>
    <n v="149620.88"/>
    <x v="0"/>
    <s v="Yes"/>
    <x v="1"/>
    <n v="104533.51"/>
    <x v="1"/>
    <n v="4.3155725635801348E-2"/>
    <s v="No"/>
    <n v="0"/>
    <n v="0"/>
    <x v="1"/>
    <x v="1"/>
    <x v="0"/>
    <x v="0"/>
    <x v="0"/>
    <n v="1"/>
  </r>
  <r>
    <n v="661"/>
    <x v="0"/>
    <x v="1"/>
    <x v="17"/>
    <n v="7"/>
    <n v="95357.49"/>
    <x v="1"/>
    <s v="No"/>
    <x v="0"/>
    <n v="102297.15"/>
    <x v="1"/>
    <n v="0.15565546941584721"/>
    <s v="No"/>
    <n v="0"/>
    <n v="0"/>
    <x v="1"/>
    <x v="2"/>
    <x v="2"/>
    <x v="0"/>
    <x v="0"/>
    <n v="1"/>
  </r>
  <r>
    <n v="610"/>
    <x v="0"/>
    <x v="0"/>
    <x v="4"/>
    <n v="9"/>
    <n v="0"/>
    <x v="2"/>
    <s v="No"/>
    <x v="1"/>
    <n v="83912.24"/>
    <x v="1"/>
    <n v="2.3587152030851301E-2"/>
    <s v="No"/>
    <n v="0"/>
    <n v="0"/>
    <x v="1"/>
    <x v="2"/>
    <x v="1"/>
    <x v="0"/>
    <x v="3"/>
    <n v="1"/>
  </r>
  <r>
    <n v="587"/>
    <x v="0"/>
    <x v="0"/>
    <x v="33"/>
    <n v="7"/>
    <n v="121286.27"/>
    <x v="1"/>
    <s v="No"/>
    <x v="1"/>
    <n v="6776.92"/>
    <x v="1"/>
    <n v="0.32136720134931079"/>
    <s v="No"/>
    <n v="0"/>
    <n v="0"/>
    <x v="0"/>
    <x v="4"/>
    <x v="0"/>
    <x v="1"/>
    <x v="2"/>
    <n v="1"/>
  </r>
  <r>
    <n v="548"/>
    <x v="2"/>
    <x v="1"/>
    <x v="4"/>
    <n v="4"/>
    <n v="0"/>
    <x v="0"/>
    <s v="No"/>
    <x v="1"/>
    <n v="48673.18"/>
    <x v="1"/>
    <n v="4.7953799832025489E-2"/>
    <s v="No"/>
    <n v="0"/>
    <n v="0"/>
    <x v="1"/>
    <x v="2"/>
    <x v="1"/>
    <x v="1"/>
    <x v="2"/>
    <n v="1"/>
  </r>
  <r>
    <n v="633"/>
    <x v="2"/>
    <x v="0"/>
    <x v="18"/>
    <n v="1"/>
    <n v="0"/>
    <x v="1"/>
    <s v="Yes"/>
    <x v="0"/>
    <n v="48606.71"/>
    <x v="1"/>
    <n v="9.7429289197763572E-2"/>
    <s v="No"/>
    <n v="0"/>
    <n v="0"/>
    <x v="1"/>
    <x v="1"/>
    <x v="1"/>
    <x v="0"/>
    <x v="2"/>
    <n v="1"/>
  </r>
  <r>
    <n v="485"/>
    <x v="0"/>
    <x v="0"/>
    <x v="25"/>
    <n v="6"/>
    <n v="102238.01"/>
    <x v="0"/>
    <s v="Yes"/>
    <x v="1"/>
    <n v="194010.12"/>
    <x v="1"/>
    <n v="4.9391381742021297E-2"/>
    <s v="No"/>
    <n v="0"/>
    <n v="0"/>
    <x v="1"/>
    <x v="1"/>
    <x v="0"/>
    <x v="4"/>
    <x v="1"/>
    <n v="1"/>
  </r>
  <r>
    <n v="609"/>
    <x v="0"/>
    <x v="0"/>
    <x v="38"/>
    <n v="10"/>
    <n v="0"/>
    <x v="1"/>
    <s v="Yes"/>
    <x v="1"/>
    <n v="154642.91"/>
    <x v="1"/>
    <n v="0.1478123204931498"/>
    <s v="No"/>
    <n v="0"/>
    <n v="0"/>
    <x v="1"/>
    <x v="3"/>
    <x v="1"/>
    <x v="0"/>
    <x v="1"/>
    <n v="1"/>
  </r>
  <r>
    <n v="645"/>
    <x v="2"/>
    <x v="0"/>
    <x v="4"/>
    <n v="1"/>
    <n v="130131.08"/>
    <x v="0"/>
    <s v="No"/>
    <x v="1"/>
    <n v="196474.35"/>
    <x v="1"/>
    <n v="4.2141071876709471E-2"/>
    <s v="No"/>
    <n v="0"/>
    <n v="0"/>
    <x v="1"/>
    <x v="2"/>
    <x v="0"/>
    <x v="0"/>
    <x v="1"/>
    <n v="1"/>
  </r>
  <r>
    <n v="625"/>
    <x v="2"/>
    <x v="1"/>
    <x v="23"/>
    <n v="1"/>
    <n v="0"/>
    <x v="0"/>
    <s v="Yes"/>
    <x v="1"/>
    <n v="180969.55"/>
    <x v="1"/>
    <n v="3.5213256442633338E-2"/>
    <s v="No"/>
    <n v="0"/>
    <n v="0"/>
    <x v="1"/>
    <x v="2"/>
    <x v="1"/>
    <x v="0"/>
    <x v="1"/>
    <n v="1"/>
  </r>
  <r>
    <n v="625"/>
    <x v="0"/>
    <x v="1"/>
    <x v="9"/>
    <n v="2"/>
    <n v="80816.45"/>
    <x v="1"/>
    <s v="Yes"/>
    <x v="1"/>
    <n v="20018.79"/>
    <x v="1"/>
    <n v="0.22811287793790791"/>
    <s v="No"/>
    <n v="0"/>
    <n v="0"/>
    <x v="0"/>
    <x v="0"/>
    <x v="2"/>
    <x v="0"/>
    <x v="2"/>
    <n v="1"/>
  </r>
  <r>
    <n v="607"/>
    <x v="1"/>
    <x v="0"/>
    <x v="2"/>
    <n v="3"/>
    <n v="98205.77"/>
    <x v="1"/>
    <s v="Yes"/>
    <x v="0"/>
    <n v="176318.27"/>
    <x v="1"/>
    <n v="0.35083980512780011"/>
    <s v="No"/>
    <n v="0"/>
    <n v="0"/>
    <x v="0"/>
    <x v="1"/>
    <x v="2"/>
    <x v="0"/>
    <x v="1"/>
    <n v="1"/>
  </r>
  <r>
    <n v="490"/>
    <x v="0"/>
    <x v="1"/>
    <x v="20"/>
    <n v="8"/>
    <n v="155413.06"/>
    <x v="1"/>
    <s v="Yes"/>
    <x v="0"/>
    <n v="187921.3"/>
    <x v="1"/>
    <n v="0.5147180254498257"/>
    <s v="Yes"/>
    <n v="0"/>
    <n v="1"/>
    <x v="2"/>
    <x v="0"/>
    <x v="3"/>
    <x v="4"/>
    <x v="1"/>
    <n v="0"/>
  </r>
  <r>
    <n v="710"/>
    <x v="0"/>
    <x v="1"/>
    <x v="2"/>
    <n v="4"/>
    <n v="0"/>
    <x v="0"/>
    <s v="Yes"/>
    <x v="1"/>
    <n v="136390.88"/>
    <x v="1"/>
    <n v="8.4764203800507934E-2"/>
    <s v="No"/>
    <n v="0"/>
    <n v="0"/>
    <x v="1"/>
    <x v="1"/>
    <x v="1"/>
    <x v="2"/>
    <x v="0"/>
    <n v="1"/>
  </r>
  <r>
    <n v="594"/>
    <x v="2"/>
    <x v="0"/>
    <x v="26"/>
    <n v="6"/>
    <n v="0"/>
    <x v="1"/>
    <s v="Yes"/>
    <x v="0"/>
    <n v="19376.560000000001"/>
    <x v="0"/>
    <n v="0.40357521629862159"/>
    <s v="No"/>
    <n v="1"/>
    <n v="0"/>
    <x v="0"/>
    <x v="3"/>
    <x v="1"/>
    <x v="1"/>
    <x v="2"/>
    <n v="0"/>
  </r>
  <r>
    <n v="695"/>
    <x v="1"/>
    <x v="0"/>
    <x v="42"/>
    <n v="8"/>
    <n v="103023.26"/>
    <x v="1"/>
    <s v="Yes"/>
    <x v="1"/>
    <n v="22485.64"/>
    <x v="1"/>
    <n v="0.28848457868201888"/>
    <s v="No"/>
    <n v="0"/>
    <n v="0"/>
    <x v="0"/>
    <x v="3"/>
    <x v="0"/>
    <x v="0"/>
    <x v="2"/>
    <n v="1"/>
  </r>
  <r>
    <n v="702"/>
    <x v="0"/>
    <x v="0"/>
    <x v="10"/>
    <n v="8"/>
    <n v="0"/>
    <x v="0"/>
    <s v="Yes"/>
    <x v="0"/>
    <n v="99654.13"/>
    <x v="1"/>
    <n v="0.13504291069468491"/>
    <s v="No"/>
    <n v="0"/>
    <n v="0"/>
    <x v="1"/>
    <x v="1"/>
    <x v="1"/>
    <x v="2"/>
    <x v="3"/>
    <n v="1"/>
  </r>
  <r>
    <n v="664"/>
    <x v="2"/>
    <x v="0"/>
    <x v="25"/>
    <n v="10"/>
    <n v="107209.73"/>
    <x v="1"/>
    <s v="Yes"/>
    <x v="1"/>
    <n v="112340.2"/>
    <x v="1"/>
    <n v="4.1966012761836841E-2"/>
    <s v="No"/>
    <n v="0"/>
    <n v="0"/>
    <x v="1"/>
    <x v="1"/>
    <x v="0"/>
    <x v="0"/>
    <x v="0"/>
    <n v="1"/>
  </r>
  <r>
    <n v="461"/>
    <x v="0"/>
    <x v="1"/>
    <x v="22"/>
    <n v="8"/>
    <n v="0"/>
    <x v="1"/>
    <s v="Yes"/>
    <x v="0"/>
    <n v="132295.95000000001"/>
    <x v="1"/>
    <n v="0.21134068772542289"/>
    <s v="No"/>
    <n v="0"/>
    <n v="0"/>
    <x v="0"/>
    <x v="1"/>
    <x v="1"/>
    <x v="4"/>
    <x v="0"/>
    <n v="1"/>
  </r>
  <r>
    <n v="692"/>
    <x v="2"/>
    <x v="0"/>
    <x v="4"/>
    <n v="4"/>
    <n v="0"/>
    <x v="1"/>
    <s v="Yes"/>
    <x v="0"/>
    <n v="76755.990000000005"/>
    <x v="0"/>
    <n v="7.8814234236465233E-2"/>
    <s v="No"/>
    <n v="1"/>
    <n v="0"/>
    <x v="1"/>
    <x v="2"/>
    <x v="1"/>
    <x v="0"/>
    <x v="3"/>
    <n v="0"/>
  </r>
  <r>
    <n v="494"/>
    <x v="0"/>
    <x v="0"/>
    <x v="2"/>
    <n v="7"/>
    <n v="0"/>
    <x v="0"/>
    <s v="Yes"/>
    <x v="1"/>
    <n v="6203.66"/>
    <x v="1"/>
    <n v="5.1688946143690892E-2"/>
    <s v="No"/>
    <n v="0"/>
    <n v="0"/>
    <x v="1"/>
    <x v="1"/>
    <x v="1"/>
    <x v="4"/>
    <x v="2"/>
    <n v="1"/>
  </r>
  <r>
    <n v="731"/>
    <x v="2"/>
    <x v="1"/>
    <x v="35"/>
    <n v="1"/>
    <n v="115414.19"/>
    <x v="2"/>
    <s v="No"/>
    <x v="0"/>
    <n v="191734.67"/>
    <x v="0"/>
    <n v="0.4113451115790655"/>
    <s v="No"/>
    <n v="1"/>
    <n v="0"/>
    <x v="0"/>
    <x v="0"/>
    <x v="0"/>
    <x v="2"/>
    <x v="1"/>
    <n v="0"/>
  </r>
  <r>
    <n v="848"/>
    <x v="1"/>
    <x v="0"/>
    <x v="18"/>
    <n v="4"/>
    <n v="90018.45"/>
    <x v="0"/>
    <s v="Yes"/>
    <x v="0"/>
    <n v="193132.98"/>
    <x v="1"/>
    <n v="0.19226436867322921"/>
    <s v="No"/>
    <n v="0"/>
    <n v="0"/>
    <x v="1"/>
    <x v="1"/>
    <x v="2"/>
    <x v="3"/>
    <x v="1"/>
    <n v="1"/>
  </r>
  <r>
    <n v="809"/>
    <x v="2"/>
    <x v="1"/>
    <x v="23"/>
    <n v="4"/>
    <n v="0"/>
    <x v="0"/>
    <s v="Yes"/>
    <x v="0"/>
    <n v="193518.76"/>
    <x v="1"/>
    <n v="8.3146153074442786E-2"/>
    <s v="No"/>
    <n v="0"/>
    <n v="0"/>
    <x v="1"/>
    <x v="2"/>
    <x v="1"/>
    <x v="3"/>
    <x v="1"/>
    <n v="1"/>
  </r>
  <r>
    <n v="779"/>
    <x v="1"/>
    <x v="0"/>
    <x v="5"/>
    <n v="1"/>
    <n v="158456.76"/>
    <x v="1"/>
    <s v="Yes"/>
    <x v="1"/>
    <n v="197000.92"/>
    <x v="0"/>
    <n v="0.1205791274594535"/>
    <s v="No"/>
    <n v="1"/>
    <n v="0"/>
    <x v="1"/>
    <x v="1"/>
    <x v="3"/>
    <x v="2"/>
    <x v="1"/>
    <n v="0"/>
  </r>
  <r>
    <n v="669"/>
    <x v="2"/>
    <x v="1"/>
    <x v="22"/>
    <n v="7"/>
    <n v="0"/>
    <x v="1"/>
    <s v="Yes"/>
    <x v="1"/>
    <n v="49108.23"/>
    <x v="0"/>
    <n v="6.812141888999744E-2"/>
    <s v="No"/>
    <n v="1"/>
    <n v="0"/>
    <x v="1"/>
    <x v="1"/>
    <x v="1"/>
    <x v="0"/>
    <x v="2"/>
    <n v="0"/>
  </r>
  <r>
    <n v="559"/>
    <x v="2"/>
    <x v="0"/>
    <x v="19"/>
    <n v="4"/>
    <n v="0"/>
    <x v="0"/>
    <s v="Yes"/>
    <x v="1"/>
    <n v="66721.98"/>
    <x v="1"/>
    <n v="3.9331092561821122E-2"/>
    <s v="No"/>
    <n v="0"/>
    <n v="0"/>
    <x v="1"/>
    <x v="1"/>
    <x v="1"/>
    <x v="1"/>
    <x v="3"/>
    <n v="1"/>
  </r>
  <r>
    <n v="765"/>
    <x v="1"/>
    <x v="0"/>
    <x v="12"/>
    <n v="4"/>
    <n v="148962.76"/>
    <x v="1"/>
    <s v="No"/>
    <x v="1"/>
    <n v="173878.87"/>
    <x v="0"/>
    <n v="0.21382431752775541"/>
    <s v="No"/>
    <n v="1"/>
    <n v="0"/>
    <x v="0"/>
    <x v="0"/>
    <x v="0"/>
    <x v="2"/>
    <x v="1"/>
    <n v="0"/>
  </r>
  <r>
    <n v="593"/>
    <x v="1"/>
    <x v="1"/>
    <x v="4"/>
    <n v="5"/>
    <n v="101713.84"/>
    <x v="2"/>
    <s v="Yes"/>
    <x v="0"/>
    <n v="134594.99"/>
    <x v="1"/>
    <n v="0.27186698317339991"/>
    <s v="No"/>
    <n v="0"/>
    <n v="0"/>
    <x v="0"/>
    <x v="2"/>
    <x v="0"/>
    <x v="1"/>
    <x v="0"/>
    <n v="1"/>
  </r>
  <r>
    <n v="729"/>
    <x v="2"/>
    <x v="0"/>
    <x v="19"/>
    <n v="3"/>
    <n v="152303.79999999999"/>
    <x v="1"/>
    <s v="Yes"/>
    <x v="0"/>
    <n v="12128.69"/>
    <x v="1"/>
    <n v="0.14984098867172541"/>
    <s v="No"/>
    <n v="0"/>
    <n v="0"/>
    <x v="1"/>
    <x v="1"/>
    <x v="3"/>
    <x v="2"/>
    <x v="2"/>
    <n v="1"/>
  </r>
  <r>
    <n v="548"/>
    <x v="2"/>
    <x v="1"/>
    <x v="22"/>
    <n v="10"/>
    <n v="0"/>
    <x v="1"/>
    <s v="Yes"/>
    <x v="1"/>
    <n v="31299.71"/>
    <x v="1"/>
    <n v="6.9044129011687827E-2"/>
    <s v="No"/>
    <n v="0"/>
    <n v="0"/>
    <x v="1"/>
    <x v="1"/>
    <x v="1"/>
    <x v="1"/>
    <x v="2"/>
    <n v="1"/>
  </r>
  <r>
    <n v="647"/>
    <x v="1"/>
    <x v="1"/>
    <x v="12"/>
    <n v="3"/>
    <n v="122717.53"/>
    <x v="0"/>
    <s v="Yes"/>
    <x v="1"/>
    <n v="87000.39"/>
    <x v="1"/>
    <n v="0.28791673415066249"/>
    <s v="No"/>
    <n v="0"/>
    <n v="0"/>
    <x v="0"/>
    <x v="0"/>
    <x v="0"/>
    <x v="0"/>
    <x v="3"/>
    <n v="1"/>
  </r>
  <r>
    <n v="478"/>
    <x v="0"/>
    <x v="1"/>
    <x v="28"/>
    <n v="3"/>
    <n v="92363.3"/>
    <x v="0"/>
    <s v="Yes"/>
    <x v="0"/>
    <n v="44912.7"/>
    <x v="1"/>
    <n v="0.25562866422369779"/>
    <s v="No"/>
    <n v="0"/>
    <n v="0"/>
    <x v="0"/>
    <x v="1"/>
    <x v="2"/>
    <x v="4"/>
    <x v="2"/>
    <n v="1"/>
  </r>
  <r>
    <n v="807"/>
    <x v="1"/>
    <x v="1"/>
    <x v="18"/>
    <n v="1"/>
    <n v="93460.47"/>
    <x v="0"/>
    <s v="No"/>
    <x v="0"/>
    <n v="172782.69"/>
    <x v="1"/>
    <n v="0.31639420743377522"/>
    <s v="No"/>
    <n v="0"/>
    <n v="0"/>
    <x v="0"/>
    <x v="1"/>
    <x v="2"/>
    <x v="3"/>
    <x v="1"/>
    <n v="1"/>
  </r>
  <r>
    <n v="673"/>
    <x v="2"/>
    <x v="1"/>
    <x v="12"/>
    <n v="5"/>
    <n v="168069.73"/>
    <x v="1"/>
    <s v="Yes"/>
    <x v="1"/>
    <n v="146992.24"/>
    <x v="0"/>
    <n v="0.18290406542244919"/>
    <s v="No"/>
    <n v="1"/>
    <n v="0"/>
    <x v="1"/>
    <x v="0"/>
    <x v="3"/>
    <x v="0"/>
    <x v="0"/>
    <n v="0"/>
  </r>
  <r>
    <n v="670"/>
    <x v="2"/>
    <x v="1"/>
    <x v="22"/>
    <n v="3"/>
    <n v="103465.02"/>
    <x v="0"/>
    <s v="Yes"/>
    <x v="1"/>
    <n v="174627.06"/>
    <x v="1"/>
    <n v="9.0901319090464117E-2"/>
    <s v="No"/>
    <n v="0"/>
    <n v="0"/>
    <x v="1"/>
    <x v="1"/>
    <x v="0"/>
    <x v="0"/>
    <x v="1"/>
    <n v="1"/>
  </r>
  <r>
    <n v="780"/>
    <x v="2"/>
    <x v="0"/>
    <x v="43"/>
    <n v="10"/>
    <n v="121313.88"/>
    <x v="1"/>
    <s v="No"/>
    <x v="1"/>
    <n v="64872.33"/>
    <x v="1"/>
    <n v="0.52237917312094118"/>
    <s v="Yes"/>
    <n v="0"/>
    <n v="1"/>
    <x v="2"/>
    <x v="4"/>
    <x v="0"/>
    <x v="2"/>
    <x v="3"/>
    <n v="0"/>
  </r>
  <r>
    <n v="505"/>
    <x v="1"/>
    <x v="0"/>
    <x v="4"/>
    <n v="3"/>
    <n v="145541.56"/>
    <x v="0"/>
    <s v="Yes"/>
    <x v="1"/>
    <n v="58019.95"/>
    <x v="1"/>
    <n v="8.7252838344470909E-2"/>
    <s v="No"/>
    <n v="0"/>
    <n v="0"/>
    <x v="1"/>
    <x v="2"/>
    <x v="0"/>
    <x v="1"/>
    <x v="3"/>
    <n v="1"/>
  </r>
  <r>
    <n v="725"/>
    <x v="1"/>
    <x v="1"/>
    <x v="5"/>
    <n v="7"/>
    <n v="115182.84"/>
    <x v="0"/>
    <s v="Yes"/>
    <x v="1"/>
    <n v="177279.41"/>
    <x v="1"/>
    <n v="0.1483467786183239"/>
    <s v="No"/>
    <n v="0"/>
    <n v="0"/>
    <x v="1"/>
    <x v="1"/>
    <x v="0"/>
    <x v="2"/>
    <x v="1"/>
    <n v="1"/>
  </r>
  <r>
    <n v="659"/>
    <x v="2"/>
    <x v="1"/>
    <x v="2"/>
    <n v="3"/>
    <n v="0"/>
    <x v="0"/>
    <s v="Yes"/>
    <x v="0"/>
    <n v="158553.1"/>
    <x v="1"/>
    <n v="0.22091020134357861"/>
    <s v="No"/>
    <n v="0"/>
    <n v="0"/>
    <x v="0"/>
    <x v="1"/>
    <x v="1"/>
    <x v="0"/>
    <x v="1"/>
    <n v="1"/>
  </r>
  <r>
    <n v="775"/>
    <x v="1"/>
    <x v="0"/>
    <x v="28"/>
    <n v="2"/>
    <n v="109949.05"/>
    <x v="0"/>
    <s v="No"/>
    <x v="1"/>
    <n v="71682.539999999994"/>
    <x v="1"/>
    <n v="0.1141304329384665"/>
    <s v="No"/>
    <n v="0"/>
    <n v="0"/>
    <x v="1"/>
    <x v="1"/>
    <x v="0"/>
    <x v="2"/>
    <x v="3"/>
    <n v="1"/>
  </r>
  <r>
    <n v="519"/>
    <x v="2"/>
    <x v="1"/>
    <x v="13"/>
    <n v="1"/>
    <n v="146329.57"/>
    <x v="0"/>
    <s v="Yes"/>
    <x v="1"/>
    <n v="194867.27"/>
    <x v="1"/>
    <n v="4.427514947445077E-2"/>
    <s v="No"/>
    <n v="0"/>
    <n v="0"/>
    <x v="1"/>
    <x v="2"/>
    <x v="0"/>
    <x v="1"/>
    <x v="1"/>
    <n v="1"/>
  </r>
  <r>
    <n v="696"/>
    <x v="1"/>
    <x v="0"/>
    <x v="24"/>
    <n v="4"/>
    <n v="114027.7"/>
    <x v="1"/>
    <s v="Yes"/>
    <x v="1"/>
    <n v="193716.56"/>
    <x v="1"/>
    <n v="8.8844556782813722E-2"/>
    <s v="No"/>
    <n v="0"/>
    <n v="0"/>
    <x v="1"/>
    <x v="2"/>
    <x v="0"/>
    <x v="0"/>
    <x v="1"/>
    <n v="1"/>
  </r>
  <r>
    <n v="803"/>
    <x v="2"/>
    <x v="1"/>
    <x v="27"/>
    <n v="4"/>
    <n v="0"/>
    <x v="0"/>
    <s v="Yes"/>
    <x v="1"/>
    <n v="181208.47"/>
    <x v="1"/>
    <n v="3.4060533936543153E-2"/>
    <s v="No"/>
    <n v="0"/>
    <n v="0"/>
    <x v="1"/>
    <x v="2"/>
    <x v="1"/>
    <x v="3"/>
    <x v="1"/>
    <n v="1"/>
  </r>
  <r>
    <n v="693"/>
    <x v="2"/>
    <x v="0"/>
    <x v="44"/>
    <n v="4"/>
    <n v="97705.99"/>
    <x v="1"/>
    <s v="Yes"/>
    <x v="1"/>
    <n v="61569.07"/>
    <x v="1"/>
    <n v="0.39683785876658201"/>
    <s v="No"/>
    <n v="0"/>
    <n v="0"/>
    <x v="0"/>
    <x v="4"/>
    <x v="2"/>
    <x v="0"/>
    <x v="3"/>
    <n v="1"/>
  </r>
  <r>
    <n v="499"/>
    <x v="1"/>
    <x v="1"/>
    <x v="45"/>
    <n v="4"/>
    <n v="126817.65"/>
    <x v="0"/>
    <s v="Yes"/>
    <x v="0"/>
    <n v="123269.71"/>
    <x v="1"/>
    <n v="0.76599901780279311"/>
    <s v="Yes"/>
    <n v="0"/>
    <n v="1"/>
    <x v="2"/>
    <x v="3"/>
    <x v="0"/>
    <x v="4"/>
    <x v="0"/>
    <n v="0"/>
  </r>
  <r>
    <n v="628"/>
    <x v="2"/>
    <x v="1"/>
    <x v="16"/>
    <n v="1"/>
    <n v="46870.43"/>
    <x v="3"/>
    <s v="Yes"/>
    <x v="0"/>
    <n v="31272.14"/>
    <x v="0"/>
    <n v="0.31770441226411672"/>
    <s v="No"/>
    <n v="1"/>
    <n v="0"/>
    <x v="0"/>
    <x v="0"/>
    <x v="4"/>
    <x v="0"/>
    <x v="2"/>
    <n v="0"/>
  </r>
  <r>
    <n v="733"/>
    <x v="2"/>
    <x v="0"/>
    <x v="3"/>
    <n v="9"/>
    <n v="120094.93"/>
    <x v="1"/>
    <s v="Yes"/>
    <x v="0"/>
    <n v="184056.45"/>
    <x v="1"/>
    <n v="0.22223502462312841"/>
    <s v="No"/>
    <n v="0"/>
    <n v="0"/>
    <x v="0"/>
    <x v="0"/>
    <x v="0"/>
    <x v="2"/>
    <x v="1"/>
    <n v="1"/>
  </r>
  <r>
    <n v="534"/>
    <x v="2"/>
    <x v="1"/>
    <x v="45"/>
    <n v="8"/>
    <n v="116973.26"/>
    <x v="2"/>
    <s v="Yes"/>
    <x v="0"/>
    <n v="122066.5"/>
    <x v="0"/>
    <n v="0.54097315263801016"/>
    <s v="Yes"/>
    <n v="1"/>
    <n v="1"/>
    <x v="2"/>
    <x v="3"/>
    <x v="0"/>
    <x v="1"/>
    <x v="0"/>
    <n v="1"/>
  </r>
  <r>
    <n v="658"/>
    <x v="2"/>
    <x v="1"/>
    <x v="0"/>
    <n v="6"/>
    <n v="148481.09"/>
    <x v="1"/>
    <s v="Yes"/>
    <x v="0"/>
    <n v="130529.13"/>
    <x v="1"/>
    <n v="0.40075550665412918"/>
    <s v="No"/>
    <n v="0"/>
    <n v="0"/>
    <x v="0"/>
    <x v="0"/>
    <x v="0"/>
    <x v="0"/>
    <x v="0"/>
    <n v="1"/>
  </r>
  <r>
    <n v="681"/>
    <x v="0"/>
    <x v="0"/>
    <x v="46"/>
    <n v="7"/>
    <n v="0"/>
    <x v="0"/>
    <s v="No"/>
    <x v="1"/>
    <n v="163714.92000000001"/>
    <x v="1"/>
    <n v="0.31588118873289761"/>
    <s v="No"/>
    <n v="0"/>
    <n v="0"/>
    <x v="0"/>
    <x v="4"/>
    <x v="1"/>
    <x v="0"/>
    <x v="1"/>
    <n v="1"/>
  </r>
  <r>
    <n v="790"/>
    <x v="0"/>
    <x v="0"/>
    <x v="16"/>
    <n v="8"/>
    <n v="182364.53"/>
    <x v="1"/>
    <s v="No"/>
    <x v="0"/>
    <n v="139266.48000000001"/>
    <x v="0"/>
    <n v="0.31660398868738687"/>
    <s v="No"/>
    <n v="1"/>
    <n v="0"/>
    <x v="0"/>
    <x v="0"/>
    <x v="3"/>
    <x v="2"/>
    <x v="0"/>
    <n v="0"/>
  </r>
  <r>
    <n v="622"/>
    <x v="2"/>
    <x v="0"/>
    <x v="22"/>
    <n v="8"/>
    <n v="0"/>
    <x v="0"/>
    <s v="Yes"/>
    <x v="1"/>
    <n v="131772.51"/>
    <x v="1"/>
    <n v="3.8865972369549077E-2"/>
    <s v="No"/>
    <n v="0"/>
    <n v="0"/>
    <x v="1"/>
    <x v="1"/>
    <x v="1"/>
    <x v="0"/>
    <x v="0"/>
    <n v="1"/>
  </r>
  <r>
    <n v="734"/>
    <x v="0"/>
    <x v="1"/>
    <x v="11"/>
    <n v="2"/>
    <n v="130404.92"/>
    <x v="1"/>
    <s v="No"/>
    <x v="0"/>
    <n v="34548.74"/>
    <x v="1"/>
    <n v="0.28421549080083641"/>
    <s v="No"/>
    <n v="0"/>
    <n v="0"/>
    <x v="0"/>
    <x v="1"/>
    <x v="0"/>
    <x v="2"/>
    <x v="2"/>
    <n v="1"/>
  </r>
  <r>
    <n v="794"/>
    <x v="2"/>
    <x v="1"/>
    <x v="6"/>
    <n v="7"/>
    <n v="0"/>
    <x v="0"/>
    <s v="Yes"/>
    <x v="1"/>
    <n v="74275.08"/>
    <x v="1"/>
    <n v="8.7222993830875145E-2"/>
    <s v="No"/>
    <n v="0"/>
    <n v="0"/>
    <x v="1"/>
    <x v="0"/>
    <x v="1"/>
    <x v="2"/>
    <x v="3"/>
    <n v="1"/>
  </r>
  <r>
    <n v="824"/>
    <x v="2"/>
    <x v="0"/>
    <x v="24"/>
    <n v="0"/>
    <n v="133634.01999999999"/>
    <x v="1"/>
    <s v="Yes"/>
    <x v="1"/>
    <n v="162053.92000000001"/>
    <x v="1"/>
    <n v="4.3413346985498563E-2"/>
    <s v="No"/>
    <n v="0"/>
    <n v="0"/>
    <x v="1"/>
    <x v="2"/>
    <x v="0"/>
    <x v="3"/>
    <x v="1"/>
    <n v="1"/>
  </r>
  <r>
    <n v="428"/>
    <x v="2"/>
    <x v="1"/>
    <x v="18"/>
    <n v="2"/>
    <n v="0"/>
    <x v="0"/>
    <s v="Yes"/>
    <x v="0"/>
    <n v="54487.43"/>
    <x v="1"/>
    <n v="0.16018813380897781"/>
    <s v="No"/>
    <n v="0"/>
    <n v="0"/>
    <x v="1"/>
    <x v="1"/>
    <x v="1"/>
    <x v="4"/>
    <x v="3"/>
    <n v="1"/>
  </r>
  <r>
    <n v="718"/>
    <x v="2"/>
    <x v="1"/>
    <x v="18"/>
    <n v="0"/>
    <n v="118100.59"/>
    <x v="0"/>
    <s v="Yes"/>
    <x v="0"/>
    <n v="103165.15"/>
    <x v="1"/>
    <n v="0.18471822000791319"/>
    <s v="No"/>
    <n v="0"/>
    <n v="0"/>
    <x v="1"/>
    <x v="1"/>
    <x v="0"/>
    <x v="2"/>
    <x v="0"/>
    <n v="1"/>
  </r>
  <r>
    <n v="591"/>
    <x v="0"/>
    <x v="0"/>
    <x v="24"/>
    <n v="8"/>
    <n v="124857.69"/>
    <x v="0"/>
    <s v="No"/>
    <x v="0"/>
    <n v="50485.7"/>
    <x v="1"/>
    <n v="0.1073723199732874"/>
    <s v="No"/>
    <n v="0"/>
    <n v="0"/>
    <x v="1"/>
    <x v="2"/>
    <x v="0"/>
    <x v="1"/>
    <x v="3"/>
    <n v="1"/>
  </r>
  <r>
    <n v="598"/>
    <x v="2"/>
    <x v="1"/>
    <x v="12"/>
    <n v="5"/>
    <n v="0"/>
    <x v="2"/>
    <s v="Yes"/>
    <x v="1"/>
    <n v="100722.72"/>
    <x v="0"/>
    <n v="0.1077838887676044"/>
    <s v="No"/>
    <n v="1"/>
    <n v="0"/>
    <x v="1"/>
    <x v="0"/>
    <x v="1"/>
    <x v="1"/>
    <x v="0"/>
    <n v="0"/>
  </r>
  <r>
    <n v="756"/>
    <x v="1"/>
    <x v="0"/>
    <x v="6"/>
    <n v="2"/>
    <n v="124439.49"/>
    <x v="0"/>
    <s v="No"/>
    <x v="1"/>
    <n v="47093.11"/>
    <x v="1"/>
    <n v="0.162151132687573"/>
    <s v="No"/>
    <n v="0"/>
    <n v="0"/>
    <x v="1"/>
    <x v="0"/>
    <x v="0"/>
    <x v="2"/>
    <x v="2"/>
    <n v="1"/>
  </r>
  <r>
    <n v="593"/>
    <x v="1"/>
    <x v="1"/>
    <x v="33"/>
    <n v="3"/>
    <n v="118233.81"/>
    <x v="1"/>
    <s v="No"/>
    <x v="1"/>
    <n v="24765.53"/>
    <x v="0"/>
    <n v="0.6518354095107477"/>
    <s v="Yes"/>
    <n v="1"/>
    <n v="1"/>
    <x v="2"/>
    <x v="4"/>
    <x v="0"/>
    <x v="1"/>
    <x v="2"/>
    <n v="1"/>
  </r>
  <r>
    <n v="849"/>
    <x v="1"/>
    <x v="0"/>
    <x v="11"/>
    <n v="7"/>
    <n v="143452.74"/>
    <x v="0"/>
    <s v="Yes"/>
    <x v="1"/>
    <n v="17294.12"/>
    <x v="1"/>
    <n v="0.10897890632778399"/>
    <s v="No"/>
    <n v="0"/>
    <n v="0"/>
    <x v="1"/>
    <x v="1"/>
    <x v="0"/>
    <x v="3"/>
    <x v="2"/>
    <n v="1"/>
  </r>
  <r>
    <n v="568"/>
    <x v="0"/>
    <x v="1"/>
    <x v="12"/>
    <n v="9"/>
    <n v="0"/>
    <x v="1"/>
    <s v="Yes"/>
    <x v="0"/>
    <n v="125870.79"/>
    <x v="0"/>
    <n v="0.30525884222359678"/>
    <s v="No"/>
    <n v="1"/>
    <n v="0"/>
    <x v="0"/>
    <x v="0"/>
    <x v="1"/>
    <x v="1"/>
    <x v="0"/>
    <n v="0"/>
  </r>
  <r>
    <n v="535"/>
    <x v="1"/>
    <x v="0"/>
    <x v="20"/>
    <n v="5"/>
    <n v="134542.73000000001"/>
    <x v="1"/>
    <s v="Yes"/>
    <x v="1"/>
    <n v="58203.67"/>
    <x v="0"/>
    <n v="0.28355051722264202"/>
    <s v="No"/>
    <n v="1"/>
    <n v="0"/>
    <x v="0"/>
    <x v="0"/>
    <x v="0"/>
    <x v="1"/>
    <x v="3"/>
    <n v="0"/>
  </r>
  <r>
    <n v="611"/>
    <x v="0"/>
    <x v="0"/>
    <x v="42"/>
    <n v="7"/>
    <n v="0"/>
    <x v="1"/>
    <s v="No"/>
    <x v="1"/>
    <n v="73585.179999999993"/>
    <x v="0"/>
    <n v="0.1441779886540393"/>
    <s v="No"/>
    <n v="1"/>
    <n v="0"/>
    <x v="1"/>
    <x v="3"/>
    <x v="1"/>
    <x v="0"/>
    <x v="3"/>
    <n v="0"/>
  </r>
  <r>
    <n v="709"/>
    <x v="2"/>
    <x v="0"/>
    <x v="9"/>
    <n v="4"/>
    <n v="154344.49"/>
    <x v="0"/>
    <s v="Yes"/>
    <x v="1"/>
    <n v="38794.57"/>
    <x v="1"/>
    <n v="0.14122377415527429"/>
    <s v="No"/>
    <n v="0"/>
    <n v="0"/>
    <x v="1"/>
    <x v="0"/>
    <x v="3"/>
    <x v="2"/>
    <x v="2"/>
    <n v="1"/>
  </r>
  <r>
    <n v="645"/>
    <x v="0"/>
    <x v="1"/>
    <x v="11"/>
    <n v="7"/>
    <n v="0"/>
    <x v="0"/>
    <s v="Yes"/>
    <x v="0"/>
    <n v="13589.93"/>
    <x v="1"/>
    <n v="0.1905406593334697"/>
    <s v="No"/>
    <n v="0"/>
    <n v="0"/>
    <x v="1"/>
    <x v="1"/>
    <x v="1"/>
    <x v="0"/>
    <x v="2"/>
    <n v="1"/>
  </r>
  <r>
    <n v="489"/>
    <x v="2"/>
    <x v="0"/>
    <x v="2"/>
    <n v="8"/>
    <n v="0"/>
    <x v="0"/>
    <s v="No"/>
    <x v="1"/>
    <n v="196990.79"/>
    <x v="1"/>
    <n v="5.5975702371791128E-2"/>
    <s v="No"/>
    <n v="0"/>
    <n v="0"/>
    <x v="1"/>
    <x v="1"/>
    <x v="1"/>
    <x v="4"/>
    <x v="1"/>
    <n v="1"/>
  </r>
  <r>
    <n v="429"/>
    <x v="2"/>
    <x v="1"/>
    <x v="29"/>
    <n v="6"/>
    <n v="117307.44"/>
    <x v="0"/>
    <s v="Yes"/>
    <x v="1"/>
    <n v="24020.49"/>
    <x v="1"/>
    <n v="5.5434614689614657E-2"/>
    <s v="No"/>
    <n v="0"/>
    <n v="0"/>
    <x v="1"/>
    <x v="2"/>
    <x v="0"/>
    <x v="4"/>
    <x v="2"/>
    <n v="1"/>
  </r>
  <r>
    <n v="768"/>
    <x v="0"/>
    <x v="1"/>
    <x v="0"/>
    <n v="6"/>
    <n v="60603.4"/>
    <x v="1"/>
    <s v="Yes"/>
    <x v="1"/>
    <n v="178045.97"/>
    <x v="1"/>
    <n v="0.15044784891168711"/>
    <s v="No"/>
    <n v="0"/>
    <n v="0"/>
    <x v="1"/>
    <x v="0"/>
    <x v="2"/>
    <x v="2"/>
    <x v="1"/>
    <n v="1"/>
  </r>
  <r>
    <n v="661"/>
    <x v="0"/>
    <x v="1"/>
    <x v="3"/>
    <n v="3"/>
    <n v="0"/>
    <x v="0"/>
    <s v="Yes"/>
    <x v="0"/>
    <n v="35989.410000000003"/>
    <x v="1"/>
    <n v="0.26974246515048139"/>
    <s v="No"/>
    <n v="0"/>
    <n v="0"/>
    <x v="0"/>
    <x v="0"/>
    <x v="1"/>
    <x v="0"/>
    <x v="2"/>
    <n v="1"/>
  </r>
  <r>
    <n v="582"/>
    <x v="0"/>
    <x v="1"/>
    <x v="16"/>
    <n v="8"/>
    <n v="67563.31"/>
    <x v="1"/>
    <s v="Yes"/>
    <x v="0"/>
    <n v="44506.09"/>
    <x v="0"/>
    <n v="0.38681591217888972"/>
    <s v="No"/>
    <n v="1"/>
    <n v="0"/>
    <x v="0"/>
    <x v="0"/>
    <x v="2"/>
    <x v="1"/>
    <x v="2"/>
    <n v="0"/>
  </r>
  <r>
    <n v="775"/>
    <x v="1"/>
    <x v="1"/>
    <x v="2"/>
    <n v="4"/>
    <n v="125212.65"/>
    <x v="0"/>
    <s v="Yes"/>
    <x v="1"/>
    <n v="15795.88"/>
    <x v="0"/>
    <n v="0.19509071256354349"/>
    <s v="No"/>
    <n v="1"/>
    <n v="0"/>
    <x v="1"/>
    <x v="1"/>
    <x v="0"/>
    <x v="2"/>
    <x v="2"/>
    <n v="0"/>
  </r>
  <r>
    <n v="561"/>
    <x v="2"/>
    <x v="0"/>
    <x v="4"/>
    <n v="9"/>
    <n v="120268.13"/>
    <x v="1"/>
    <s v="Yes"/>
    <x v="1"/>
    <n v="173870.39"/>
    <x v="1"/>
    <n v="3.9519628716588193E-2"/>
    <s v="No"/>
    <n v="0"/>
    <n v="0"/>
    <x v="1"/>
    <x v="2"/>
    <x v="0"/>
    <x v="1"/>
    <x v="1"/>
    <n v="1"/>
  </r>
  <r>
    <n v="705"/>
    <x v="0"/>
    <x v="0"/>
    <x v="16"/>
    <n v="7"/>
    <n v="0"/>
    <x v="0"/>
    <s v="Yes"/>
    <x v="0"/>
    <n v="117273.35"/>
    <x v="1"/>
    <n v="0.2122247254817517"/>
    <s v="No"/>
    <n v="0"/>
    <n v="0"/>
    <x v="0"/>
    <x v="0"/>
    <x v="1"/>
    <x v="2"/>
    <x v="0"/>
    <n v="1"/>
  </r>
  <r>
    <n v="572"/>
    <x v="0"/>
    <x v="0"/>
    <x v="34"/>
    <n v="2"/>
    <n v="126873.52"/>
    <x v="1"/>
    <s v="No"/>
    <x v="1"/>
    <n v="67040.12"/>
    <x v="1"/>
    <n v="3.001138213246729E-2"/>
    <s v="No"/>
    <n v="0"/>
    <n v="0"/>
    <x v="1"/>
    <x v="2"/>
    <x v="0"/>
    <x v="1"/>
    <x v="3"/>
    <n v="1"/>
  </r>
  <r>
    <n v="799"/>
    <x v="1"/>
    <x v="0"/>
    <x v="17"/>
    <n v="7"/>
    <n v="167658.32999999999"/>
    <x v="0"/>
    <s v="Yes"/>
    <x v="1"/>
    <n v="111138.25"/>
    <x v="1"/>
    <n v="6.8033510380004047E-2"/>
    <s v="No"/>
    <n v="0"/>
    <n v="0"/>
    <x v="1"/>
    <x v="2"/>
    <x v="3"/>
    <x v="2"/>
    <x v="0"/>
    <n v="1"/>
  </r>
  <r>
    <n v="607"/>
    <x v="1"/>
    <x v="1"/>
    <x v="23"/>
    <n v="2"/>
    <n v="109483.54"/>
    <x v="0"/>
    <s v="No"/>
    <x v="1"/>
    <n v="127560.77"/>
    <x v="1"/>
    <n v="9.5928473639193185E-2"/>
    <s v="No"/>
    <n v="0"/>
    <n v="0"/>
    <x v="1"/>
    <x v="2"/>
    <x v="0"/>
    <x v="0"/>
    <x v="0"/>
    <n v="1"/>
  </r>
  <r>
    <n v="521"/>
    <x v="1"/>
    <x v="1"/>
    <x v="21"/>
    <n v="9"/>
    <n v="134504.78"/>
    <x v="1"/>
    <s v="Yes"/>
    <x v="0"/>
    <n v="18082.060000000001"/>
    <x v="1"/>
    <n v="0.50661795094986395"/>
    <s v="Yes"/>
    <n v="0"/>
    <n v="1"/>
    <x v="2"/>
    <x v="1"/>
    <x v="0"/>
    <x v="1"/>
    <x v="2"/>
    <n v="0"/>
  </r>
  <r>
    <n v="603"/>
    <x v="0"/>
    <x v="1"/>
    <x v="3"/>
    <n v="8"/>
    <n v="91611.12"/>
    <x v="1"/>
    <s v="No"/>
    <x v="0"/>
    <n v="144675.29999999999"/>
    <x v="0"/>
    <n v="0.34963479550071969"/>
    <s v="No"/>
    <n v="1"/>
    <n v="0"/>
    <x v="0"/>
    <x v="0"/>
    <x v="2"/>
    <x v="0"/>
    <x v="0"/>
    <n v="0"/>
  </r>
  <r>
    <n v="573"/>
    <x v="0"/>
    <x v="1"/>
    <x v="0"/>
    <n v="4"/>
    <n v="0"/>
    <x v="1"/>
    <s v="Yes"/>
    <x v="1"/>
    <n v="94862.93"/>
    <x v="1"/>
    <n v="0.14677484181774389"/>
    <s v="No"/>
    <n v="0"/>
    <n v="0"/>
    <x v="1"/>
    <x v="0"/>
    <x v="1"/>
    <x v="1"/>
    <x v="3"/>
    <n v="1"/>
  </r>
  <r>
    <n v="670"/>
    <x v="2"/>
    <x v="1"/>
    <x v="18"/>
    <n v="9"/>
    <n v="0"/>
    <x v="1"/>
    <s v="No"/>
    <x v="1"/>
    <n v="76254.83"/>
    <x v="1"/>
    <n v="5.1919275792971863E-2"/>
    <s v="No"/>
    <n v="0"/>
    <n v="0"/>
    <x v="1"/>
    <x v="1"/>
    <x v="1"/>
    <x v="0"/>
    <x v="3"/>
    <n v="1"/>
  </r>
  <r>
    <n v="504"/>
    <x v="1"/>
    <x v="0"/>
    <x v="47"/>
    <n v="9"/>
    <n v="104217.3"/>
    <x v="1"/>
    <s v="No"/>
    <x v="0"/>
    <n v="55857.48"/>
    <x v="0"/>
    <n v="0.65689990625886818"/>
    <s v="Yes"/>
    <n v="1"/>
    <n v="1"/>
    <x v="2"/>
    <x v="3"/>
    <x v="0"/>
    <x v="1"/>
    <x v="3"/>
    <n v="1"/>
  </r>
  <r>
    <n v="594"/>
    <x v="1"/>
    <x v="1"/>
    <x v="27"/>
    <n v="6"/>
    <n v="135067.51999999999"/>
    <x v="0"/>
    <s v="No"/>
    <x v="0"/>
    <n v="131211.85999999999"/>
    <x v="1"/>
    <n v="0.26751787989743081"/>
    <s v="No"/>
    <n v="0"/>
    <n v="0"/>
    <x v="0"/>
    <x v="2"/>
    <x v="0"/>
    <x v="1"/>
    <x v="0"/>
    <n v="1"/>
  </r>
  <r>
    <n v="817"/>
    <x v="2"/>
    <x v="1"/>
    <x v="45"/>
    <n v="10"/>
    <n v="117561.49"/>
    <x v="1"/>
    <s v="Yes"/>
    <x v="0"/>
    <n v="95941.55"/>
    <x v="0"/>
    <n v="0.53068327803107374"/>
    <s v="Yes"/>
    <n v="1"/>
    <n v="1"/>
    <x v="2"/>
    <x v="3"/>
    <x v="0"/>
    <x v="3"/>
    <x v="3"/>
    <n v="1"/>
  </r>
  <r>
    <n v="578"/>
    <x v="2"/>
    <x v="0"/>
    <x v="34"/>
    <n v="10"/>
    <n v="88980.32"/>
    <x v="1"/>
    <s v="Yes"/>
    <x v="1"/>
    <n v="125222.36"/>
    <x v="1"/>
    <n v="2.2434598091390919E-2"/>
    <s v="No"/>
    <n v="0"/>
    <n v="0"/>
    <x v="1"/>
    <x v="2"/>
    <x v="2"/>
    <x v="1"/>
    <x v="0"/>
    <n v="1"/>
  </r>
  <r>
    <n v="568"/>
    <x v="1"/>
    <x v="1"/>
    <x v="18"/>
    <n v="1"/>
    <n v="61592.14"/>
    <x v="0"/>
    <s v="Yes"/>
    <x v="1"/>
    <n v="61796.639999999999"/>
    <x v="1"/>
    <n v="0.13334550740393961"/>
    <s v="No"/>
    <n v="0"/>
    <n v="0"/>
    <x v="1"/>
    <x v="1"/>
    <x v="2"/>
    <x v="1"/>
    <x v="3"/>
    <n v="1"/>
  </r>
  <r>
    <n v="726"/>
    <x v="0"/>
    <x v="1"/>
    <x v="27"/>
    <n v="1"/>
    <n v="80780.160000000003"/>
    <x v="1"/>
    <s v="Yes"/>
    <x v="1"/>
    <n v="19225.849999999999"/>
    <x v="1"/>
    <n v="4.8729463761529972E-2"/>
    <s v="No"/>
    <n v="0"/>
    <n v="0"/>
    <x v="1"/>
    <x v="2"/>
    <x v="2"/>
    <x v="2"/>
    <x v="2"/>
    <n v="1"/>
  </r>
  <r>
    <n v="574"/>
    <x v="2"/>
    <x v="0"/>
    <x v="27"/>
    <n v="8"/>
    <n v="97460.1"/>
    <x v="1"/>
    <s v="Yes"/>
    <x v="1"/>
    <n v="43093.67"/>
    <x v="1"/>
    <n v="2.8357186412703711E-2"/>
    <s v="No"/>
    <n v="0"/>
    <n v="0"/>
    <x v="1"/>
    <x v="2"/>
    <x v="2"/>
    <x v="1"/>
    <x v="2"/>
    <n v="1"/>
  </r>
  <r>
    <n v="850"/>
    <x v="2"/>
    <x v="0"/>
    <x v="28"/>
    <n v="1"/>
    <n v="104077.19"/>
    <x v="0"/>
    <s v="No"/>
    <x v="1"/>
    <n v="68594"/>
    <x v="1"/>
    <n v="5.2813731077732427E-2"/>
    <s v="No"/>
    <n v="0"/>
    <n v="0"/>
    <x v="1"/>
    <x v="1"/>
    <x v="0"/>
    <x v="3"/>
    <x v="3"/>
    <n v="1"/>
  </r>
  <r>
    <n v="475"/>
    <x v="2"/>
    <x v="1"/>
    <x v="16"/>
    <n v="10"/>
    <n v="0"/>
    <x v="0"/>
    <s v="No"/>
    <x v="0"/>
    <n v="122953"/>
    <x v="0"/>
    <n v="0.33911183561910901"/>
    <s v="No"/>
    <n v="1"/>
    <n v="0"/>
    <x v="0"/>
    <x v="0"/>
    <x v="1"/>
    <x v="4"/>
    <x v="0"/>
    <n v="0"/>
  </r>
  <r>
    <n v="642"/>
    <x v="2"/>
    <x v="1"/>
    <x v="10"/>
    <n v="4"/>
    <n v="0"/>
    <x v="1"/>
    <s v="Yes"/>
    <x v="1"/>
    <n v="76821.240000000005"/>
    <x v="1"/>
    <n v="9.740665636029755E-2"/>
    <s v="No"/>
    <n v="0"/>
    <n v="0"/>
    <x v="1"/>
    <x v="1"/>
    <x v="1"/>
    <x v="0"/>
    <x v="3"/>
    <n v="1"/>
  </r>
  <r>
    <n v="609"/>
    <x v="2"/>
    <x v="1"/>
    <x v="10"/>
    <n v="8"/>
    <n v="141675.23000000001"/>
    <x v="1"/>
    <s v="No"/>
    <x v="1"/>
    <n v="175664.25"/>
    <x v="1"/>
    <n v="0.1384796244509619"/>
    <s v="No"/>
    <n v="0"/>
    <n v="0"/>
    <x v="1"/>
    <x v="1"/>
    <x v="0"/>
    <x v="0"/>
    <x v="1"/>
    <n v="1"/>
  </r>
  <r>
    <n v="735"/>
    <x v="0"/>
    <x v="0"/>
    <x v="32"/>
    <n v="9"/>
    <n v="0"/>
    <x v="1"/>
    <s v="No"/>
    <x v="0"/>
    <n v="166677.35"/>
    <x v="0"/>
    <n v="0.2864936917758707"/>
    <s v="No"/>
    <n v="1"/>
    <n v="0"/>
    <x v="0"/>
    <x v="0"/>
    <x v="1"/>
    <x v="2"/>
    <x v="1"/>
    <n v="0"/>
  </r>
  <r>
    <n v="685"/>
    <x v="1"/>
    <x v="0"/>
    <x v="26"/>
    <n v="7"/>
    <n v="101868.51"/>
    <x v="1"/>
    <s v="No"/>
    <x v="1"/>
    <n v="113483.96"/>
    <x v="1"/>
    <n v="0.39509465712151642"/>
    <s v="No"/>
    <n v="0"/>
    <n v="0"/>
    <x v="0"/>
    <x v="3"/>
    <x v="0"/>
    <x v="0"/>
    <x v="0"/>
    <n v="1"/>
  </r>
  <r>
    <n v="661"/>
    <x v="2"/>
    <x v="1"/>
    <x v="18"/>
    <n v="7"/>
    <n v="144162.29999999999"/>
    <x v="0"/>
    <s v="Yes"/>
    <x v="1"/>
    <n v="14490.79"/>
    <x v="1"/>
    <n v="6.5639477107042557E-2"/>
    <s v="No"/>
    <n v="0"/>
    <n v="0"/>
    <x v="1"/>
    <x v="1"/>
    <x v="0"/>
    <x v="0"/>
    <x v="2"/>
    <n v="1"/>
  </r>
  <r>
    <n v="741"/>
    <x v="2"/>
    <x v="0"/>
    <x v="25"/>
    <n v="8"/>
    <n v="0"/>
    <x v="0"/>
    <s v="Yes"/>
    <x v="0"/>
    <n v="143598.70000000001"/>
    <x v="1"/>
    <n v="8.1969913736089861E-2"/>
    <s v="No"/>
    <n v="0"/>
    <n v="0"/>
    <x v="1"/>
    <x v="1"/>
    <x v="1"/>
    <x v="2"/>
    <x v="0"/>
    <n v="1"/>
  </r>
  <r>
    <n v="576"/>
    <x v="2"/>
    <x v="0"/>
    <x v="28"/>
    <n v="6"/>
    <n v="0"/>
    <x v="0"/>
    <s v="Yes"/>
    <x v="1"/>
    <n v="48314"/>
    <x v="1"/>
    <n v="4.2726409529662737E-2"/>
    <s v="No"/>
    <n v="0"/>
    <n v="0"/>
    <x v="1"/>
    <x v="1"/>
    <x v="1"/>
    <x v="1"/>
    <x v="2"/>
    <n v="1"/>
  </r>
  <r>
    <n v="535"/>
    <x v="2"/>
    <x v="0"/>
    <x v="5"/>
    <n v="2"/>
    <n v="133040.32000000001"/>
    <x v="1"/>
    <s v="Yes"/>
    <x v="1"/>
    <n v="110299.78"/>
    <x v="1"/>
    <n v="6.0619035173263017E-2"/>
    <s v="No"/>
    <n v="0"/>
    <n v="0"/>
    <x v="1"/>
    <x v="1"/>
    <x v="0"/>
    <x v="1"/>
    <x v="0"/>
    <n v="1"/>
  </r>
  <r>
    <n v="723"/>
    <x v="1"/>
    <x v="0"/>
    <x v="42"/>
    <n v="5"/>
    <n v="131694.97"/>
    <x v="1"/>
    <s v="No"/>
    <x v="1"/>
    <n v="92873.5"/>
    <x v="0"/>
    <n v="0.32808209424816392"/>
    <s v="No"/>
    <n v="1"/>
    <n v="0"/>
    <x v="0"/>
    <x v="3"/>
    <x v="0"/>
    <x v="2"/>
    <x v="3"/>
    <n v="0"/>
  </r>
  <r>
    <n v="787"/>
    <x v="2"/>
    <x v="1"/>
    <x v="22"/>
    <n v="1"/>
    <n v="106266.8"/>
    <x v="1"/>
    <s v="Yes"/>
    <x v="1"/>
    <n v="16607.150000000001"/>
    <x v="1"/>
    <n v="8.9346431472485E-2"/>
    <s v="No"/>
    <n v="0"/>
    <n v="0"/>
    <x v="1"/>
    <x v="1"/>
    <x v="0"/>
    <x v="2"/>
    <x v="2"/>
    <n v="1"/>
  </r>
  <r>
    <n v="711"/>
    <x v="2"/>
    <x v="0"/>
    <x v="19"/>
    <n v="8"/>
    <n v="0"/>
    <x v="0"/>
    <s v="No"/>
    <x v="0"/>
    <n v="48260.19"/>
    <x v="1"/>
    <n v="9.3787056786545864E-2"/>
    <s v="No"/>
    <n v="0"/>
    <n v="0"/>
    <x v="1"/>
    <x v="1"/>
    <x v="1"/>
    <x v="2"/>
    <x v="2"/>
    <n v="1"/>
  </r>
  <r>
    <n v="661"/>
    <x v="1"/>
    <x v="0"/>
    <x v="22"/>
    <n v="8"/>
    <n v="124098.54"/>
    <x v="1"/>
    <s v="Yes"/>
    <x v="0"/>
    <n v="86678.48"/>
    <x v="1"/>
    <n v="0.27754018227079669"/>
    <s v="No"/>
    <n v="0"/>
    <n v="0"/>
    <x v="0"/>
    <x v="1"/>
    <x v="0"/>
    <x v="0"/>
    <x v="3"/>
    <n v="1"/>
  </r>
  <r>
    <n v="611"/>
    <x v="2"/>
    <x v="1"/>
    <x v="27"/>
    <n v="2"/>
    <n v="107508.93"/>
    <x v="0"/>
    <s v="Yes"/>
    <x v="1"/>
    <n v="120801.65"/>
    <x v="1"/>
    <n v="5.0805201318933069E-2"/>
    <s v="No"/>
    <n v="0"/>
    <n v="0"/>
    <x v="1"/>
    <x v="2"/>
    <x v="0"/>
    <x v="0"/>
    <x v="0"/>
    <n v="1"/>
  </r>
  <r>
    <n v="850"/>
    <x v="2"/>
    <x v="1"/>
    <x v="11"/>
    <n v="3"/>
    <n v="212778.2"/>
    <x v="1"/>
    <s v="No"/>
    <x v="1"/>
    <n v="69372.88"/>
    <x v="1"/>
    <n v="0.12796675658577869"/>
    <s v="No"/>
    <n v="0"/>
    <n v="0"/>
    <x v="1"/>
    <x v="1"/>
    <x v="3"/>
    <x v="3"/>
    <x v="3"/>
    <n v="1"/>
  </r>
  <r>
    <n v="838"/>
    <x v="2"/>
    <x v="1"/>
    <x v="19"/>
    <n v="8"/>
    <n v="0"/>
    <x v="0"/>
    <s v="Yes"/>
    <x v="0"/>
    <n v="27472.07"/>
    <x v="1"/>
    <n v="0.13557446617273991"/>
    <s v="No"/>
    <n v="0"/>
    <n v="0"/>
    <x v="1"/>
    <x v="1"/>
    <x v="1"/>
    <x v="3"/>
    <x v="2"/>
    <n v="1"/>
  </r>
  <r>
    <n v="821"/>
    <x v="2"/>
    <x v="1"/>
    <x v="17"/>
    <n v="8"/>
    <n v="0"/>
    <x v="1"/>
    <s v="Yes"/>
    <x v="1"/>
    <n v="36754.129999999997"/>
    <x v="1"/>
    <n v="3.6763414478009827E-2"/>
    <s v="No"/>
    <n v="0"/>
    <n v="0"/>
    <x v="1"/>
    <x v="2"/>
    <x v="1"/>
    <x v="3"/>
    <x v="2"/>
    <n v="1"/>
  </r>
  <r>
    <n v="656"/>
    <x v="0"/>
    <x v="0"/>
    <x v="48"/>
    <n v="6"/>
    <n v="163975.09"/>
    <x v="1"/>
    <s v="Yes"/>
    <x v="1"/>
    <n v="36108.5"/>
    <x v="1"/>
    <n v="0.45941703020630009"/>
    <s v="No"/>
    <n v="0"/>
    <n v="0"/>
    <x v="0"/>
    <x v="4"/>
    <x v="3"/>
    <x v="0"/>
    <x v="2"/>
    <n v="1"/>
  </r>
  <r>
    <n v="701"/>
    <x v="1"/>
    <x v="1"/>
    <x v="20"/>
    <n v="1"/>
    <n v="92072.68"/>
    <x v="1"/>
    <s v="Yes"/>
    <x v="1"/>
    <n v="133992.35999999999"/>
    <x v="1"/>
    <n v="0.38156964955800782"/>
    <s v="No"/>
    <n v="0"/>
    <n v="0"/>
    <x v="0"/>
    <x v="0"/>
    <x v="2"/>
    <x v="2"/>
    <x v="0"/>
    <n v="1"/>
  </r>
  <r>
    <n v="652"/>
    <x v="2"/>
    <x v="0"/>
    <x v="20"/>
    <n v="4"/>
    <n v="59486.31"/>
    <x v="1"/>
    <s v="Yes"/>
    <x v="0"/>
    <n v="163944.18"/>
    <x v="0"/>
    <n v="0.30532866814422788"/>
    <s v="No"/>
    <n v="1"/>
    <n v="0"/>
    <x v="0"/>
    <x v="0"/>
    <x v="2"/>
    <x v="0"/>
    <x v="1"/>
    <n v="0"/>
  </r>
  <r>
    <n v="592"/>
    <x v="2"/>
    <x v="1"/>
    <x v="2"/>
    <n v="8"/>
    <n v="119278.01"/>
    <x v="0"/>
    <s v="No"/>
    <x v="1"/>
    <n v="19370.73"/>
    <x v="1"/>
    <n v="0.1053352278055433"/>
    <s v="No"/>
    <n v="0"/>
    <n v="0"/>
    <x v="1"/>
    <x v="1"/>
    <x v="0"/>
    <x v="1"/>
    <x v="2"/>
    <n v="1"/>
  </r>
  <r>
    <n v="571"/>
    <x v="2"/>
    <x v="1"/>
    <x v="22"/>
    <n v="1"/>
    <n v="104783.81"/>
    <x v="0"/>
    <s v="No"/>
    <x v="1"/>
    <n v="178512.52"/>
    <x v="1"/>
    <n v="0.10370142882953889"/>
    <s v="No"/>
    <n v="0"/>
    <n v="0"/>
    <x v="1"/>
    <x v="1"/>
    <x v="0"/>
    <x v="1"/>
    <x v="1"/>
    <n v="1"/>
  </r>
  <r>
    <n v="694"/>
    <x v="1"/>
    <x v="0"/>
    <x v="18"/>
    <n v="6"/>
    <n v="109052.59"/>
    <x v="0"/>
    <s v="Yes"/>
    <x v="1"/>
    <n v="19448.93"/>
    <x v="0"/>
    <n v="7.5436769336376372E-2"/>
    <s v="No"/>
    <n v="1"/>
    <n v="0"/>
    <x v="1"/>
    <x v="1"/>
    <x v="0"/>
    <x v="0"/>
    <x v="2"/>
    <n v="0"/>
  </r>
  <r>
    <n v="713"/>
    <x v="2"/>
    <x v="0"/>
    <x v="38"/>
    <n v="6"/>
    <n v="115029.4"/>
    <x v="1"/>
    <s v="No"/>
    <x v="0"/>
    <n v="191521.32"/>
    <x v="0"/>
    <n v="0.41525252759280951"/>
    <s v="No"/>
    <n v="1"/>
    <n v="0"/>
    <x v="0"/>
    <x v="3"/>
    <x v="0"/>
    <x v="2"/>
    <x v="1"/>
    <n v="0"/>
  </r>
  <r>
    <n v="671"/>
    <x v="0"/>
    <x v="1"/>
    <x v="3"/>
    <n v="3"/>
    <n v="0"/>
    <x v="0"/>
    <s v="Yes"/>
    <x v="1"/>
    <n v="128449.33"/>
    <x v="1"/>
    <n v="0.11496591058421041"/>
    <s v="No"/>
    <n v="0"/>
    <n v="0"/>
    <x v="1"/>
    <x v="0"/>
    <x v="1"/>
    <x v="0"/>
    <x v="0"/>
    <n v="1"/>
  </r>
  <r>
    <n v="538"/>
    <x v="2"/>
    <x v="0"/>
    <x v="5"/>
    <n v="6"/>
    <n v="93791.38"/>
    <x v="1"/>
    <s v="Yes"/>
    <x v="1"/>
    <n v="199249.29"/>
    <x v="1"/>
    <n v="5.3464017990205427E-2"/>
    <s v="No"/>
    <n v="0"/>
    <n v="0"/>
    <x v="1"/>
    <x v="1"/>
    <x v="2"/>
    <x v="1"/>
    <x v="1"/>
    <n v="1"/>
  </r>
  <r>
    <n v="632"/>
    <x v="0"/>
    <x v="1"/>
    <x v="10"/>
    <n v="5"/>
    <n v="97854.37"/>
    <x v="0"/>
    <s v="Yes"/>
    <x v="0"/>
    <n v="93536.38"/>
    <x v="1"/>
    <n v="0.27856455449542661"/>
    <s v="No"/>
    <n v="0"/>
    <n v="0"/>
    <x v="0"/>
    <x v="1"/>
    <x v="2"/>
    <x v="0"/>
    <x v="3"/>
    <n v="1"/>
  </r>
  <r>
    <n v="621"/>
    <x v="2"/>
    <x v="0"/>
    <x v="10"/>
    <n v="6"/>
    <n v="0"/>
    <x v="0"/>
    <s v="Yes"/>
    <x v="1"/>
    <n v="58883.91"/>
    <x v="1"/>
    <n v="5.1537443914008427E-2"/>
    <s v="No"/>
    <n v="0"/>
    <n v="0"/>
    <x v="1"/>
    <x v="1"/>
    <x v="1"/>
    <x v="0"/>
    <x v="3"/>
    <n v="1"/>
  </r>
  <r>
    <n v="677"/>
    <x v="2"/>
    <x v="0"/>
    <x v="2"/>
    <n v="4"/>
    <n v="0"/>
    <x v="0"/>
    <s v="Yes"/>
    <x v="0"/>
    <n v="187800.63"/>
    <x v="1"/>
    <n v="0.13898697480216379"/>
    <s v="No"/>
    <n v="0"/>
    <n v="0"/>
    <x v="1"/>
    <x v="1"/>
    <x v="1"/>
    <x v="0"/>
    <x v="1"/>
    <n v="1"/>
  </r>
  <r>
    <n v="517"/>
    <x v="2"/>
    <x v="0"/>
    <x v="17"/>
    <n v="2"/>
    <n v="115062.61"/>
    <x v="1"/>
    <s v="Yes"/>
    <x v="0"/>
    <n v="179056.23"/>
    <x v="1"/>
    <n v="0.1174942091330161"/>
    <s v="No"/>
    <n v="0"/>
    <n v="0"/>
    <x v="1"/>
    <x v="2"/>
    <x v="0"/>
    <x v="1"/>
    <x v="1"/>
    <n v="1"/>
  </r>
  <r>
    <n v="834"/>
    <x v="2"/>
    <x v="1"/>
    <x v="9"/>
    <n v="8"/>
    <n v="160602.25"/>
    <x v="0"/>
    <s v="Yes"/>
    <x v="0"/>
    <n v="129273.94"/>
    <x v="1"/>
    <n v="0.43372352425567628"/>
    <s v="No"/>
    <n v="0"/>
    <n v="0"/>
    <x v="0"/>
    <x v="0"/>
    <x v="3"/>
    <x v="3"/>
    <x v="0"/>
    <n v="1"/>
  </r>
  <r>
    <n v="594"/>
    <x v="2"/>
    <x v="1"/>
    <x v="9"/>
    <n v="4"/>
    <n v="0"/>
    <x v="0"/>
    <s v="Yes"/>
    <x v="1"/>
    <n v="23631.55"/>
    <x v="1"/>
    <n v="0.1698650657456417"/>
    <s v="No"/>
    <n v="0"/>
    <n v="0"/>
    <x v="1"/>
    <x v="0"/>
    <x v="1"/>
    <x v="1"/>
    <x v="2"/>
    <n v="1"/>
  </r>
  <r>
    <n v="689"/>
    <x v="0"/>
    <x v="0"/>
    <x v="2"/>
    <n v="5"/>
    <n v="75075.14"/>
    <x v="1"/>
    <s v="Yes"/>
    <x v="1"/>
    <n v="8651.92"/>
    <x v="0"/>
    <n v="6.2660925142427493E-2"/>
    <s v="No"/>
    <n v="1"/>
    <n v="0"/>
    <x v="1"/>
    <x v="1"/>
    <x v="2"/>
    <x v="0"/>
    <x v="2"/>
    <n v="0"/>
  </r>
  <r>
    <n v="589"/>
    <x v="2"/>
    <x v="0"/>
    <x v="2"/>
    <n v="2"/>
    <n v="0"/>
    <x v="1"/>
    <s v="Yes"/>
    <x v="0"/>
    <n v="79915.28"/>
    <x v="1"/>
    <n v="0.15709847541985331"/>
    <s v="No"/>
    <n v="0"/>
    <n v="0"/>
    <x v="1"/>
    <x v="1"/>
    <x v="1"/>
    <x v="1"/>
    <x v="3"/>
    <n v="1"/>
  </r>
  <r>
    <n v="617"/>
    <x v="2"/>
    <x v="0"/>
    <x v="24"/>
    <n v="3"/>
    <n v="132005.76999999999"/>
    <x v="1"/>
    <s v="Yes"/>
    <x v="0"/>
    <n v="142940.39000000001"/>
    <x v="1"/>
    <n v="0.1263412603306269"/>
    <s v="No"/>
    <n v="0"/>
    <n v="0"/>
    <x v="1"/>
    <x v="2"/>
    <x v="0"/>
    <x v="0"/>
    <x v="0"/>
    <n v="1"/>
  </r>
  <r>
    <n v="538"/>
    <x v="0"/>
    <x v="1"/>
    <x v="18"/>
    <n v="0"/>
    <n v="0"/>
    <x v="0"/>
    <s v="No"/>
    <x v="0"/>
    <n v="179453.66"/>
    <x v="1"/>
    <n v="0.17467411220112411"/>
    <s v="No"/>
    <n v="0"/>
    <n v="0"/>
    <x v="1"/>
    <x v="1"/>
    <x v="1"/>
    <x v="1"/>
    <x v="1"/>
    <n v="1"/>
  </r>
  <r>
    <n v="712"/>
    <x v="0"/>
    <x v="0"/>
    <x v="38"/>
    <n v="2"/>
    <n v="111061.01"/>
    <x v="0"/>
    <s v="No"/>
    <x v="0"/>
    <n v="26542.17"/>
    <x v="1"/>
    <n v="0.39407284755752531"/>
    <s v="No"/>
    <n v="0"/>
    <n v="0"/>
    <x v="0"/>
    <x v="3"/>
    <x v="0"/>
    <x v="2"/>
    <x v="2"/>
    <n v="1"/>
  </r>
  <r>
    <n v="631"/>
    <x v="2"/>
    <x v="1"/>
    <x v="19"/>
    <n v="4"/>
    <n v="124379.14"/>
    <x v="1"/>
    <s v="Yes"/>
    <x v="0"/>
    <n v="106892.91"/>
    <x v="1"/>
    <n v="0.23872685254106421"/>
    <s v="No"/>
    <n v="0"/>
    <n v="0"/>
    <x v="0"/>
    <x v="1"/>
    <x v="0"/>
    <x v="0"/>
    <x v="0"/>
    <n v="1"/>
  </r>
  <r>
    <n v="570"/>
    <x v="1"/>
    <x v="1"/>
    <x v="32"/>
    <n v="5"/>
    <n v="129293.74"/>
    <x v="1"/>
    <s v="Yes"/>
    <x v="0"/>
    <n v="177805.44"/>
    <x v="0"/>
    <n v="0.70837127871019301"/>
    <s v="Yes"/>
    <n v="1"/>
    <n v="1"/>
    <x v="2"/>
    <x v="0"/>
    <x v="0"/>
    <x v="1"/>
    <x v="1"/>
    <n v="1"/>
  </r>
  <r>
    <n v="581"/>
    <x v="1"/>
    <x v="0"/>
    <x v="18"/>
    <n v="6"/>
    <n v="116891.72"/>
    <x v="1"/>
    <s v="Yes"/>
    <x v="0"/>
    <n v="107137.3"/>
    <x v="1"/>
    <n v="0.2377709287382257"/>
    <s v="No"/>
    <n v="0"/>
    <n v="0"/>
    <x v="0"/>
    <x v="1"/>
    <x v="0"/>
    <x v="1"/>
    <x v="0"/>
    <n v="1"/>
  </r>
  <r>
    <n v="748"/>
    <x v="2"/>
    <x v="0"/>
    <x v="0"/>
    <n v="2"/>
    <n v="92911.52"/>
    <x v="1"/>
    <s v="No"/>
    <x v="1"/>
    <n v="85495.24"/>
    <x v="1"/>
    <n v="0.103416934075182"/>
    <s v="No"/>
    <n v="0"/>
    <n v="0"/>
    <x v="1"/>
    <x v="0"/>
    <x v="2"/>
    <x v="2"/>
    <x v="3"/>
    <n v="1"/>
  </r>
  <r>
    <n v="712"/>
    <x v="2"/>
    <x v="1"/>
    <x v="3"/>
    <n v="1"/>
    <n v="87842.98"/>
    <x v="1"/>
    <s v="No"/>
    <x v="0"/>
    <n v="92223.59"/>
    <x v="1"/>
    <n v="0.3463483215377044"/>
    <s v="No"/>
    <n v="0"/>
    <n v="0"/>
    <x v="0"/>
    <x v="0"/>
    <x v="2"/>
    <x v="2"/>
    <x v="3"/>
    <n v="1"/>
  </r>
  <r>
    <n v="682"/>
    <x v="0"/>
    <x v="0"/>
    <x v="28"/>
    <n v="5"/>
    <n v="0"/>
    <x v="0"/>
    <s v="Yes"/>
    <x v="1"/>
    <n v="147758.51"/>
    <x v="1"/>
    <n v="4.4412286766270237E-2"/>
    <s v="No"/>
    <n v="0"/>
    <n v="0"/>
    <x v="1"/>
    <x v="1"/>
    <x v="1"/>
    <x v="0"/>
    <x v="0"/>
    <n v="1"/>
  </r>
  <r>
    <n v="850"/>
    <x v="0"/>
    <x v="0"/>
    <x v="11"/>
    <n v="4"/>
    <n v="137204.76999999999"/>
    <x v="1"/>
    <s v="Yes"/>
    <x v="1"/>
    <n v="28865.59"/>
    <x v="1"/>
    <n v="6.3053594894337761E-2"/>
    <s v="No"/>
    <n v="0"/>
    <n v="0"/>
    <x v="1"/>
    <x v="1"/>
    <x v="0"/>
    <x v="3"/>
    <x v="2"/>
    <n v="1"/>
  </r>
  <r>
    <n v="591"/>
    <x v="0"/>
    <x v="0"/>
    <x v="18"/>
    <n v="8"/>
    <n v="0"/>
    <x v="1"/>
    <s v="Yes"/>
    <x v="1"/>
    <n v="141677.32999999999"/>
    <x v="1"/>
    <n v="3.4392169677023993E-2"/>
    <s v="No"/>
    <n v="0"/>
    <n v="0"/>
    <x v="1"/>
    <x v="1"/>
    <x v="1"/>
    <x v="1"/>
    <x v="0"/>
    <n v="1"/>
  </r>
  <r>
    <n v="648"/>
    <x v="0"/>
    <x v="0"/>
    <x v="25"/>
    <n v="8"/>
    <n v="0"/>
    <x v="1"/>
    <s v="Yes"/>
    <x v="0"/>
    <n v="133653.38"/>
    <x v="1"/>
    <n v="9.8409692769262341E-2"/>
    <s v="No"/>
    <n v="0"/>
    <n v="0"/>
    <x v="1"/>
    <x v="1"/>
    <x v="1"/>
    <x v="0"/>
    <x v="0"/>
    <n v="1"/>
  </r>
  <r>
    <n v="676"/>
    <x v="0"/>
    <x v="1"/>
    <x v="28"/>
    <n v="4"/>
    <n v="0"/>
    <x v="0"/>
    <s v="Yes"/>
    <x v="1"/>
    <n v="3173.31"/>
    <x v="1"/>
    <n v="7.0548947560833616E-2"/>
    <s v="No"/>
    <n v="0"/>
    <n v="0"/>
    <x v="1"/>
    <x v="1"/>
    <x v="1"/>
    <x v="0"/>
    <x v="2"/>
    <n v="1"/>
  </r>
  <r>
    <n v="637"/>
    <x v="2"/>
    <x v="0"/>
    <x v="5"/>
    <n v="0"/>
    <n v="132255.99"/>
    <x v="0"/>
    <s v="No"/>
    <x v="1"/>
    <n v="74588.41"/>
    <x v="1"/>
    <n v="5.3907867793254051E-2"/>
    <s v="No"/>
    <n v="0"/>
    <n v="0"/>
    <x v="1"/>
    <x v="1"/>
    <x v="0"/>
    <x v="0"/>
    <x v="3"/>
    <n v="1"/>
  </r>
  <r>
    <n v="601"/>
    <x v="0"/>
    <x v="1"/>
    <x v="0"/>
    <n v="4"/>
    <n v="0"/>
    <x v="0"/>
    <s v="Yes"/>
    <x v="0"/>
    <n v="58561.31"/>
    <x v="1"/>
    <n v="0.30713173981266489"/>
    <s v="No"/>
    <n v="0"/>
    <n v="0"/>
    <x v="0"/>
    <x v="0"/>
    <x v="1"/>
    <x v="0"/>
    <x v="3"/>
    <n v="1"/>
  </r>
  <r>
    <n v="715"/>
    <x v="2"/>
    <x v="0"/>
    <x v="34"/>
    <n v="7"/>
    <n v="139224.92000000001"/>
    <x v="0"/>
    <s v="Yes"/>
    <x v="0"/>
    <n v="65057.71"/>
    <x v="1"/>
    <n v="6.1391452888975663E-2"/>
    <s v="No"/>
    <n v="0"/>
    <n v="0"/>
    <x v="1"/>
    <x v="2"/>
    <x v="0"/>
    <x v="2"/>
    <x v="3"/>
    <n v="1"/>
  </r>
  <r>
    <n v="695"/>
    <x v="2"/>
    <x v="1"/>
    <x v="3"/>
    <n v="7"/>
    <n v="121453.63"/>
    <x v="1"/>
    <s v="No"/>
    <x v="0"/>
    <n v="46374.64"/>
    <x v="1"/>
    <n v="0.33612156853650638"/>
    <s v="No"/>
    <n v="0"/>
    <n v="0"/>
    <x v="0"/>
    <x v="0"/>
    <x v="0"/>
    <x v="0"/>
    <x v="2"/>
    <n v="1"/>
  </r>
  <r>
    <n v="747"/>
    <x v="2"/>
    <x v="1"/>
    <x v="36"/>
    <n v="4"/>
    <n v="0"/>
    <x v="0"/>
    <s v="No"/>
    <x v="1"/>
    <n v="42039.67"/>
    <x v="1"/>
    <n v="3.1497825414315388E-2"/>
    <s v="No"/>
    <n v="0"/>
    <n v="0"/>
    <x v="1"/>
    <x v="2"/>
    <x v="1"/>
    <x v="2"/>
    <x v="2"/>
    <n v="1"/>
  </r>
  <r>
    <n v="674"/>
    <x v="1"/>
    <x v="0"/>
    <x v="19"/>
    <n v="2"/>
    <n v="152797.9"/>
    <x v="1"/>
    <s v="Yes"/>
    <x v="0"/>
    <n v="175709.4"/>
    <x v="0"/>
    <n v="0.31071691620430608"/>
    <s v="No"/>
    <n v="1"/>
    <n v="0"/>
    <x v="0"/>
    <x v="1"/>
    <x v="3"/>
    <x v="0"/>
    <x v="1"/>
    <n v="0"/>
  </r>
  <r>
    <n v="642"/>
    <x v="1"/>
    <x v="1"/>
    <x v="24"/>
    <n v="5"/>
    <n v="129753.69"/>
    <x v="1"/>
    <s v="Yes"/>
    <x v="0"/>
    <n v="582.53"/>
    <x v="1"/>
    <n v="0.32296416953205148"/>
    <s v="No"/>
    <n v="0"/>
    <n v="0"/>
    <x v="0"/>
    <x v="2"/>
    <x v="0"/>
    <x v="0"/>
    <x v="2"/>
    <n v="1"/>
  </r>
  <r>
    <n v="758"/>
    <x v="2"/>
    <x v="1"/>
    <x v="19"/>
    <n v="1"/>
    <n v="154139.45000000001"/>
    <x v="1"/>
    <s v="Yes"/>
    <x v="1"/>
    <n v="60728.89"/>
    <x v="1"/>
    <n v="9.7369862780286753E-2"/>
    <s v="No"/>
    <n v="0"/>
    <n v="0"/>
    <x v="1"/>
    <x v="1"/>
    <x v="3"/>
    <x v="2"/>
    <x v="3"/>
    <n v="1"/>
  </r>
  <r>
    <n v="611"/>
    <x v="2"/>
    <x v="0"/>
    <x v="21"/>
    <n v="1"/>
    <n v="0"/>
    <x v="0"/>
    <s v="Yes"/>
    <x v="1"/>
    <n v="102547.56"/>
    <x v="1"/>
    <n v="6.248829990656616E-2"/>
    <s v="No"/>
    <n v="0"/>
    <n v="0"/>
    <x v="1"/>
    <x v="1"/>
    <x v="1"/>
    <x v="0"/>
    <x v="0"/>
    <n v="1"/>
  </r>
  <r>
    <n v="760"/>
    <x v="0"/>
    <x v="0"/>
    <x v="17"/>
    <n v="1"/>
    <n v="141038.57"/>
    <x v="0"/>
    <s v="No"/>
    <x v="0"/>
    <n v="16287.38"/>
    <x v="1"/>
    <n v="9.7832977169065513E-2"/>
    <s v="No"/>
    <n v="0"/>
    <n v="0"/>
    <x v="1"/>
    <x v="2"/>
    <x v="0"/>
    <x v="2"/>
    <x v="2"/>
    <n v="1"/>
  </r>
  <r>
    <n v="725"/>
    <x v="0"/>
    <x v="1"/>
    <x v="28"/>
    <n v="4"/>
    <n v="118520.26"/>
    <x v="1"/>
    <s v="No"/>
    <x v="0"/>
    <n v="131173.9"/>
    <x v="0"/>
    <n v="0.26742484557071988"/>
    <s v="No"/>
    <n v="1"/>
    <n v="0"/>
    <x v="0"/>
    <x v="1"/>
    <x v="0"/>
    <x v="2"/>
    <x v="0"/>
    <n v="0"/>
  </r>
  <r>
    <n v="600"/>
    <x v="2"/>
    <x v="0"/>
    <x v="11"/>
    <n v="1"/>
    <n v="142663.46"/>
    <x v="1"/>
    <s v="No"/>
    <x v="1"/>
    <n v="88669.89"/>
    <x v="1"/>
    <n v="8.1301056400764016E-2"/>
    <s v="No"/>
    <n v="0"/>
    <n v="0"/>
    <x v="1"/>
    <x v="1"/>
    <x v="0"/>
    <x v="1"/>
    <x v="3"/>
    <n v="1"/>
  </r>
  <r>
    <n v="657"/>
    <x v="2"/>
    <x v="1"/>
    <x v="6"/>
    <n v="5"/>
    <n v="95858.37"/>
    <x v="1"/>
    <s v="Yes"/>
    <x v="1"/>
    <n v="68255.88"/>
    <x v="1"/>
    <n v="0.13413161960010331"/>
    <s v="No"/>
    <n v="0"/>
    <n v="0"/>
    <x v="1"/>
    <x v="0"/>
    <x v="2"/>
    <x v="0"/>
    <x v="3"/>
    <n v="1"/>
  </r>
  <r>
    <n v="658"/>
    <x v="2"/>
    <x v="0"/>
    <x v="28"/>
    <n v="8"/>
    <n v="174060.46"/>
    <x v="1"/>
    <s v="Yes"/>
    <x v="1"/>
    <n v="94925.62"/>
    <x v="1"/>
    <n v="6.7559211554736501E-2"/>
    <s v="No"/>
    <n v="0"/>
    <n v="0"/>
    <x v="1"/>
    <x v="1"/>
    <x v="3"/>
    <x v="0"/>
    <x v="3"/>
    <n v="1"/>
  </r>
  <r>
    <n v="697"/>
    <x v="1"/>
    <x v="1"/>
    <x v="40"/>
    <n v="3"/>
    <n v="108071.36"/>
    <x v="0"/>
    <s v="Yes"/>
    <x v="1"/>
    <n v="16445.79"/>
    <x v="1"/>
    <n v="0.781804622373652"/>
    <s v="Yes"/>
    <n v="0"/>
    <n v="1"/>
    <x v="2"/>
    <x v="4"/>
    <x v="0"/>
    <x v="0"/>
    <x v="2"/>
    <n v="0"/>
  </r>
  <r>
    <n v="850"/>
    <x v="0"/>
    <x v="1"/>
    <x v="10"/>
    <n v="10"/>
    <n v="0"/>
    <x v="0"/>
    <s v="Yes"/>
    <x v="1"/>
    <n v="143030.09"/>
    <x v="1"/>
    <n v="7.4657501938442866E-2"/>
    <s v="No"/>
    <n v="0"/>
    <n v="0"/>
    <x v="1"/>
    <x v="1"/>
    <x v="1"/>
    <x v="3"/>
    <x v="0"/>
    <n v="1"/>
  </r>
  <r>
    <n v="713"/>
    <x v="2"/>
    <x v="1"/>
    <x v="31"/>
    <n v="3"/>
    <n v="0"/>
    <x v="0"/>
    <s v="Yes"/>
    <x v="1"/>
    <n v="62700.08"/>
    <x v="1"/>
    <n v="0.29164795316407199"/>
    <s v="No"/>
    <n v="0"/>
    <n v="0"/>
    <x v="0"/>
    <x v="3"/>
    <x v="1"/>
    <x v="2"/>
    <x v="3"/>
    <n v="1"/>
  </r>
  <r>
    <n v="769"/>
    <x v="1"/>
    <x v="1"/>
    <x v="18"/>
    <n v="7"/>
    <n v="148913.72"/>
    <x v="0"/>
    <s v="Yes"/>
    <x v="0"/>
    <n v="53817.23"/>
    <x v="1"/>
    <n v="0.30621824114551283"/>
    <s v="No"/>
    <n v="0"/>
    <n v="0"/>
    <x v="0"/>
    <x v="1"/>
    <x v="0"/>
    <x v="2"/>
    <x v="3"/>
    <n v="1"/>
  </r>
  <r>
    <n v="850"/>
    <x v="1"/>
    <x v="1"/>
    <x v="5"/>
    <n v="7"/>
    <n v="134678.13"/>
    <x v="1"/>
    <s v="Yes"/>
    <x v="0"/>
    <n v="113177.95"/>
    <x v="1"/>
    <n v="0.34841231607777401"/>
    <s v="No"/>
    <n v="0"/>
    <n v="0"/>
    <x v="0"/>
    <x v="1"/>
    <x v="0"/>
    <x v="3"/>
    <x v="0"/>
    <n v="1"/>
  </r>
  <r>
    <n v="628"/>
    <x v="1"/>
    <x v="1"/>
    <x v="28"/>
    <n v="3"/>
    <n v="91286.51"/>
    <x v="1"/>
    <s v="Yes"/>
    <x v="0"/>
    <n v="63085.94"/>
    <x v="1"/>
    <n v="0.42270332388020337"/>
    <s v="No"/>
    <n v="0"/>
    <n v="0"/>
    <x v="0"/>
    <x v="1"/>
    <x v="2"/>
    <x v="0"/>
    <x v="3"/>
    <n v="1"/>
  </r>
  <r>
    <n v="633"/>
    <x v="0"/>
    <x v="0"/>
    <x v="25"/>
    <n v="5"/>
    <n v="163340.12"/>
    <x v="0"/>
    <s v="Yes"/>
    <x v="1"/>
    <n v="74415.199999999997"/>
    <x v="1"/>
    <n v="4.9805110992566973E-2"/>
    <s v="No"/>
    <n v="0"/>
    <n v="0"/>
    <x v="1"/>
    <x v="1"/>
    <x v="3"/>
    <x v="0"/>
    <x v="3"/>
    <n v="1"/>
  </r>
  <r>
    <n v="630"/>
    <x v="0"/>
    <x v="0"/>
    <x v="22"/>
    <n v="1"/>
    <n v="0"/>
    <x v="0"/>
    <s v="No"/>
    <x v="0"/>
    <n v="186826.22"/>
    <x v="1"/>
    <n v="0.13196288349219051"/>
    <s v="No"/>
    <n v="0"/>
    <n v="0"/>
    <x v="1"/>
    <x v="1"/>
    <x v="1"/>
    <x v="0"/>
    <x v="1"/>
    <n v="1"/>
  </r>
  <r>
    <n v="788"/>
    <x v="1"/>
    <x v="1"/>
    <x v="26"/>
    <n v="8"/>
    <n v="93716.72"/>
    <x v="1"/>
    <s v="Yes"/>
    <x v="1"/>
    <n v="180150.49"/>
    <x v="0"/>
    <n v="0.50359636917498751"/>
    <s v="Yes"/>
    <n v="1"/>
    <n v="1"/>
    <x v="2"/>
    <x v="3"/>
    <x v="2"/>
    <x v="2"/>
    <x v="1"/>
    <n v="1"/>
  </r>
  <r>
    <n v="425"/>
    <x v="0"/>
    <x v="1"/>
    <x v="15"/>
    <n v="7"/>
    <n v="169649.73"/>
    <x v="0"/>
    <s v="No"/>
    <x v="1"/>
    <n v="136365"/>
    <x v="0"/>
    <n v="4.9578272338156822E-2"/>
    <s v="No"/>
    <n v="1"/>
    <n v="0"/>
    <x v="1"/>
    <x v="2"/>
    <x v="3"/>
    <x v="4"/>
    <x v="0"/>
    <n v="0"/>
  </r>
  <r>
    <n v="547"/>
    <x v="0"/>
    <x v="1"/>
    <x v="18"/>
    <n v="9"/>
    <n v="0"/>
    <x v="0"/>
    <s v="No"/>
    <x v="0"/>
    <n v="99294.22"/>
    <x v="1"/>
    <n v="0.14405338139973459"/>
    <s v="No"/>
    <n v="0"/>
    <n v="0"/>
    <x v="1"/>
    <x v="1"/>
    <x v="1"/>
    <x v="1"/>
    <x v="3"/>
    <n v="1"/>
  </r>
  <r>
    <n v="561"/>
    <x v="2"/>
    <x v="0"/>
    <x v="47"/>
    <n v="7"/>
    <n v="152759"/>
    <x v="0"/>
    <s v="Yes"/>
    <x v="0"/>
    <n v="133167.10999999999"/>
    <x v="0"/>
    <n v="0.47363612705655589"/>
    <s v="No"/>
    <n v="1"/>
    <n v="0"/>
    <x v="0"/>
    <x v="3"/>
    <x v="3"/>
    <x v="1"/>
    <x v="0"/>
    <n v="0"/>
  </r>
  <r>
    <n v="785"/>
    <x v="2"/>
    <x v="1"/>
    <x v="35"/>
    <n v="9"/>
    <n v="122031.55"/>
    <x v="1"/>
    <s v="Yes"/>
    <x v="1"/>
    <n v="33823.5"/>
    <x v="0"/>
    <n v="0.1765134769349381"/>
    <s v="No"/>
    <n v="1"/>
    <n v="0"/>
    <x v="1"/>
    <x v="0"/>
    <x v="0"/>
    <x v="2"/>
    <x v="2"/>
    <n v="0"/>
  </r>
  <r>
    <n v="607"/>
    <x v="2"/>
    <x v="0"/>
    <x v="1"/>
    <n v="7"/>
    <n v="123859.6"/>
    <x v="1"/>
    <s v="No"/>
    <x v="1"/>
    <n v="113051.57"/>
    <x v="1"/>
    <n v="0.12009594837907241"/>
    <s v="No"/>
    <n v="0"/>
    <n v="0"/>
    <x v="1"/>
    <x v="0"/>
    <x v="0"/>
    <x v="0"/>
    <x v="0"/>
    <n v="1"/>
  </r>
  <r>
    <n v="529"/>
    <x v="0"/>
    <x v="0"/>
    <x v="22"/>
    <n v="5"/>
    <n v="95772.97"/>
    <x v="1"/>
    <s v="Yes"/>
    <x v="1"/>
    <n v="112781.5"/>
    <x v="1"/>
    <n v="6.2701758918899869E-2"/>
    <s v="No"/>
    <n v="0"/>
    <n v="0"/>
    <x v="1"/>
    <x v="1"/>
    <x v="2"/>
    <x v="1"/>
    <x v="0"/>
    <n v="1"/>
  </r>
  <r>
    <n v="429"/>
    <x v="2"/>
    <x v="0"/>
    <x v="37"/>
    <n v="7"/>
    <n v="0"/>
    <x v="0"/>
    <s v="Yes"/>
    <x v="1"/>
    <n v="163691.48000000001"/>
    <x v="1"/>
    <n v="0.23381348122850221"/>
    <s v="No"/>
    <n v="0"/>
    <n v="0"/>
    <x v="0"/>
    <x v="3"/>
    <x v="1"/>
    <x v="4"/>
    <x v="1"/>
    <n v="1"/>
  </r>
  <r>
    <n v="488"/>
    <x v="2"/>
    <x v="0"/>
    <x v="19"/>
    <n v="3"/>
    <n v="0"/>
    <x v="0"/>
    <s v="Yes"/>
    <x v="1"/>
    <n v="125979.36"/>
    <x v="1"/>
    <n v="4.3375400408383558E-2"/>
    <s v="No"/>
    <n v="0"/>
    <n v="0"/>
    <x v="1"/>
    <x v="1"/>
    <x v="1"/>
    <x v="4"/>
    <x v="0"/>
    <n v="1"/>
  </r>
  <r>
    <n v="673"/>
    <x v="0"/>
    <x v="1"/>
    <x v="11"/>
    <n v="0"/>
    <n v="0"/>
    <x v="0"/>
    <s v="No"/>
    <x v="0"/>
    <n v="82351.06"/>
    <x v="1"/>
    <n v="0.2215445709756331"/>
    <s v="No"/>
    <n v="0"/>
    <n v="0"/>
    <x v="0"/>
    <x v="1"/>
    <x v="1"/>
    <x v="0"/>
    <x v="3"/>
    <n v="1"/>
  </r>
  <r>
    <n v="796"/>
    <x v="0"/>
    <x v="0"/>
    <x v="46"/>
    <n v="5"/>
    <n v="0"/>
    <x v="0"/>
    <s v="No"/>
    <x v="1"/>
    <n v="54871.02"/>
    <x v="1"/>
    <n v="0.29448440604978882"/>
    <s v="No"/>
    <n v="0"/>
    <n v="0"/>
    <x v="0"/>
    <x v="4"/>
    <x v="1"/>
    <x v="2"/>
    <x v="3"/>
    <n v="1"/>
  </r>
  <r>
    <n v="773"/>
    <x v="0"/>
    <x v="1"/>
    <x v="5"/>
    <n v="10"/>
    <n v="0"/>
    <x v="1"/>
    <s v="Yes"/>
    <x v="1"/>
    <n v="98820.09"/>
    <x v="1"/>
    <n v="5.5775673733098247E-2"/>
    <s v="No"/>
    <n v="0"/>
    <n v="0"/>
    <x v="1"/>
    <x v="1"/>
    <x v="1"/>
    <x v="2"/>
    <x v="3"/>
    <n v="1"/>
  </r>
  <r>
    <n v="620"/>
    <x v="2"/>
    <x v="1"/>
    <x v="46"/>
    <n v="3"/>
    <n v="0"/>
    <x v="0"/>
    <s v="Yes"/>
    <x v="1"/>
    <n v="43486.73"/>
    <x v="1"/>
    <n v="0.43983991671780148"/>
    <s v="No"/>
    <n v="0"/>
    <n v="0"/>
    <x v="0"/>
    <x v="4"/>
    <x v="1"/>
    <x v="0"/>
    <x v="2"/>
    <n v="1"/>
  </r>
  <r>
    <n v="746"/>
    <x v="0"/>
    <x v="0"/>
    <x v="18"/>
    <n v="2"/>
    <n v="113836.27"/>
    <x v="1"/>
    <s v="Yes"/>
    <x v="1"/>
    <n v="174815.54"/>
    <x v="1"/>
    <n v="4.6979128727824511E-2"/>
    <s v="No"/>
    <n v="0"/>
    <n v="0"/>
    <x v="1"/>
    <x v="1"/>
    <x v="0"/>
    <x v="2"/>
    <x v="1"/>
    <n v="1"/>
  </r>
  <r>
    <n v="543"/>
    <x v="1"/>
    <x v="0"/>
    <x v="20"/>
    <n v="1"/>
    <n v="100900.5"/>
    <x v="1"/>
    <s v="No"/>
    <x v="0"/>
    <n v="33310.720000000001"/>
    <x v="0"/>
    <n v="0.54181580766955995"/>
    <s v="Yes"/>
    <n v="1"/>
    <n v="1"/>
    <x v="2"/>
    <x v="0"/>
    <x v="0"/>
    <x v="1"/>
    <x v="2"/>
    <n v="1"/>
  </r>
  <r>
    <n v="768"/>
    <x v="2"/>
    <x v="1"/>
    <x v="17"/>
    <n v="3"/>
    <n v="109118.05"/>
    <x v="0"/>
    <s v="No"/>
    <x v="1"/>
    <n v="50911.41"/>
    <x v="1"/>
    <n v="5.1620813864179327E-2"/>
    <s v="No"/>
    <n v="0"/>
    <n v="0"/>
    <x v="1"/>
    <x v="2"/>
    <x v="0"/>
    <x v="2"/>
    <x v="3"/>
    <n v="1"/>
  </r>
  <r>
    <n v="484"/>
    <x v="1"/>
    <x v="0"/>
    <x v="49"/>
    <n v="3"/>
    <n v="134388.10999999999"/>
    <x v="1"/>
    <s v="No"/>
    <x v="0"/>
    <n v="49954.79"/>
    <x v="0"/>
    <n v="0.67017797687295433"/>
    <s v="Yes"/>
    <n v="1"/>
    <n v="1"/>
    <x v="2"/>
    <x v="3"/>
    <x v="0"/>
    <x v="4"/>
    <x v="2"/>
    <n v="1"/>
  </r>
  <r>
    <n v="632"/>
    <x v="0"/>
    <x v="1"/>
    <x v="21"/>
    <n v="3"/>
    <n v="109740.62"/>
    <x v="1"/>
    <s v="Yes"/>
    <x v="0"/>
    <n v="141896.74"/>
    <x v="1"/>
    <n v="0.33703164842855787"/>
    <s v="No"/>
    <n v="0"/>
    <n v="0"/>
    <x v="0"/>
    <x v="1"/>
    <x v="0"/>
    <x v="0"/>
    <x v="0"/>
    <n v="1"/>
  </r>
  <r>
    <n v="536"/>
    <x v="1"/>
    <x v="0"/>
    <x v="34"/>
    <n v="6"/>
    <n v="92366.720000000001"/>
    <x v="0"/>
    <s v="Yes"/>
    <x v="0"/>
    <n v="120661.71"/>
    <x v="1"/>
    <n v="0.13177695831617289"/>
    <s v="No"/>
    <n v="0"/>
    <n v="0"/>
    <x v="1"/>
    <x v="2"/>
    <x v="2"/>
    <x v="1"/>
    <x v="0"/>
    <n v="1"/>
  </r>
  <r>
    <n v="701"/>
    <x v="2"/>
    <x v="0"/>
    <x v="24"/>
    <n v="3"/>
    <n v="156660.72"/>
    <x v="0"/>
    <s v="Yes"/>
    <x v="0"/>
    <n v="45742.42"/>
    <x v="1"/>
    <n v="0.1104700319438477"/>
    <s v="No"/>
    <n v="0"/>
    <n v="0"/>
    <x v="1"/>
    <x v="2"/>
    <x v="3"/>
    <x v="2"/>
    <x v="2"/>
    <n v="1"/>
  </r>
  <r>
    <n v="518"/>
    <x v="2"/>
    <x v="0"/>
    <x v="2"/>
    <n v="3"/>
    <n v="90957.81"/>
    <x v="1"/>
    <s v="No"/>
    <x v="1"/>
    <n v="162304.59"/>
    <x v="1"/>
    <n v="8.1179763269064162E-2"/>
    <s v="No"/>
    <n v="0"/>
    <n v="0"/>
    <x v="1"/>
    <x v="1"/>
    <x v="2"/>
    <x v="1"/>
    <x v="1"/>
    <n v="1"/>
  </r>
  <r>
    <n v="783"/>
    <x v="0"/>
    <x v="0"/>
    <x v="10"/>
    <n v="9"/>
    <n v="0"/>
    <x v="0"/>
    <s v="Yes"/>
    <x v="0"/>
    <n v="143752.76999999999"/>
    <x v="1"/>
    <n v="0.1291740492235291"/>
    <s v="No"/>
    <n v="0"/>
    <n v="0"/>
    <x v="1"/>
    <x v="1"/>
    <x v="1"/>
    <x v="2"/>
    <x v="0"/>
    <n v="1"/>
  </r>
  <r>
    <n v="623"/>
    <x v="2"/>
    <x v="0"/>
    <x v="13"/>
    <n v="10"/>
    <n v="0"/>
    <x v="0"/>
    <s v="No"/>
    <x v="1"/>
    <n v="135851.29999999999"/>
    <x v="1"/>
    <n v="1.406819530947895E-2"/>
    <s v="No"/>
    <n v="0"/>
    <n v="0"/>
    <x v="1"/>
    <x v="2"/>
    <x v="1"/>
    <x v="0"/>
    <x v="0"/>
    <n v="1"/>
  </r>
  <r>
    <n v="681"/>
    <x v="1"/>
    <x v="1"/>
    <x v="20"/>
    <n v="8"/>
    <n v="139480.18"/>
    <x v="1"/>
    <s v="Yes"/>
    <x v="1"/>
    <n v="163581.67000000001"/>
    <x v="1"/>
    <n v="0.38505795808289422"/>
    <s v="No"/>
    <n v="0"/>
    <n v="0"/>
    <x v="0"/>
    <x v="0"/>
    <x v="0"/>
    <x v="0"/>
    <x v="1"/>
    <n v="1"/>
  </r>
  <r>
    <n v="694"/>
    <x v="2"/>
    <x v="1"/>
    <x v="5"/>
    <n v="4"/>
    <n v="129731.64"/>
    <x v="0"/>
    <s v="Yes"/>
    <x v="0"/>
    <n v="178123.86"/>
    <x v="1"/>
    <n v="0.20962812196432631"/>
    <s v="No"/>
    <n v="0"/>
    <n v="0"/>
    <x v="0"/>
    <x v="1"/>
    <x v="0"/>
    <x v="0"/>
    <x v="1"/>
    <n v="1"/>
  </r>
  <r>
    <n v="717"/>
    <x v="0"/>
    <x v="0"/>
    <x v="22"/>
    <n v="1"/>
    <n v="0"/>
    <x v="2"/>
    <s v="No"/>
    <x v="0"/>
    <n v="174770.14"/>
    <x v="0"/>
    <n v="0.1136183866986816"/>
    <s v="No"/>
    <n v="1"/>
    <n v="0"/>
    <x v="1"/>
    <x v="1"/>
    <x v="1"/>
    <x v="2"/>
    <x v="1"/>
    <n v="0"/>
  </r>
  <r>
    <n v="719"/>
    <x v="0"/>
    <x v="1"/>
    <x v="35"/>
    <n v="9"/>
    <n v="116393.59"/>
    <x v="1"/>
    <s v="Yes"/>
    <x v="0"/>
    <n v="63051.32"/>
    <x v="0"/>
    <n v="0.40988852696943018"/>
    <s v="No"/>
    <n v="1"/>
    <n v="0"/>
    <x v="0"/>
    <x v="0"/>
    <x v="0"/>
    <x v="2"/>
    <x v="3"/>
    <n v="0"/>
  </r>
  <r>
    <n v="845"/>
    <x v="1"/>
    <x v="1"/>
    <x v="6"/>
    <n v="2"/>
    <n v="81733.740000000005"/>
    <x v="0"/>
    <s v="No"/>
    <x v="0"/>
    <n v="199761.29"/>
    <x v="1"/>
    <n v="0.47705195980714321"/>
    <s v="No"/>
    <n v="0"/>
    <n v="0"/>
    <x v="0"/>
    <x v="0"/>
    <x v="2"/>
    <x v="3"/>
    <x v="1"/>
    <n v="1"/>
  </r>
  <r>
    <n v="695"/>
    <x v="0"/>
    <x v="0"/>
    <x v="17"/>
    <n v="0"/>
    <n v="96020.86"/>
    <x v="1"/>
    <s v="Yes"/>
    <x v="1"/>
    <n v="57992.49"/>
    <x v="1"/>
    <n v="3.6665589034777887E-2"/>
    <s v="No"/>
    <n v="0"/>
    <n v="0"/>
    <x v="1"/>
    <x v="2"/>
    <x v="2"/>
    <x v="0"/>
    <x v="3"/>
    <n v="1"/>
  </r>
  <r>
    <n v="842"/>
    <x v="2"/>
    <x v="0"/>
    <x v="50"/>
    <n v="1"/>
    <n v="63492.94"/>
    <x v="1"/>
    <s v="Yes"/>
    <x v="1"/>
    <n v="83172.19"/>
    <x v="1"/>
    <n v="0.2177256775877672"/>
    <s v="No"/>
    <n v="0"/>
    <n v="0"/>
    <x v="0"/>
    <x v="3"/>
    <x v="2"/>
    <x v="3"/>
    <x v="3"/>
    <n v="1"/>
  </r>
  <r>
    <n v="684"/>
    <x v="1"/>
    <x v="0"/>
    <x v="4"/>
    <n v="8"/>
    <n v="127269.75"/>
    <x v="1"/>
    <s v="No"/>
    <x v="1"/>
    <n v="79495.009999999995"/>
    <x v="1"/>
    <n v="7.798600580467531E-2"/>
    <s v="No"/>
    <n v="0"/>
    <n v="0"/>
    <x v="1"/>
    <x v="2"/>
    <x v="0"/>
    <x v="0"/>
    <x v="3"/>
    <n v="1"/>
  </r>
  <r>
    <n v="556"/>
    <x v="0"/>
    <x v="1"/>
    <x v="20"/>
    <n v="8"/>
    <n v="168522.37"/>
    <x v="1"/>
    <s v="Yes"/>
    <x v="1"/>
    <n v="151310.16"/>
    <x v="1"/>
    <n v="0.25670271004069722"/>
    <s v="No"/>
    <n v="0"/>
    <n v="0"/>
    <x v="0"/>
    <x v="0"/>
    <x v="3"/>
    <x v="1"/>
    <x v="1"/>
    <n v="1"/>
  </r>
  <r>
    <n v="691"/>
    <x v="1"/>
    <x v="0"/>
    <x v="29"/>
    <n v="3"/>
    <n v="160358.68"/>
    <x v="0"/>
    <s v="Yes"/>
    <x v="0"/>
    <n v="142367.72"/>
    <x v="1"/>
    <n v="0.19016354231747021"/>
    <s v="No"/>
    <n v="0"/>
    <n v="0"/>
    <x v="1"/>
    <x v="2"/>
    <x v="3"/>
    <x v="0"/>
    <x v="0"/>
    <n v="1"/>
  </r>
  <r>
    <n v="706"/>
    <x v="2"/>
    <x v="0"/>
    <x v="24"/>
    <n v="3"/>
    <n v="98415.37"/>
    <x v="1"/>
    <s v="Yes"/>
    <x v="1"/>
    <n v="110520.48"/>
    <x v="1"/>
    <n v="3.9529192118700533E-2"/>
    <s v="No"/>
    <n v="0"/>
    <n v="0"/>
    <x v="1"/>
    <x v="2"/>
    <x v="2"/>
    <x v="2"/>
    <x v="0"/>
    <n v="1"/>
  </r>
  <r>
    <n v="716"/>
    <x v="1"/>
    <x v="1"/>
    <x v="51"/>
    <n v="3"/>
    <n v="128743.8"/>
    <x v="1"/>
    <s v="No"/>
    <x v="0"/>
    <n v="197322.13"/>
    <x v="1"/>
    <n v="0.1824121195981605"/>
    <s v="No"/>
    <n v="0"/>
    <n v="0"/>
    <x v="1"/>
    <x v="5"/>
    <x v="0"/>
    <x v="2"/>
    <x v="1"/>
    <n v="1"/>
  </r>
  <r>
    <n v="621"/>
    <x v="2"/>
    <x v="0"/>
    <x v="35"/>
    <n v="0"/>
    <n v="0"/>
    <x v="1"/>
    <s v="Yes"/>
    <x v="1"/>
    <n v="133831.37"/>
    <x v="0"/>
    <n v="0.11341533652757781"/>
    <s v="No"/>
    <n v="1"/>
    <n v="0"/>
    <x v="1"/>
    <x v="0"/>
    <x v="1"/>
    <x v="0"/>
    <x v="0"/>
    <n v="0"/>
  </r>
  <r>
    <n v="840"/>
    <x v="2"/>
    <x v="1"/>
    <x v="10"/>
    <n v="1"/>
    <n v="94968.97"/>
    <x v="1"/>
    <s v="Yes"/>
    <x v="0"/>
    <n v="84487.62"/>
    <x v="1"/>
    <n v="0.27611809467458931"/>
    <s v="No"/>
    <n v="0"/>
    <n v="0"/>
    <x v="0"/>
    <x v="1"/>
    <x v="2"/>
    <x v="3"/>
    <x v="3"/>
    <n v="1"/>
  </r>
  <r>
    <n v="667"/>
    <x v="1"/>
    <x v="1"/>
    <x v="29"/>
    <n v="3"/>
    <n v="106116.5"/>
    <x v="0"/>
    <s v="Yes"/>
    <x v="0"/>
    <n v="3674.71"/>
    <x v="1"/>
    <n v="0.24917100497742339"/>
    <s v="No"/>
    <n v="0"/>
    <n v="0"/>
    <x v="0"/>
    <x v="2"/>
    <x v="0"/>
    <x v="0"/>
    <x v="2"/>
    <n v="1"/>
  </r>
  <r>
    <n v="487"/>
    <x v="2"/>
    <x v="0"/>
    <x v="1"/>
    <n v="2"/>
    <n v="0"/>
    <x v="0"/>
    <s v="Yes"/>
    <x v="0"/>
    <n v="77475.73"/>
    <x v="1"/>
    <n v="0.23211910984561429"/>
    <s v="No"/>
    <n v="0"/>
    <n v="0"/>
    <x v="0"/>
    <x v="0"/>
    <x v="1"/>
    <x v="4"/>
    <x v="3"/>
    <n v="1"/>
  </r>
  <r>
    <n v="549"/>
    <x v="2"/>
    <x v="0"/>
    <x v="11"/>
    <n v="2"/>
    <n v="112541.54"/>
    <x v="0"/>
    <s v="No"/>
    <x v="0"/>
    <n v="47432.43"/>
    <x v="1"/>
    <n v="0.17884917569742789"/>
    <s v="No"/>
    <n v="0"/>
    <n v="0"/>
    <x v="1"/>
    <x v="1"/>
    <x v="0"/>
    <x v="1"/>
    <x v="2"/>
    <n v="1"/>
  </r>
  <r>
    <n v="712"/>
    <x v="2"/>
    <x v="1"/>
    <x v="11"/>
    <n v="1"/>
    <n v="106881.5"/>
    <x v="0"/>
    <s v="No"/>
    <x v="0"/>
    <n v="169386.81"/>
    <x v="1"/>
    <n v="0.26576988816669511"/>
    <s v="No"/>
    <n v="0"/>
    <n v="0"/>
    <x v="0"/>
    <x v="1"/>
    <x v="0"/>
    <x v="2"/>
    <x v="1"/>
    <n v="1"/>
  </r>
  <r>
    <n v="689"/>
    <x v="1"/>
    <x v="0"/>
    <x v="27"/>
    <n v="4"/>
    <n v="120727.97"/>
    <x v="1"/>
    <s v="No"/>
    <x v="1"/>
    <n v="149073.88"/>
    <x v="1"/>
    <n v="6.9503035969906105E-2"/>
    <s v="No"/>
    <n v="0"/>
    <n v="0"/>
    <x v="1"/>
    <x v="2"/>
    <x v="0"/>
    <x v="0"/>
    <x v="0"/>
    <n v="1"/>
  </r>
  <r>
    <n v="850"/>
    <x v="2"/>
    <x v="0"/>
    <x v="52"/>
    <n v="8"/>
    <n v="169832.57"/>
    <x v="1"/>
    <s v="No"/>
    <x v="0"/>
    <n v="184107.26"/>
    <x v="0"/>
    <n v="0.59895292383586463"/>
    <s v="Yes"/>
    <n v="1"/>
    <n v="1"/>
    <x v="2"/>
    <x v="4"/>
    <x v="3"/>
    <x v="3"/>
    <x v="1"/>
    <n v="1"/>
  </r>
  <r>
    <n v="744"/>
    <x v="2"/>
    <x v="0"/>
    <x v="18"/>
    <n v="9"/>
    <n v="120718.28"/>
    <x v="1"/>
    <s v="Yes"/>
    <x v="1"/>
    <n v="58961.49"/>
    <x v="1"/>
    <n v="3.7962033893293889E-2"/>
    <s v="No"/>
    <n v="0"/>
    <n v="0"/>
    <x v="1"/>
    <x v="1"/>
    <x v="0"/>
    <x v="2"/>
    <x v="3"/>
    <n v="1"/>
  </r>
  <r>
    <n v="640"/>
    <x v="2"/>
    <x v="0"/>
    <x v="52"/>
    <n v="2"/>
    <n v="68432.45"/>
    <x v="0"/>
    <s v="Yes"/>
    <x v="1"/>
    <n v="112503.24"/>
    <x v="0"/>
    <n v="0.29664186108118079"/>
    <s v="No"/>
    <n v="1"/>
    <n v="0"/>
    <x v="0"/>
    <x v="4"/>
    <x v="2"/>
    <x v="0"/>
    <x v="0"/>
    <n v="0"/>
  </r>
  <r>
    <n v="716"/>
    <x v="2"/>
    <x v="1"/>
    <x v="42"/>
    <n v="7"/>
    <n v="65971.61"/>
    <x v="0"/>
    <s v="Yes"/>
    <x v="0"/>
    <n v="14608"/>
    <x v="0"/>
    <n v="0.43717656110799918"/>
    <s v="No"/>
    <n v="1"/>
    <n v="0"/>
    <x v="0"/>
    <x v="3"/>
    <x v="2"/>
    <x v="2"/>
    <x v="2"/>
    <n v="0"/>
  </r>
  <r>
    <n v="595"/>
    <x v="1"/>
    <x v="1"/>
    <x v="6"/>
    <n v="9"/>
    <n v="150463.10999999999"/>
    <x v="0"/>
    <s v="No"/>
    <x v="1"/>
    <n v="81548.38"/>
    <x v="1"/>
    <n v="0.26208475403663412"/>
    <s v="No"/>
    <n v="0"/>
    <n v="0"/>
    <x v="0"/>
    <x v="0"/>
    <x v="3"/>
    <x v="1"/>
    <x v="3"/>
    <n v="1"/>
  </r>
  <r>
    <n v="667"/>
    <x v="0"/>
    <x v="0"/>
    <x v="10"/>
    <n v="9"/>
    <n v="0"/>
    <x v="0"/>
    <s v="Yes"/>
    <x v="0"/>
    <n v="68873.8"/>
    <x v="1"/>
    <n v="0.13355740798496379"/>
    <s v="No"/>
    <n v="0"/>
    <n v="0"/>
    <x v="1"/>
    <x v="1"/>
    <x v="1"/>
    <x v="0"/>
    <x v="3"/>
    <n v="1"/>
  </r>
  <r>
    <n v="661"/>
    <x v="2"/>
    <x v="1"/>
    <x v="11"/>
    <n v="5"/>
    <n v="136425.18"/>
    <x v="1"/>
    <s v="Yes"/>
    <x v="0"/>
    <n v="81102.81"/>
    <x v="1"/>
    <n v="0.27658628616771741"/>
    <s v="No"/>
    <n v="0"/>
    <n v="0"/>
    <x v="0"/>
    <x v="1"/>
    <x v="0"/>
    <x v="0"/>
    <x v="3"/>
    <n v="1"/>
  </r>
  <r>
    <n v="555"/>
    <x v="2"/>
    <x v="0"/>
    <x v="45"/>
    <n v="4"/>
    <n v="146798.81"/>
    <x v="1"/>
    <s v="Yes"/>
    <x v="1"/>
    <n v="74149.77"/>
    <x v="1"/>
    <n v="0.24035190630999009"/>
    <s v="No"/>
    <n v="0"/>
    <n v="0"/>
    <x v="0"/>
    <x v="3"/>
    <x v="0"/>
    <x v="1"/>
    <x v="3"/>
    <n v="1"/>
  </r>
  <r>
    <n v="678"/>
    <x v="0"/>
    <x v="1"/>
    <x v="9"/>
    <n v="8"/>
    <n v="0"/>
    <x v="0"/>
    <s v="No"/>
    <x v="1"/>
    <n v="98090.69"/>
    <x v="1"/>
    <n v="0.16636733707088419"/>
    <s v="No"/>
    <n v="0"/>
    <n v="0"/>
    <x v="1"/>
    <x v="0"/>
    <x v="1"/>
    <x v="0"/>
    <x v="3"/>
    <n v="1"/>
  </r>
  <r>
    <n v="768"/>
    <x v="2"/>
    <x v="0"/>
    <x v="3"/>
    <n v="5"/>
    <n v="0"/>
    <x v="2"/>
    <s v="No"/>
    <x v="0"/>
    <n v="60686.400000000001"/>
    <x v="1"/>
    <n v="0.1476615796265118"/>
    <s v="No"/>
    <n v="0"/>
    <n v="0"/>
    <x v="1"/>
    <x v="0"/>
    <x v="1"/>
    <x v="2"/>
    <x v="3"/>
    <n v="1"/>
  </r>
  <r>
    <n v="492"/>
    <x v="2"/>
    <x v="1"/>
    <x v="18"/>
    <n v="7"/>
    <n v="0"/>
    <x v="0"/>
    <s v="Yes"/>
    <x v="1"/>
    <n v="49463.44"/>
    <x v="1"/>
    <n v="5.2512926892333493E-2"/>
    <s v="No"/>
    <n v="0"/>
    <n v="0"/>
    <x v="1"/>
    <x v="1"/>
    <x v="1"/>
    <x v="4"/>
    <x v="2"/>
    <n v="1"/>
  </r>
  <r>
    <n v="596"/>
    <x v="0"/>
    <x v="0"/>
    <x v="6"/>
    <n v="5"/>
    <n v="0"/>
    <x v="0"/>
    <s v="No"/>
    <x v="1"/>
    <n v="141053.85"/>
    <x v="1"/>
    <n v="6.8443902236653878E-2"/>
    <s v="No"/>
    <n v="0"/>
    <n v="0"/>
    <x v="1"/>
    <x v="0"/>
    <x v="1"/>
    <x v="1"/>
    <x v="0"/>
    <n v="1"/>
  </r>
  <r>
    <n v="738"/>
    <x v="1"/>
    <x v="0"/>
    <x v="22"/>
    <n v="6"/>
    <n v="101744.84"/>
    <x v="1"/>
    <s v="No"/>
    <x v="0"/>
    <n v="85185.44"/>
    <x v="1"/>
    <n v="0.26953417369877902"/>
    <s v="No"/>
    <n v="0"/>
    <n v="0"/>
    <x v="0"/>
    <x v="1"/>
    <x v="0"/>
    <x v="2"/>
    <x v="3"/>
    <n v="1"/>
  </r>
  <r>
    <n v="460"/>
    <x v="2"/>
    <x v="1"/>
    <x v="29"/>
    <n v="7"/>
    <n v="0"/>
    <x v="0"/>
    <s v="Yes"/>
    <x v="0"/>
    <n v="156150.07999999999"/>
    <x v="0"/>
    <n v="0.1174277940113647"/>
    <s v="No"/>
    <n v="1"/>
    <n v="0"/>
    <x v="1"/>
    <x v="2"/>
    <x v="1"/>
    <x v="4"/>
    <x v="1"/>
    <n v="0"/>
  </r>
  <r>
    <n v="765"/>
    <x v="0"/>
    <x v="1"/>
    <x v="25"/>
    <n v="9"/>
    <n v="178095.55"/>
    <x v="1"/>
    <s v="No"/>
    <x v="0"/>
    <n v="47247.56"/>
    <x v="1"/>
    <n v="0.2103395865836151"/>
    <s v="No"/>
    <n v="0"/>
    <n v="0"/>
    <x v="0"/>
    <x v="1"/>
    <x v="3"/>
    <x v="2"/>
    <x v="2"/>
    <n v="1"/>
  </r>
  <r>
    <n v="651"/>
    <x v="1"/>
    <x v="1"/>
    <x v="36"/>
    <n v="2"/>
    <n v="109175.14"/>
    <x v="0"/>
    <s v="Yes"/>
    <x v="0"/>
    <n v="114566.47"/>
    <x v="1"/>
    <n v="0.2404541324016036"/>
    <s v="No"/>
    <n v="0"/>
    <n v="0"/>
    <x v="0"/>
    <x v="2"/>
    <x v="0"/>
    <x v="0"/>
    <x v="0"/>
    <n v="1"/>
  </r>
  <r>
    <n v="710"/>
    <x v="1"/>
    <x v="0"/>
    <x v="19"/>
    <n v="9"/>
    <n v="134260.35999999999"/>
    <x v="0"/>
    <s v="Yes"/>
    <x v="0"/>
    <n v="147074.67000000001"/>
    <x v="1"/>
    <n v="0.24455171399357439"/>
    <s v="No"/>
    <n v="0"/>
    <n v="0"/>
    <x v="0"/>
    <x v="1"/>
    <x v="0"/>
    <x v="2"/>
    <x v="0"/>
    <n v="1"/>
  </r>
  <r>
    <n v="688"/>
    <x v="2"/>
    <x v="1"/>
    <x v="25"/>
    <n v="6"/>
    <n v="123157.95"/>
    <x v="1"/>
    <s v="Yes"/>
    <x v="0"/>
    <n v="172531.23"/>
    <x v="1"/>
    <n v="0.20535771343160941"/>
    <s v="No"/>
    <n v="0"/>
    <n v="0"/>
    <x v="0"/>
    <x v="1"/>
    <x v="0"/>
    <x v="0"/>
    <x v="1"/>
    <n v="1"/>
  </r>
  <r>
    <n v="727"/>
    <x v="2"/>
    <x v="0"/>
    <x v="51"/>
    <n v="4"/>
    <n v="133550.67000000001"/>
    <x v="1"/>
    <s v="Yes"/>
    <x v="1"/>
    <n v="46941.41"/>
    <x v="1"/>
    <n v="1.7004343522304309E-2"/>
    <s v="No"/>
    <n v="0"/>
    <n v="0"/>
    <x v="1"/>
    <x v="5"/>
    <x v="0"/>
    <x v="2"/>
    <x v="2"/>
    <n v="1"/>
  </r>
  <r>
    <n v="836"/>
    <x v="0"/>
    <x v="0"/>
    <x v="26"/>
    <n v="4"/>
    <n v="101247.06"/>
    <x v="1"/>
    <s v="Yes"/>
    <x v="0"/>
    <n v="37141.620000000003"/>
    <x v="0"/>
    <n v="0.44824014641422982"/>
    <s v="No"/>
    <n v="1"/>
    <n v="0"/>
    <x v="0"/>
    <x v="3"/>
    <x v="0"/>
    <x v="3"/>
    <x v="2"/>
    <n v="0"/>
  </r>
  <r>
    <n v="753"/>
    <x v="2"/>
    <x v="0"/>
    <x v="26"/>
    <n v="7"/>
    <n v="0"/>
    <x v="1"/>
    <s v="Yes"/>
    <x v="0"/>
    <n v="159475.07999999999"/>
    <x v="0"/>
    <n v="0.39124633218526911"/>
    <s v="No"/>
    <n v="1"/>
    <n v="0"/>
    <x v="0"/>
    <x v="3"/>
    <x v="1"/>
    <x v="2"/>
    <x v="1"/>
    <n v="0"/>
  </r>
  <r>
    <n v="606"/>
    <x v="1"/>
    <x v="0"/>
    <x v="53"/>
    <n v="10"/>
    <n v="126306.64"/>
    <x v="2"/>
    <s v="No"/>
    <x v="0"/>
    <n v="7861.68"/>
    <x v="0"/>
    <n v="0.74043276848756434"/>
    <s v="Yes"/>
    <n v="1"/>
    <n v="1"/>
    <x v="2"/>
    <x v="4"/>
    <x v="0"/>
    <x v="0"/>
    <x v="2"/>
    <n v="1"/>
  </r>
  <r>
    <n v="660"/>
    <x v="2"/>
    <x v="1"/>
    <x v="22"/>
    <n v="6"/>
    <n v="100768.77"/>
    <x v="1"/>
    <s v="Yes"/>
    <x v="0"/>
    <n v="19199.61"/>
    <x v="1"/>
    <n v="0.2217344555445119"/>
    <s v="No"/>
    <n v="0"/>
    <n v="0"/>
    <x v="0"/>
    <x v="1"/>
    <x v="0"/>
    <x v="0"/>
    <x v="2"/>
    <n v="1"/>
  </r>
  <r>
    <n v="731"/>
    <x v="2"/>
    <x v="1"/>
    <x v="21"/>
    <n v="7"/>
    <n v="118991.79"/>
    <x v="1"/>
    <s v="Yes"/>
    <x v="1"/>
    <n v="156048.64000000001"/>
    <x v="1"/>
    <n v="0.12779050799068259"/>
    <s v="No"/>
    <n v="0"/>
    <n v="0"/>
    <x v="1"/>
    <x v="1"/>
    <x v="0"/>
    <x v="2"/>
    <x v="1"/>
    <n v="1"/>
  </r>
  <r>
    <n v="727"/>
    <x v="2"/>
    <x v="0"/>
    <x v="17"/>
    <n v="5"/>
    <n v="0"/>
    <x v="0"/>
    <s v="No"/>
    <x v="1"/>
    <n v="19653.080000000002"/>
    <x v="1"/>
    <n v="2.253722590670321E-2"/>
    <s v="No"/>
    <n v="0"/>
    <n v="0"/>
    <x v="1"/>
    <x v="2"/>
    <x v="1"/>
    <x v="2"/>
    <x v="2"/>
    <n v="1"/>
  </r>
  <r>
    <n v="605"/>
    <x v="2"/>
    <x v="0"/>
    <x v="22"/>
    <n v="6"/>
    <n v="0"/>
    <x v="0"/>
    <s v="Yes"/>
    <x v="1"/>
    <n v="45206.57"/>
    <x v="1"/>
    <n v="3.8974957956284473E-2"/>
    <s v="No"/>
    <n v="0"/>
    <n v="0"/>
    <x v="1"/>
    <x v="1"/>
    <x v="1"/>
    <x v="0"/>
    <x v="2"/>
    <n v="1"/>
  </r>
  <r>
    <n v="698"/>
    <x v="2"/>
    <x v="1"/>
    <x v="16"/>
    <n v="0"/>
    <n v="0"/>
    <x v="0"/>
    <s v="Yes"/>
    <x v="1"/>
    <n v="125962.02"/>
    <x v="1"/>
    <n v="0.14878493596683551"/>
    <s v="No"/>
    <n v="0"/>
    <n v="0"/>
    <x v="1"/>
    <x v="0"/>
    <x v="1"/>
    <x v="0"/>
    <x v="0"/>
    <n v="1"/>
  </r>
  <r>
    <n v="757"/>
    <x v="1"/>
    <x v="1"/>
    <x v="19"/>
    <n v="9"/>
    <n v="101861.36"/>
    <x v="0"/>
    <s v="No"/>
    <x v="0"/>
    <n v="187011.96"/>
    <x v="1"/>
    <n v="0.34471223623630859"/>
    <s v="No"/>
    <n v="0"/>
    <n v="0"/>
    <x v="0"/>
    <x v="1"/>
    <x v="0"/>
    <x v="2"/>
    <x v="1"/>
    <n v="1"/>
  </r>
  <r>
    <n v="774"/>
    <x v="0"/>
    <x v="1"/>
    <x v="12"/>
    <n v="1"/>
    <n v="116360.07"/>
    <x v="1"/>
    <s v="Yes"/>
    <x v="0"/>
    <n v="17004.14"/>
    <x v="1"/>
    <n v="0.36215481283227302"/>
    <s v="No"/>
    <n v="0"/>
    <n v="0"/>
    <x v="0"/>
    <x v="0"/>
    <x v="0"/>
    <x v="2"/>
    <x v="2"/>
    <n v="1"/>
  </r>
  <r>
    <n v="699"/>
    <x v="0"/>
    <x v="0"/>
    <x v="19"/>
    <n v="8"/>
    <n v="0"/>
    <x v="1"/>
    <s v="Yes"/>
    <x v="1"/>
    <n v="76510.460000000006"/>
    <x v="1"/>
    <n v="3.826586209055944E-2"/>
    <s v="No"/>
    <n v="0"/>
    <n v="0"/>
    <x v="1"/>
    <x v="1"/>
    <x v="1"/>
    <x v="0"/>
    <x v="3"/>
    <n v="1"/>
  </r>
  <r>
    <n v="773"/>
    <x v="1"/>
    <x v="0"/>
    <x v="35"/>
    <n v="2"/>
    <n v="118079.47"/>
    <x v="3"/>
    <s v="Yes"/>
    <x v="1"/>
    <n v="143007.49"/>
    <x v="0"/>
    <n v="0.19585929792609569"/>
    <s v="No"/>
    <n v="1"/>
    <n v="0"/>
    <x v="1"/>
    <x v="0"/>
    <x v="0"/>
    <x v="2"/>
    <x v="0"/>
    <n v="0"/>
  </r>
  <r>
    <n v="509"/>
    <x v="2"/>
    <x v="0"/>
    <x v="18"/>
    <n v="3"/>
    <n v="0"/>
    <x v="0"/>
    <s v="Yes"/>
    <x v="0"/>
    <n v="15360.91"/>
    <x v="1"/>
    <n v="9.0952629333612603E-2"/>
    <s v="No"/>
    <n v="0"/>
    <n v="0"/>
    <x v="1"/>
    <x v="1"/>
    <x v="1"/>
    <x v="1"/>
    <x v="2"/>
    <n v="1"/>
  </r>
  <r>
    <n v="509"/>
    <x v="0"/>
    <x v="0"/>
    <x v="2"/>
    <n v="2"/>
    <n v="0"/>
    <x v="1"/>
    <s v="No"/>
    <x v="0"/>
    <n v="168460.12"/>
    <x v="1"/>
    <n v="0.18176796244233201"/>
    <s v="No"/>
    <n v="0"/>
    <n v="0"/>
    <x v="1"/>
    <x v="1"/>
    <x v="1"/>
    <x v="1"/>
    <x v="1"/>
    <n v="1"/>
  </r>
  <r>
    <n v="609"/>
    <x v="2"/>
    <x v="0"/>
    <x v="19"/>
    <n v="1"/>
    <n v="0"/>
    <x v="1"/>
    <s v="Yes"/>
    <x v="1"/>
    <n v="181177.9"/>
    <x v="1"/>
    <n v="4.7280554216540087E-2"/>
    <s v="No"/>
    <n v="0"/>
    <n v="0"/>
    <x v="1"/>
    <x v="1"/>
    <x v="1"/>
    <x v="0"/>
    <x v="1"/>
    <n v="1"/>
  </r>
  <r>
    <n v="717"/>
    <x v="2"/>
    <x v="0"/>
    <x v="21"/>
    <n v="0"/>
    <n v="98241.04"/>
    <x v="1"/>
    <s v="Yes"/>
    <x v="0"/>
    <n v="110887.14"/>
    <x v="1"/>
    <n v="0.21263995166467989"/>
    <s v="No"/>
    <n v="0"/>
    <n v="0"/>
    <x v="0"/>
    <x v="1"/>
    <x v="2"/>
    <x v="2"/>
    <x v="0"/>
    <n v="1"/>
  </r>
  <r>
    <n v="498"/>
    <x v="1"/>
    <x v="1"/>
    <x v="6"/>
    <n v="4"/>
    <n v="87541.06"/>
    <x v="0"/>
    <s v="Yes"/>
    <x v="1"/>
    <n v="12577.21"/>
    <x v="0"/>
    <n v="0.2491877869965673"/>
    <s v="No"/>
    <n v="1"/>
    <n v="0"/>
    <x v="0"/>
    <x v="0"/>
    <x v="2"/>
    <x v="4"/>
    <x v="2"/>
    <n v="0"/>
  </r>
  <r>
    <n v="711"/>
    <x v="1"/>
    <x v="0"/>
    <x v="12"/>
    <n v="2"/>
    <n v="39043.29"/>
    <x v="0"/>
    <s v="Yes"/>
    <x v="1"/>
    <n v="175423.69"/>
    <x v="1"/>
    <n v="0.161797645730408"/>
    <s v="No"/>
    <n v="0"/>
    <n v="0"/>
    <x v="1"/>
    <x v="0"/>
    <x v="4"/>
    <x v="2"/>
    <x v="1"/>
    <n v="1"/>
  </r>
  <r>
    <n v="790"/>
    <x v="0"/>
    <x v="0"/>
    <x v="16"/>
    <n v="2"/>
    <n v="131365.37"/>
    <x v="0"/>
    <s v="Yes"/>
    <x v="1"/>
    <n v="180290.68"/>
    <x v="1"/>
    <n v="0.12072156591198339"/>
    <s v="No"/>
    <n v="0"/>
    <n v="0"/>
    <x v="1"/>
    <x v="0"/>
    <x v="0"/>
    <x v="2"/>
    <x v="1"/>
    <n v="1"/>
  </r>
  <r>
    <n v="565"/>
    <x v="0"/>
    <x v="0"/>
    <x v="2"/>
    <n v="0"/>
    <n v="122447.76"/>
    <x v="1"/>
    <s v="No"/>
    <x v="0"/>
    <n v="67339.34"/>
    <x v="1"/>
    <n v="0.22394454926538249"/>
    <s v="No"/>
    <n v="0"/>
    <n v="0"/>
    <x v="0"/>
    <x v="1"/>
    <x v="0"/>
    <x v="1"/>
    <x v="3"/>
    <n v="1"/>
  </r>
  <r>
    <n v="622"/>
    <x v="2"/>
    <x v="1"/>
    <x v="24"/>
    <n v="2"/>
    <n v="158584.82"/>
    <x v="2"/>
    <s v="Yes"/>
    <x v="0"/>
    <n v="142342.54999999999"/>
    <x v="0"/>
    <n v="0.18115033278127349"/>
    <s v="No"/>
    <n v="1"/>
    <n v="0"/>
    <x v="1"/>
    <x v="2"/>
    <x v="3"/>
    <x v="0"/>
    <x v="0"/>
    <n v="0"/>
  </r>
  <r>
    <n v="493"/>
    <x v="2"/>
    <x v="1"/>
    <x v="18"/>
    <n v="3"/>
    <n v="0"/>
    <x v="1"/>
    <s v="Yes"/>
    <x v="1"/>
    <n v="176570.28"/>
    <x v="0"/>
    <n v="6.663469589399261E-2"/>
    <s v="No"/>
    <n v="1"/>
    <n v="0"/>
    <x v="1"/>
    <x v="1"/>
    <x v="1"/>
    <x v="4"/>
    <x v="1"/>
    <n v="0"/>
  </r>
  <r>
    <n v="478"/>
    <x v="0"/>
    <x v="0"/>
    <x v="12"/>
    <n v="1"/>
    <n v="0"/>
    <x v="0"/>
    <s v="Yes"/>
    <x v="1"/>
    <n v="197916.43"/>
    <x v="1"/>
    <n v="9.092348735722762E-2"/>
    <s v="No"/>
    <n v="0"/>
    <n v="0"/>
    <x v="1"/>
    <x v="0"/>
    <x v="1"/>
    <x v="4"/>
    <x v="1"/>
    <n v="1"/>
  </r>
  <r>
    <n v="686"/>
    <x v="0"/>
    <x v="1"/>
    <x v="22"/>
    <n v="4"/>
    <n v="0"/>
    <x v="0"/>
    <s v="Yes"/>
    <x v="1"/>
    <n v="159676.54999999999"/>
    <x v="1"/>
    <n v="7.0985795257347328E-2"/>
    <s v="No"/>
    <n v="0"/>
    <n v="0"/>
    <x v="1"/>
    <x v="1"/>
    <x v="1"/>
    <x v="0"/>
    <x v="1"/>
    <n v="1"/>
  </r>
  <r>
    <n v="686"/>
    <x v="2"/>
    <x v="1"/>
    <x v="6"/>
    <n v="4"/>
    <n v="129553.76"/>
    <x v="0"/>
    <s v="Yes"/>
    <x v="0"/>
    <n v="187599.8"/>
    <x v="1"/>
    <n v="0.32632713406359343"/>
    <s v="No"/>
    <n v="0"/>
    <n v="0"/>
    <x v="0"/>
    <x v="0"/>
    <x v="0"/>
    <x v="0"/>
    <x v="1"/>
    <n v="1"/>
  </r>
  <r>
    <n v="550"/>
    <x v="2"/>
    <x v="1"/>
    <x v="20"/>
    <n v="6"/>
    <n v="0"/>
    <x v="0"/>
    <s v="Yes"/>
    <x v="1"/>
    <n v="191870.28"/>
    <x v="1"/>
    <n v="0.17142451846284021"/>
    <s v="No"/>
    <n v="0"/>
    <n v="0"/>
    <x v="1"/>
    <x v="0"/>
    <x v="1"/>
    <x v="1"/>
    <x v="1"/>
    <n v="1"/>
  </r>
  <r>
    <n v="749"/>
    <x v="1"/>
    <x v="0"/>
    <x v="35"/>
    <n v="9"/>
    <n v="110022.74"/>
    <x v="1"/>
    <s v="No"/>
    <x v="1"/>
    <n v="135655.29"/>
    <x v="0"/>
    <n v="0.22860164698971699"/>
    <s v="No"/>
    <n v="1"/>
    <n v="0"/>
    <x v="0"/>
    <x v="0"/>
    <x v="0"/>
    <x v="2"/>
    <x v="0"/>
    <n v="0"/>
  </r>
  <r>
    <n v="723"/>
    <x v="2"/>
    <x v="1"/>
    <x v="9"/>
    <n v="4"/>
    <n v="0"/>
    <x v="0"/>
    <s v="No"/>
    <x v="1"/>
    <n v="89972.25"/>
    <x v="1"/>
    <n v="0.16706617756359521"/>
    <s v="No"/>
    <n v="0"/>
    <n v="0"/>
    <x v="1"/>
    <x v="0"/>
    <x v="1"/>
    <x v="2"/>
    <x v="3"/>
    <n v="1"/>
  </r>
  <r>
    <n v="697"/>
    <x v="2"/>
    <x v="1"/>
    <x v="19"/>
    <n v="2"/>
    <n v="126558.92"/>
    <x v="1"/>
    <s v="Yes"/>
    <x v="0"/>
    <n v="73334.429999999993"/>
    <x v="1"/>
    <n v="0.23524719144867429"/>
    <s v="No"/>
    <n v="0"/>
    <n v="0"/>
    <x v="0"/>
    <x v="1"/>
    <x v="0"/>
    <x v="0"/>
    <x v="3"/>
    <n v="1"/>
  </r>
  <r>
    <n v="488"/>
    <x v="1"/>
    <x v="1"/>
    <x v="5"/>
    <n v="4"/>
    <n v="140002.35"/>
    <x v="1"/>
    <s v="Yes"/>
    <x v="0"/>
    <n v="123613.81"/>
    <x v="1"/>
    <n v="0.4264372182666844"/>
    <s v="No"/>
    <n v="0"/>
    <n v="0"/>
    <x v="0"/>
    <x v="1"/>
    <x v="0"/>
    <x v="4"/>
    <x v="0"/>
    <n v="1"/>
  </r>
  <r>
    <n v="599"/>
    <x v="1"/>
    <x v="0"/>
    <x v="16"/>
    <n v="9"/>
    <n v="123444.72"/>
    <x v="1"/>
    <s v="Yes"/>
    <x v="1"/>
    <n v="31368.080000000002"/>
    <x v="0"/>
    <n v="0.22406352068688279"/>
    <s v="No"/>
    <n v="1"/>
    <n v="0"/>
    <x v="0"/>
    <x v="0"/>
    <x v="0"/>
    <x v="1"/>
    <x v="2"/>
    <n v="0"/>
  </r>
  <r>
    <n v="781"/>
    <x v="2"/>
    <x v="0"/>
    <x v="25"/>
    <n v="6"/>
    <n v="147107.91"/>
    <x v="1"/>
    <s v="Yes"/>
    <x v="1"/>
    <n v="40066.949999999997"/>
    <x v="1"/>
    <n v="4.449336118788725E-2"/>
    <s v="No"/>
    <n v="0"/>
    <n v="0"/>
    <x v="1"/>
    <x v="1"/>
    <x v="0"/>
    <x v="2"/>
    <x v="2"/>
    <n v="1"/>
  </r>
  <r>
    <n v="597"/>
    <x v="1"/>
    <x v="1"/>
    <x v="21"/>
    <n v="9"/>
    <n v="106756.01"/>
    <x v="0"/>
    <s v="Yes"/>
    <x v="0"/>
    <n v="151167.94"/>
    <x v="1"/>
    <n v="0.46823900403493829"/>
    <s v="No"/>
    <n v="0"/>
    <n v="0"/>
    <x v="0"/>
    <x v="1"/>
    <x v="0"/>
    <x v="1"/>
    <x v="1"/>
    <n v="1"/>
  </r>
  <r>
    <n v="672"/>
    <x v="0"/>
    <x v="0"/>
    <x v="5"/>
    <n v="2"/>
    <n v="0"/>
    <x v="0"/>
    <s v="Yes"/>
    <x v="1"/>
    <n v="182738"/>
    <x v="1"/>
    <n v="3.8980500172186842E-2"/>
    <s v="No"/>
    <n v="0"/>
    <n v="0"/>
    <x v="1"/>
    <x v="1"/>
    <x v="1"/>
    <x v="0"/>
    <x v="1"/>
    <n v="1"/>
  </r>
  <r>
    <n v="706"/>
    <x v="1"/>
    <x v="0"/>
    <x v="2"/>
    <n v="5"/>
    <n v="163034.82"/>
    <x v="0"/>
    <s v="Yes"/>
    <x v="1"/>
    <n v="135662.17000000001"/>
    <x v="1"/>
    <n v="0.14533526748761749"/>
    <s v="No"/>
    <n v="0"/>
    <n v="0"/>
    <x v="1"/>
    <x v="1"/>
    <x v="3"/>
    <x v="2"/>
    <x v="0"/>
    <n v="1"/>
  </r>
  <r>
    <n v="589"/>
    <x v="1"/>
    <x v="0"/>
    <x v="45"/>
    <n v="7"/>
    <n v="119961.48"/>
    <x v="1"/>
    <s v="Yes"/>
    <x v="0"/>
    <n v="65156.83"/>
    <x v="0"/>
    <n v="0.63877207726669405"/>
    <s v="Yes"/>
    <n v="1"/>
    <n v="1"/>
    <x v="2"/>
    <x v="3"/>
    <x v="0"/>
    <x v="1"/>
    <x v="3"/>
    <n v="1"/>
  </r>
  <r>
    <n v="518"/>
    <x v="1"/>
    <x v="1"/>
    <x v="6"/>
    <n v="5"/>
    <n v="110624.99"/>
    <x v="1"/>
    <s v="Yes"/>
    <x v="0"/>
    <n v="89327.67"/>
    <x v="1"/>
    <n v="0.53983120592127742"/>
    <s v="Yes"/>
    <n v="0"/>
    <n v="1"/>
    <x v="2"/>
    <x v="0"/>
    <x v="0"/>
    <x v="1"/>
    <x v="3"/>
    <n v="0"/>
  </r>
  <r>
    <n v="620"/>
    <x v="1"/>
    <x v="0"/>
    <x v="10"/>
    <n v="9"/>
    <n v="159492.79"/>
    <x v="1"/>
    <s v="Yes"/>
    <x v="0"/>
    <n v="80582.34"/>
    <x v="0"/>
    <n v="0.3626681776936963"/>
    <s v="No"/>
    <n v="1"/>
    <n v="0"/>
    <x v="0"/>
    <x v="1"/>
    <x v="3"/>
    <x v="0"/>
    <x v="3"/>
    <n v="0"/>
  </r>
  <r>
    <n v="815"/>
    <x v="0"/>
    <x v="1"/>
    <x v="10"/>
    <n v="6"/>
    <n v="0"/>
    <x v="1"/>
    <s v="Yes"/>
    <x v="1"/>
    <n v="85167.88"/>
    <x v="1"/>
    <n v="8.7653209425821707E-2"/>
    <s v="No"/>
    <n v="0"/>
    <n v="0"/>
    <x v="1"/>
    <x v="1"/>
    <x v="1"/>
    <x v="3"/>
    <x v="3"/>
    <n v="1"/>
  </r>
  <r>
    <n v="622"/>
    <x v="2"/>
    <x v="1"/>
    <x v="2"/>
    <n v="4"/>
    <n v="98640.74"/>
    <x v="1"/>
    <s v="Yes"/>
    <x v="1"/>
    <n v="110457.99"/>
    <x v="1"/>
    <n v="0.1179436179160963"/>
    <s v="No"/>
    <n v="0"/>
    <n v="0"/>
    <x v="1"/>
    <x v="1"/>
    <x v="2"/>
    <x v="0"/>
    <x v="0"/>
    <n v="1"/>
  </r>
  <r>
    <n v="624"/>
    <x v="2"/>
    <x v="0"/>
    <x v="27"/>
    <n v="9"/>
    <n v="74681.899999999994"/>
    <x v="0"/>
    <s v="No"/>
    <x v="0"/>
    <n v="31231.35"/>
    <x v="1"/>
    <n v="6.6874913675280451E-2"/>
    <s v="No"/>
    <n v="0"/>
    <n v="0"/>
    <x v="1"/>
    <x v="2"/>
    <x v="2"/>
    <x v="0"/>
    <x v="2"/>
    <n v="1"/>
  </r>
  <r>
    <n v="773"/>
    <x v="0"/>
    <x v="1"/>
    <x v="10"/>
    <n v="4"/>
    <n v="0"/>
    <x v="0"/>
    <s v="No"/>
    <x v="1"/>
    <n v="182081.45"/>
    <x v="1"/>
    <n v="9.1858130293158299E-2"/>
    <s v="No"/>
    <n v="0"/>
    <n v="0"/>
    <x v="1"/>
    <x v="1"/>
    <x v="1"/>
    <x v="2"/>
    <x v="1"/>
    <n v="1"/>
  </r>
  <r>
    <n v="850"/>
    <x v="1"/>
    <x v="0"/>
    <x v="17"/>
    <n v="4"/>
    <n v="147972.19"/>
    <x v="1"/>
    <s v="Yes"/>
    <x v="0"/>
    <n v="60708.72"/>
    <x v="0"/>
    <n v="0.185578419234773"/>
    <s v="No"/>
    <n v="1"/>
    <n v="0"/>
    <x v="1"/>
    <x v="2"/>
    <x v="0"/>
    <x v="3"/>
    <x v="3"/>
    <n v="0"/>
  </r>
  <r>
    <n v="600"/>
    <x v="2"/>
    <x v="1"/>
    <x v="29"/>
    <n v="3"/>
    <n v="0"/>
    <x v="0"/>
    <s v="No"/>
    <x v="1"/>
    <n v="125698.97"/>
    <x v="1"/>
    <n v="4.2717860749559022E-2"/>
    <s v="No"/>
    <n v="0"/>
    <n v="0"/>
    <x v="1"/>
    <x v="2"/>
    <x v="1"/>
    <x v="1"/>
    <x v="0"/>
    <n v="1"/>
  </r>
  <r>
    <n v="541"/>
    <x v="1"/>
    <x v="0"/>
    <x v="7"/>
    <n v="7"/>
    <n v="90373.28"/>
    <x v="0"/>
    <s v="Yes"/>
    <x v="0"/>
    <n v="179861.79"/>
    <x v="1"/>
    <n v="0.54764866699862835"/>
    <s v="Yes"/>
    <n v="0"/>
    <n v="1"/>
    <x v="2"/>
    <x v="3"/>
    <x v="2"/>
    <x v="1"/>
    <x v="1"/>
    <n v="0"/>
  </r>
  <r>
    <n v="630"/>
    <x v="0"/>
    <x v="0"/>
    <x v="24"/>
    <n v="3"/>
    <n v="0"/>
    <x v="0"/>
    <s v="No"/>
    <x v="1"/>
    <n v="10486.69"/>
    <x v="1"/>
    <n v="2.9835144591042459E-2"/>
    <s v="No"/>
    <n v="0"/>
    <n v="0"/>
    <x v="1"/>
    <x v="2"/>
    <x v="1"/>
    <x v="0"/>
    <x v="2"/>
    <n v="1"/>
  </r>
  <r>
    <n v="708"/>
    <x v="1"/>
    <x v="1"/>
    <x v="12"/>
    <n v="0"/>
    <n v="118994.84"/>
    <x v="1"/>
    <s v="Yes"/>
    <x v="0"/>
    <n v="181499.77"/>
    <x v="0"/>
    <n v="0.58620696389045301"/>
    <s v="Yes"/>
    <n v="1"/>
    <n v="1"/>
    <x v="2"/>
    <x v="0"/>
    <x v="0"/>
    <x v="2"/>
    <x v="1"/>
    <n v="1"/>
  </r>
  <r>
    <n v="815"/>
    <x v="1"/>
    <x v="1"/>
    <x v="36"/>
    <n v="8"/>
    <n v="135161.67000000001"/>
    <x v="1"/>
    <s v="Yes"/>
    <x v="1"/>
    <n v="136071.04999999999"/>
    <x v="1"/>
    <n v="9.2010339362056284E-2"/>
    <s v="No"/>
    <n v="0"/>
    <n v="0"/>
    <x v="1"/>
    <x v="2"/>
    <x v="0"/>
    <x v="3"/>
    <x v="0"/>
    <n v="1"/>
  </r>
  <r>
    <n v="556"/>
    <x v="2"/>
    <x v="1"/>
    <x v="42"/>
    <n v="9"/>
    <n v="0"/>
    <x v="1"/>
    <s v="Yes"/>
    <x v="0"/>
    <n v="175149.2"/>
    <x v="0"/>
    <n v="0.46033677304544979"/>
    <s v="No"/>
    <n v="1"/>
    <n v="0"/>
    <x v="0"/>
    <x v="3"/>
    <x v="1"/>
    <x v="1"/>
    <x v="1"/>
    <n v="0"/>
  </r>
  <r>
    <n v="684"/>
    <x v="0"/>
    <x v="1"/>
    <x v="10"/>
    <n v="4"/>
    <n v="139723.9"/>
    <x v="1"/>
    <s v="Yes"/>
    <x v="1"/>
    <n v="120612.11"/>
    <x v="1"/>
    <n v="0.13819101915614551"/>
    <s v="No"/>
    <n v="0"/>
    <n v="0"/>
    <x v="1"/>
    <x v="1"/>
    <x v="0"/>
    <x v="0"/>
    <x v="0"/>
    <n v="1"/>
  </r>
  <r>
    <n v="793"/>
    <x v="2"/>
    <x v="1"/>
    <x v="6"/>
    <n v="3"/>
    <n v="141806.46"/>
    <x v="1"/>
    <s v="Yes"/>
    <x v="0"/>
    <n v="102921.17"/>
    <x v="1"/>
    <n v="0.33377874065804791"/>
    <s v="No"/>
    <n v="0"/>
    <n v="0"/>
    <x v="0"/>
    <x v="0"/>
    <x v="0"/>
    <x v="2"/>
    <x v="0"/>
    <n v="1"/>
  </r>
  <r>
    <n v="701"/>
    <x v="0"/>
    <x v="0"/>
    <x v="31"/>
    <n v="7"/>
    <n v="0"/>
    <x v="0"/>
    <s v="No"/>
    <x v="1"/>
    <n v="27597.59"/>
    <x v="1"/>
    <n v="0.18927757154252359"/>
    <s v="No"/>
    <n v="0"/>
    <n v="0"/>
    <x v="1"/>
    <x v="3"/>
    <x v="1"/>
    <x v="2"/>
    <x v="2"/>
    <n v="1"/>
  </r>
  <r>
    <n v="680"/>
    <x v="2"/>
    <x v="1"/>
    <x v="19"/>
    <n v="1"/>
    <n v="0"/>
    <x v="0"/>
    <s v="Yes"/>
    <x v="0"/>
    <n v="167035.07"/>
    <x v="1"/>
    <n v="0.17849748812706839"/>
    <s v="No"/>
    <n v="0"/>
    <n v="0"/>
    <x v="1"/>
    <x v="1"/>
    <x v="1"/>
    <x v="0"/>
    <x v="1"/>
    <n v="1"/>
  </r>
  <r>
    <n v="621"/>
    <x v="2"/>
    <x v="0"/>
    <x v="27"/>
    <n v="2"/>
    <n v="75237.539999999994"/>
    <x v="1"/>
    <s v="No"/>
    <x v="1"/>
    <n v="44220.4"/>
    <x v="1"/>
    <n v="3.0099859405066751E-2"/>
    <s v="No"/>
    <n v="0"/>
    <n v="0"/>
    <x v="1"/>
    <x v="2"/>
    <x v="2"/>
    <x v="0"/>
    <x v="2"/>
    <n v="1"/>
  </r>
  <r>
    <n v="555"/>
    <x v="2"/>
    <x v="0"/>
    <x v="23"/>
    <n v="5"/>
    <n v="0"/>
    <x v="0"/>
    <s v="Yes"/>
    <x v="0"/>
    <n v="27513.47"/>
    <x v="1"/>
    <n v="5.2918419801626343E-2"/>
    <s v="No"/>
    <n v="0"/>
    <n v="0"/>
    <x v="1"/>
    <x v="2"/>
    <x v="1"/>
    <x v="1"/>
    <x v="2"/>
    <n v="1"/>
  </r>
  <r>
    <n v="734"/>
    <x v="2"/>
    <x v="1"/>
    <x v="4"/>
    <n v="0"/>
    <n v="139994.66"/>
    <x v="1"/>
    <s v="Yes"/>
    <x v="0"/>
    <n v="17744.72"/>
    <x v="1"/>
    <n v="0.177818111877346"/>
    <s v="No"/>
    <n v="0"/>
    <n v="0"/>
    <x v="1"/>
    <x v="2"/>
    <x v="0"/>
    <x v="2"/>
    <x v="2"/>
    <n v="1"/>
  </r>
  <r>
    <n v="783"/>
    <x v="0"/>
    <x v="1"/>
    <x v="31"/>
    <n v="9"/>
    <n v="126224.87"/>
    <x v="1"/>
    <s v="Yes"/>
    <x v="1"/>
    <n v="4423.63"/>
    <x v="1"/>
    <n v="0.35023550127147418"/>
    <s v="No"/>
    <n v="0"/>
    <n v="0"/>
    <x v="0"/>
    <x v="3"/>
    <x v="0"/>
    <x v="2"/>
    <x v="2"/>
    <n v="1"/>
  </r>
  <r>
    <n v="661"/>
    <x v="2"/>
    <x v="0"/>
    <x v="35"/>
    <n v="5"/>
    <n v="0"/>
    <x v="1"/>
    <s v="No"/>
    <x v="1"/>
    <n v="107243.31"/>
    <x v="0"/>
    <n v="0.1028812095746592"/>
    <s v="No"/>
    <n v="1"/>
    <n v="0"/>
    <x v="1"/>
    <x v="0"/>
    <x v="1"/>
    <x v="0"/>
    <x v="0"/>
    <n v="0"/>
  </r>
  <r>
    <n v="689"/>
    <x v="0"/>
    <x v="1"/>
    <x v="18"/>
    <n v="3"/>
    <n v="139799.63"/>
    <x v="1"/>
    <s v="No"/>
    <x v="1"/>
    <n v="120663.57"/>
    <x v="1"/>
    <n v="8.5209919781739335E-2"/>
    <s v="No"/>
    <n v="0"/>
    <n v="0"/>
    <x v="1"/>
    <x v="1"/>
    <x v="0"/>
    <x v="0"/>
    <x v="0"/>
    <n v="1"/>
  </r>
  <r>
    <n v="652"/>
    <x v="2"/>
    <x v="1"/>
    <x v="21"/>
    <n v="8"/>
    <n v="84390.8"/>
    <x v="0"/>
    <s v="No"/>
    <x v="1"/>
    <n v="107876.2"/>
    <x v="1"/>
    <n v="0.1116736666929256"/>
    <s v="No"/>
    <n v="0"/>
    <n v="0"/>
    <x v="1"/>
    <x v="1"/>
    <x v="2"/>
    <x v="0"/>
    <x v="0"/>
    <n v="1"/>
  </r>
  <r>
    <n v="638"/>
    <x v="1"/>
    <x v="0"/>
    <x v="11"/>
    <n v="2"/>
    <n v="89728.86"/>
    <x v="0"/>
    <s v="Yes"/>
    <x v="1"/>
    <n v="37294.879999999997"/>
    <x v="1"/>
    <n v="0.1208670151063142"/>
    <s v="No"/>
    <n v="0"/>
    <n v="0"/>
    <x v="1"/>
    <x v="1"/>
    <x v="2"/>
    <x v="0"/>
    <x v="2"/>
    <n v="1"/>
  </r>
  <r>
    <n v="645"/>
    <x v="0"/>
    <x v="1"/>
    <x v="13"/>
    <n v="1"/>
    <n v="0"/>
    <x v="0"/>
    <s v="No"/>
    <x v="0"/>
    <n v="28726.07"/>
    <x v="1"/>
    <n v="7.7917619085353371E-2"/>
    <s v="No"/>
    <n v="0"/>
    <n v="0"/>
    <x v="1"/>
    <x v="2"/>
    <x v="1"/>
    <x v="0"/>
    <x v="2"/>
    <n v="1"/>
  </r>
  <r>
    <n v="782"/>
    <x v="0"/>
    <x v="0"/>
    <x v="34"/>
    <n v="10"/>
    <n v="98052.66"/>
    <x v="1"/>
    <s v="Yes"/>
    <x v="1"/>
    <n v="142587.32"/>
    <x v="1"/>
    <n v="2.0958232772733391E-2"/>
    <s v="No"/>
    <n v="0"/>
    <n v="0"/>
    <x v="1"/>
    <x v="2"/>
    <x v="2"/>
    <x v="2"/>
    <x v="0"/>
    <n v="1"/>
  </r>
  <r>
    <n v="734"/>
    <x v="2"/>
    <x v="0"/>
    <x v="7"/>
    <n v="1"/>
    <n v="118537.47"/>
    <x v="1"/>
    <s v="Yes"/>
    <x v="1"/>
    <n v="116912.45"/>
    <x v="1"/>
    <n v="0.1735591841768544"/>
    <s v="No"/>
    <n v="0"/>
    <n v="0"/>
    <x v="1"/>
    <x v="3"/>
    <x v="0"/>
    <x v="2"/>
    <x v="0"/>
    <n v="1"/>
  </r>
  <r>
    <n v="758"/>
    <x v="2"/>
    <x v="1"/>
    <x v="32"/>
    <n v="2"/>
    <n v="95813.759999999995"/>
    <x v="2"/>
    <s v="Yes"/>
    <x v="1"/>
    <n v="67944.09"/>
    <x v="0"/>
    <n v="0.19512494534802291"/>
    <s v="No"/>
    <n v="1"/>
    <n v="0"/>
    <x v="1"/>
    <x v="0"/>
    <x v="2"/>
    <x v="2"/>
    <x v="3"/>
    <n v="0"/>
  </r>
  <r>
    <n v="604"/>
    <x v="2"/>
    <x v="0"/>
    <x v="27"/>
    <n v="8"/>
    <n v="149542.51999999999"/>
    <x v="0"/>
    <s v="No"/>
    <x v="1"/>
    <n v="197911.52"/>
    <x v="1"/>
    <n v="3.2149787967644478E-2"/>
    <s v="No"/>
    <n v="0"/>
    <n v="0"/>
    <x v="1"/>
    <x v="2"/>
    <x v="0"/>
    <x v="0"/>
    <x v="1"/>
    <n v="1"/>
  </r>
  <r>
    <n v="717"/>
    <x v="1"/>
    <x v="1"/>
    <x v="22"/>
    <n v="5"/>
    <n v="103214.71"/>
    <x v="1"/>
    <s v="Yes"/>
    <x v="0"/>
    <n v="172172.7"/>
    <x v="1"/>
    <n v="0.40253232922927717"/>
    <s v="No"/>
    <n v="0"/>
    <n v="0"/>
    <x v="0"/>
    <x v="1"/>
    <x v="0"/>
    <x v="2"/>
    <x v="1"/>
    <n v="1"/>
  </r>
  <r>
    <n v="573"/>
    <x v="2"/>
    <x v="1"/>
    <x v="5"/>
    <n v="0"/>
    <n v="90124.64"/>
    <x v="1"/>
    <s v="Yes"/>
    <x v="0"/>
    <n v="137476.71"/>
    <x v="1"/>
    <n v="0.23396989179133959"/>
    <s v="No"/>
    <n v="0"/>
    <n v="0"/>
    <x v="0"/>
    <x v="1"/>
    <x v="2"/>
    <x v="1"/>
    <x v="0"/>
    <n v="1"/>
  </r>
  <r>
    <n v="584"/>
    <x v="1"/>
    <x v="1"/>
    <x v="16"/>
    <n v="6"/>
    <n v="87361.02"/>
    <x v="0"/>
    <s v="Yes"/>
    <x v="0"/>
    <n v="120376.87"/>
    <x v="0"/>
    <n v="0.57874227813199941"/>
    <s v="Yes"/>
    <n v="1"/>
    <n v="1"/>
    <x v="2"/>
    <x v="0"/>
    <x v="2"/>
    <x v="1"/>
    <x v="0"/>
    <n v="1"/>
  </r>
  <r>
    <n v="686"/>
    <x v="2"/>
    <x v="1"/>
    <x v="12"/>
    <n v="0"/>
    <n v="0"/>
    <x v="1"/>
    <s v="Yes"/>
    <x v="1"/>
    <n v="170072.9"/>
    <x v="1"/>
    <n v="0.13829254461113311"/>
    <s v="No"/>
    <n v="0"/>
    <n v="0"/>
    <x v="1"/>
    <x v="0"/>
    <x v="1"/>
    <x v="0"/>
    <x v="1"/>
    <n v="1"/>
  </r>
  <r>
    <n v="850"/>
    <x v="2"/>
    <x v="0"/>
    <x v="3"/>
    <n v="0"/>
    <n v="0"/>
    <x v="0"/>
    <s v="Yes"/>
    <x v="0"/>
    <n v="44165.84"/>
    <x v="1"/>
    <n v="0.1612795453528395"/>
    <s v="No"/>
    <n v="0"/>
    <n v="0"/>
    <x v="1"/>
    <x v="0"/>
    <x v="1"/>
    <x v="3"/>
    <x v="2"/>
    <n v="1"/>
  </r>
  <r>
    <n v="727"/>
    <x v="1"/>
    <x v="1"/>
    <x v="24"/>
    <n v="8"/>
    <n v="119027.28"/>
    <x v="0"/>
    <s v="Yes"/>
    <x v="1"/>
    <n v="137903.54"/>
    <x v="1"/>
    <n v="0.11890460208413629"/>
    <s v="No"/>
    <n v="0"/>
    <n v="0"/>
    <x v="1"/>
    <x v="2"/>
    <x v="0"/>
    <x v="2"/>
    <x v="0"/>
    <n v="1"/>
  </r>
  <r>
    <n v="667"/>
    <x v="2"/>
    <x v="1"/>
    <x v="2"/>
    <n v="6"/>
    <n v="144432.04"/>
    <x v="1"/>
    <s v="Yes"/>
    <x v="1"/>
    <n v="73963.17"/>
    <x v="0"/>
    <n v="0.1208382557982505"/>
    <s v="No"/>
    <n v="1"/>
    <n v="0"/>
    <x v="1"/>
    <x v="1"/>
    <x v="0"/>
    <x v="0"/>
    <x v="3"/>
    <n v="0"/>
  </r>
  <r>
    <n v="553"/>
    <x v="2"/>
    <x v="0"/>
    <x v="3"/>
    <n v="1"/>
    <n v="0"/>
    <x v="0"/>
    <s v="No"/>
    <x v="0"/>
    <n v="23822.04"/>
    <x v="1"/>
    <n v="0.1912245088804464"/>
    <s v="No"/>
    <n v="0"/>
    <n v="0"/>
    <x v="1"/>
    <x v="0"/>
    <x v="1"/>
    <x v="1"/>
    <x v="2"/>
    <n v="1"/>
  </r>
  <r>
    <n v="612"/>
    <x v="1"/>
    <x v="1"/>
    <x v="35"/>
    <n v="6"/>
    <n v="130024.87"/>
    <x v="1"/>
    <s v="Yes"/>
    <x v="1"/>
    <n v="45750.21"/>
    <x v="0"/>
    <n v="0.36697617236696262"/>
    <s v="No"/>
    <n v="1"/>
    <n v="0"/>
    <x v="0"/>
    <x v="0"/>
    <x v="0"/>
    <x v="0"/>
    <x v="2"/>
    <n v="0"/>
  </r>
  <r>
    <n v="689"/>
    <x v="0"/>
    <x v="0"/>
    <x v="21"/>
    <n v="2"/>
    <n v="0"/>
    <x v="0"/>
    <s v="Yes"/>
    <x v="1"/>
    <n v="164768.82"/>
    <x v="1"/>
    <n v="6.2455841327697229E-2"/>
    <s v="No"/>
    <n v="0"/>
    <n v="0"/>
    <x v="1"/>
    <x v="1"/>
    <x v="1"/>
    <x v="0"/>
    <x v="1"/>
    <n v="1"/>
  </r>
  <r>
    <n v="704"/>
    <x v="2"/>
    <x v="0"/>
    <x v="18"/>
    <n v="0"/>
    <n v="0"/>
    <x v="0"/>
    <s v="Yes"/>
    <x v="0"/>
    <n v="183038.33"/>
    <x v="1"/>
    <n v="9.2466207817603646E-2"/>
    <s v="No"/>
    <n v="0"/>
    <n v="0"/>
    <x v="1"/>
    <x v="1"/>
    <x v="1"/>
    <x v="2"/>
    <x v="1"/>
    <n v="1"/>
  </r>
  <r>
    <n v="563"/>
    <x v="2"/>
    <x v="0"/>
    <x v="5"/>
    <n v="8"/>
    <n v="0"/>
    <x v="0"/>
    <s v="No"/>
    <x v="1"/>
    <n v="68815.05"/>
    <x v="1"/>
    <n v="3.4953994662004897E-2"/>
    <s v="No"/>
    <n v="0"/>
    <n v="0"/>
    <x v="1"/>
    <x v="1"/>
    <x v="1"/>
    <x v="1"/>
    <x v="3"/>
    <n v="1"/>
  </r>
  <r>
    <n v="622"/>
    <x v="0"/>
    <x v="1"/>
    <x v="6"/>
    <n v="9"/>
    <n v="0"/>
    <x v="0"/>
    <s v="Yes"/>
    <x v="1"/>
    <n v="155786.39000000001"/>
    <x v="1"/>
    <n v="0.10115180589981281"/>
    <s v="No"/>
    <n v="0"/>
    <n v="0"/>
    <x v="1"/>
    <x v="0"/>
    <x v="1"/>
    <x v="0"/>
    <x v="1"/>
    <n v="1"/>
  </r>
  <r>
    <n v="682"/>
    <x v="2"/>
    <x v="0"/>
    <x v="2"/>
    <n v="4"/>
    <n v="107192.38"/>
    <x v="1"/>
    <s v="Yes"/>
    <x v="1"/>
    <n v="15669.17"/>
    <x v="1"/>
    <n v="6.7111534272781506E-2"/>
    <s v="No"/>
    <n v="0"/>
    <n v="0"/>
    <x v="1"/>
    <x v="1"/>
    <x v="0"/>
    <x v="0"/>
    <x v="2"/>
    <n v="1"/>
  </r>
  <r>
    <n v="550"/>
    <x v="0"/>
    <x v="0"/>
    <x v="19"/>
    <n v="3"/>
    <n v="0"/>
    <x v="0"/>
    <s v="No"/>
    <x v="0"/>
    <n v="131281.28"/>
    <x v="1"/>
    <n v="0.1220699934656878"/>
    <s v="No"/>
    <n v="0"/>
    <n v="0"/>
    <x v="1"/>
    <x v="1"/>
    <x v="1"/>
    <x v="1"/>
    <x v="0"/>
    <n v="1"/>
  </r>
  <r>
    <n v="630"/>
    <x v="2"/>
    <x v="0"/>
    <x v="27"/>
    <n v="7"/>
    <n v="129837.72"/>
    <x v="0"/>
    <s v="No"/>
    <x v="1"/>
    <n v="197001.15"/>
    <x v="1"/>
    <n v="3.063600502285365E-2"/>
    <s v="No"/>
    <n v="0"/>
    <n v="0"/>
    <x v="1"/>
    <x v="2"/>
    <x v="0"/>
    <x v="0"/>
    <x v="1"/>
    <n v="1"/>
  </r>
  <r>
    <n v="605"/>
    <x v="0"/>
    <x v="1"/>
    <x v="4"/>
    <n v="3"/>
    <n v="116805.82"/>
    <x v="1"/>
    <s v="No"/>
    <x v="0"/>
    <n v="4092.75"/>
    <x v="1"/>
    <n v="0.1826710714209018"/>
    <s v="No"/>
    <n v="0"/>
    <n v="0"/>
    <x v="1"/>
    <x v="2"/>
    <x v="0"/>
    <x v="0"/>
    <x v="2"/>
    <n v="1"/>
  </r>
  <r>
    <n v="567"/>
    <x v="1"/>
    <x v="0"/>
    <x v="4"/>
    <n v="5"/>
    <n v="129750.68"/>
    <x v="1"/>
    <s v="Yes"/>
    <x v="0"/>
    <n v="109257.59"/>
    <x v="1"/>
    <n v="0.2228851739289005"/>
    <s v="No"/>
    <n v="0"/>
    <n v="0"/>
    <x v="0"/>
    <x v="2"/>
    <x v="0"/>
    <x v="1"/>
    <x v="0"/>
    <n v="1"/>
  </r>
  <r>
    <n v="629"/>
    <x v="2"/>
    <x v="0"/>
    <x v="22"/>
    <n v="1"/>
    <n v="172170.36"/>
    <x v="1"/>
    <s v="Yes"/>
    <x v="1"/>
    <n v="159777.37"/>
    <x v="1"/>
    <n v="7.5242274465877473E-2"/>
    <s v="No"/>
    <n v="0"/>
    <n v="0"/>
    <x v="1"/>
    <x v="1"/>
    <x v="3"/>
    <x v="0"/>
    <x v="1"/>
    <n v="1"/>
  </r>
  <r>
    <n v="647"/>
    <x v="2"/>
    <x v="1"/>
    <x v="4"/>
    <n v="0"/>
    <n v="98263.46"/>
    <x v="0"/>
    <s v="Yes"/>
    <x v="0"/>
    <n v="164717.95000000001"/>
    <x v="1"/>
    <n v="0.16791037189121949"/>
    <s v="No"/>
    <n v="0"/>
    <n v="0"/>
    <x v="1"/>
    <x v="2"/>
    <x v="2"/>
    <x v="0"/>
    <x v="1"/>
    <n v="1"/>
  </r>
  <r>
    <n v="538"/>
    <x v="1"/>
    <x v="1"/>
    <x v="17"/>
    <n v="6"/>
    <n v="164365.44"/>
    <x v="1"/>
    <s v="No"/>
    <x v="1"/>
    <n v="5698.97"/>
    <x v="1"/>
    <n v="0.14172465893623959"/>
    <s v="No"/>
    <n v="0"/>
    <n v="0"/>
    <x v="1"/>
    <x v="2"/>
    <x v="3"/>
    <x v="1"/>
    <x v="2"/>
    <n v="1"/>
  </r>
  <r>
    <n v="670"/>
    <x v="1"/>
    <x v="0"/>
    <x v="21"/>
    <n v="2"/>
    <n v="164948.98000000001"/>
    <x v="2"/>
    <s v="No"/>
    <x v="0"/>
    <n v="177028"/>
    <x v="0"/>
    <n v="0.37922967999681279"/>
    <s v="No"/>
    <n v="1"/>
    <n v="0"/>
    <x v="0"/>
    <x v="1"/>
    <x v="3"/>
    <x v="0"/>
    <x v="1"/>
    <n v="0"/>
  </r>
  <r>
    <n v="612"/>
    <x v="1"/>
    <x v="0"/>
    <x v="24"/>
    <n v="9"/>
    <n v="142910.15"/>
    <x v="1"/>
    <s v="Yes"/>
    <x v="0"/>
    <n v="105890.55"/>
    <x v="0"/>
    <n v="0.2221776071100191"/>
    <s v="No"/>
    <n v="1"/>
    <n v="0"/>
    <x v="0"/>
    <x v="2"/>
    <x v="0"/>
    <x v="0"/>
    <x v="0"/>
    <n v="0"/>
  </r>
  <r>
    <n v="584"/>
    <x v="2"/>
    <x v="0"/>
    <x v="22"/>
    <n v="3"/>
    <n v="146311.57999999999"/>
    <x v="1"/>
    <s v="Yes"/>
    <x v="1"/>
    <n v="105443.47"/>
    <x v="1"/>
    <n v="6.8200975239362527E-2"/>
    <s v="No"/>
    <n v="0"/>
    <n v="0"/>
    <x v="1"/>
    <x v="1"/>
    <x v="0"/>
    <x v="1"/>
    <x v="0"/>
    <n v="1"/>
  </r>
  <r>
    <n v="598"/>
    <x v="2"/>
    <x v="1"/>
    <x v="54"/>
    <n v="9"/>
    <n v="0"/>
    <x v="1"/>
    <s v="No"/>
    <x v="1"/>
    <n v="13181.37"/>
    <x v="0"/>
    <n v="0.38973727978132022"/>
    <s v="No"/>
    <n v="1"/>
    <n v="0"/>
    <x v="0"/>
    <x v="4"/>
    <x v="1"/>
    <x v="1"/>
    <x v="2"/>
    <n v="0"/>
  </r>
  <r>
    <n v="745"/>
    <x v="1"/>
    <x v="0"/>
    <x v="2"/>
    <n v="5"/>
    <n v="65095.41"/>
    <x v="0"/>
    <s v="Yes"/>
    <x v="1"/>
    <n v="140197.42000000001"/>
    <x v="1"/>
    <n v="0.11405564913049911"/>
    <s v="No"/>
    <n v="0"/>
    <n v="0"/>
    <x v="1"/>
    <x v="1"/>
    <x v="2"/>
    <x v="2"/>
    <x v="0"/>
    <n v="1"/>
  </r>
  <r>
    <n v="819"/>
    <x v="2"/>
    <x v="1"/>
    <x v="2"/>
    <n v="10"/>
    <n v="0"/>
    <x v="0"/>
    <s v="Yes"/>
    <x v="0"/>
    <n v="30498.7"/>
    <x v="1"/>
    <n v="0.17061151251017309"/>
    <s v="No"/>
    <n v="0"/>
    <n v="0"/>
    <x v="1"/>
    <x v="1"/>
    <x v="1"/>
    <x v="3"/>
    <x v="2"/>
    <n v="1"/>
  </r>
  <r>
    <n v="850"/>
    <x v="0"/>
    <x v="1"/>
    <x v="34"/>
    <n v="9"/>
    <n v="143054.85"/>
    <x v="1"/>
    <s v="No"/>
    <x v="1"/>
    <n v="62980.959999999999"/>
    <x v="1"/>
    <n v="3.8436692244239387E-2"/>
    <s v="No"/>
    <n v="0"/>
    <n v="0"/>
    <x v="1"/>
    <x v="2"/>
    <x v="0"/>
    <x v="3"/>
    <x v="3"/>
    <n v="1"/>
  </r>
  <r>
    <n v="574"/>
    <x v="0"/>
    <x v="1"/>
    <x v="17"/>
    <n v="7"/>
    <n v="0"/>
    <x v="0"/>
    <s v="No"/>
    <x v="0"/>
    <n v="185660.3"/>
    <x v="1"/>
    <n v="0.12622011284007509"/>
    <s v="No"/>
    <n v="0"/>
    <n v="0"/>
    <x v="1"/>
    <x v="2"/>
    <x v="1"/>
    <x v="1"/>
    <x v="1"/>
    <n v="1"/>
  </r>
  <r>
    <n v="597"/>
    <x v="1"/>
    <x v="1"/>
    <x v="10"/>
    <n v="8"/>
    <n v="162532.14000000001"/>
    <x v="2"/>
    <s v="Yes"/>
    <x v="0"/>
    <n v="36051.46"/>
    <x v="0"/>
    <n v="0.44895930412093649"/>
    <s v="No"/>
    <n v="1"/>
    <n v="0"/>
    <x v="0"/>
    <x v="1"/>
    <x v="3"/>
    <x v="1"/>
    <x v="2"/>
    <n v="0"/>
  </r>
  <r>
    <n v="564"/>
    <x v="2"/>
    <x v="0"/>
    <x v="18"/>
    <n v="4"/>
    <n v="0"/>
    <x v="0"/>
    <s v="Yes"/>
    <x v="0"/>
    <n v="53520.03"/>
    <x v="1"/>
    <n v="8.7978184919750888E-2"/>
    <s v="No"/>
    <n v="0"/>
    <n v="0"/>
    <x v="1"/>
    <x v="1"/>
    <x v="1"/>
    <x v="1"/>
    <x v="3"/>
    <n v="1"/>
  </r>
  <r>
    <n v="459"/>
    <x v="1"/>
    <x v="0"/>
    <x v="16"/>
    <n v="7"/>
    <n v="110356.42"/>
    <x v="1"/>
    <s v="Yes"/>
    <x v="0"/>
    <n v="4969.13"/>
    <x v="0"/>
    <n v="0.48388933613087809"/>
    <s v="No"/>
    <n v="1"/>
    <n v="0"/>
    <x v="0"/>
    <x v="0"/>
    <x v="0"/>
    <x v="4"/>
    <x v="2"/>
    <n v="0"/>
  </r>
  <r>
    <n v="565"/>
    <x v="1"/>
    <x v="1"/>
    <x v="25"/>
    <n v="9"/>
    <n v="68067.240000000005"/>
    <x v="1"/>
    <s v="Yes"/>
    <x v="0"/>
    <n v="143287.57999999999"/>
    <x v="1"/>
    <n v="0.33223874752313609"/>
    <s v="No"/>
    <n v="0"/>
    <n v="0"/>
    <x v="0"/>
    <x v="1"/>
    <x v="2"/>
    <x v="1"/>
    <x v="0"/>
    <n v="1"/>
  </r>
  <r>
    <n v="569"/>
    <x v="1"/>
    <x v="1"/>
    <x v="3"/>
    <n v="9"/>
    <n v="146100.75"/>
    <x v="1"/>
    <s v="Yes"/>
    <x v="0"/>
    <n v="32574.01"/>
    <x v="0"/>
    <n v="0.54472765204294638"/>
    <s v="Yes"/>
    <n v="1"/>
    <n v="1"/>
    <x v="2"/>
    <x v="0"/>
    <x v="0"/>
    <x v="1"/>
    <x v="2"/>
    <n v="1"/>
  </r>
  <r>
    <n v="754"/>
    <x v="1"/>
    <x v="0"/>
    <x v="26"/>
    <n v="2"/>
    <n v="101134.87"/>
    <x v="0"/>
    <s v="Yes"/>
    <x v="1"/>
    <n v="70954.41"/>
    <x v="1"/>
    <n v="0.36904897945302911"/>
    <s v="No"/>
    <n v="0"/>
    <n v="0"/>
    <x v="0"/>
    <x v="3"/>
    <x v="0"/>
    <x v="2"/>
    <x v="3"/>
    <n v="1"/>
  </r>
  <r>
    <n v="667"/>
    <x v="2"/>
    <x v="0"/>
    <x v="34"/>
    <n v="1"/>
    <n v="0"/>
    <x v="0"/>
    <s v="Yes"/>
    <x v="0"/>
    <n v="91573.19"/>
    <x v="1"/>
    <n v="5.1116597907555399E-2"/>
    <s v="No"/>
    <n v="0"/>
    <n v="0"/>
    <x v="1"/>
    <x v="2"/>
    <x v="1"/>
    <x v="0"/>
    <x v="3"/>
    <n v="1"/>
  </r>
  <r>
    <n v="670"/>
    <x v="2"/>
    <x v="1"/>
    <x v="5"/>
    <n v="7"/>
    <n v="0"/>
    <x v="0"/>
    <s v="Yes"/>
    <x v="1"/>
    <n v="88187.81"/>
    <x v="1"/>
    <n v="5.4871001463480791E-2"/>
    <s v="No"/>
    <n v="0"/>
    <n v="0"/>
    <x v="1"/>
    <x v="1"/>
    <x v="1"/>
    <x v="0"/>
    <x v="3"/>
    <n v="1"/>
  </r>
  <r>
    <n v="641"/>
    <x v="1"/>
    <x v="1"/>
    <x v="11"/>
    <n v="7"/>
    <n v="62974.64"/>
    <x v="0"/>
    <s v="No"/>
    <x v="1"/>
    <n v="39016.43"/>
    <x v="1"/>
    <n v="0.1716536942615316"/>
    <s v="No"/>
    <n v="0"/>
    <n v="0"/>
    <x v="1"/>
    <x v="1"/>
    <x v="2"/>
    <x v="0"/>
    <x v="2"/>
    <n v="1"/>
  </r>
  <r>
    <n v="650"/>
    <x v="0"/>
    <x v="0"/>
    <x v="6"/>
    <n v="3"/>
    <n v="128808.65"/>
    <x v="2"/>
    <s v="No"/>
    <x v="0"/>
    <n v="113677.53"/>
    <x v="0"/>
    <n v="0.2135147645329461"/>
    <s v="No"/>
    <n v="1"/>
    <n v="0"/>
    <x v="0"/>
    <x v="0"/>
    <x v="0"/>
    <x v="0"/>
    <x v="0"/>
    <n v="0"/>
  </r>
  <r>
    <n v="625"/>
    <x v="2"/>
    <x v="0"/>
    <x v="1"/>
    <n v="7"/>
    <n v="137555.44"/>
    <x v="1"/>
    <s v="No"/>
    <x v="0"/>
    <n v="124607.7"/>
    <x v="1"/>
    <n v="0.29480607834744321"/>
    <s v="No"/>
    <n v="0"/>
    <n v="0"/>
    <x v="0"/>
    <x v="0"/>
    <x v="0"/>
    <x v="0"/>
    <x v="0"/>
    <n v="1"/>
  </r>
  <r>
    <n v="700"/>
    <x v="0"/>
    <x v="0"/>
    <x v="18"/>
    <n v="7"/>
    <n v="0"/>
    <x v="0"/>
    <s v="No"/>
    <x v="1"/>
    <n v="145151.96"/>
    <x v="1"/>
    <n v="3.0470323367236731E-2"/>
    <s v="No"/>
    <n v="0"/>
    <n v="0"/>
    <x v="1"/>
    <x v="1"/>
    <x v="1"/>
    <x v="0"/>
    <x v="0"/>
    <n v="1"/>
  </r>
  <r>
    <n v="719"/>
    <x v="1"/>
    <x v="0"/>
    <x v="17"/>
    <n v="3"/>
    <n v="106070.29"/>
    <x v="0"/>
    <s v="Yes"/>
    <x v="1"/>
    <n v="183893.31"/>
    <x v="1"/>
    <n v="6.9030502874977986E-2"/>
    <s v="No"/>
    <n v="0"/>
    <n v="0"/>
    <x v="1"/>
    <x v="2"/>
    <x v="0"/>
    <x v="2"/>
    <x v="1"/>
    <n v="1"/>
  </r>
  <r>
    <n v="676"/>
    <x v="2"/>
    <x v="1"/>
    <x v="25"/>
    <n v="5"/>
    <n v="0"/>
    <x v="0"/>
    <s v="Yes"/>
    <x v="1"/>
    <n v="75465.41"/>
    <x v="1"/>
    <n v="5.2549163037581961E-2"/>
    <s v="No"/>
    <n v="0"/>
    <n v="0"/>
    <x v="1"/>
    <x v="1"/>
    <x v="1"/>
    <x v="0"/>
    <x v="3"/>
    <n v="1"/>
  </r>
  <r>
    <n v="714"/>
    <x v="1"/>
    <x v="0"/>
    <x v="17"/>
    <n v="7"/>
    <n v="77776.39"/>
    <x v="1"/>
    <s v="Yes"/>
    <x v="0"/>
    <n v="177737.07"/>
    <x v="1"/>
    <n v="0.1735511236168813"/>
    <s v="No"/>
    <n v="0"/>
    <n v="0"/>
    <x v="1"/>
    <x v="2"/>
    <x v="2"/>
    <x v="2"/>
    <x v="1"/>
    <n v="1"/>
  </r>
  <r>
    <n v="778"/>
    <x v="0"/>
    <x v="0"/>
    <x v="21"/>
    <n v="8"/>
    <n v="104291.41"/>
    <x v="0"/>
    <s v="Yes"/>
    <x v="1"/>
    <n v="117507.11"/>
    <x v="1"/>
    <n v="6.6280028696633422E-2"/>
    <s v="No"/>
    <n v="0"/>
    <n v="0"/>
    <x v="1"/>
    <x v="1"/>
    <x v="0"/>
    <x v="2"/>
    <x v="0"/>
    <n v="1"/>
  </r>
  <r>
    <n v="732"/>
    <x v="1"/>
    <x v="1"/>
    <x v="8"/>
    <n v="9"/>
    <n v="94867.18"/>
    <x v="0"/>
    <s v="Yes"/>
    <x v="1"/>
    <n v="157527.6"/>
    <x v="0"/>
    <n v="0.55380451104603823"/>
    <s v="Yes"/>
    <n v="1"/>
    <n v="1"/>
    <x v="2"/>
    <x v="4"/>
    <x v="2"/>
    <x v="2"/>
    <x v="1"/>
    <n v="1"/>
  </r>
  <r>
    <n v="627"/>
    <x v="1"/>
    <x v="0"/>
    <x v="34"/>
    <n v="5"/>
    <n v="184244.86"/>
    <x v="1"/>
    <s v="Yes"/>
    <x v="0"/>
    <n v="103099.22"/>
    <x v="1"/>
    <n v="0.16845205594726151"/>
    <s v="No"/>
    <n v="0"/>
    <n v="0"/>
    <x v="1"/>
    <x v="2"/>
    <x v="3"/>
    <x v="0"/>
    <x v="0"/>
    <n v="1"/>
  </r>
  <r>
    <n v="760"/>
    <x v="2"/>
    <x v="0"/>
    <x v="12"/>
    <n v="8"/>
    <n v="121911.59"/>
    <x v="1"/>
    <s v="Yes"/>
    <x v="0"/>
    <n v="193312.33"/>
    <x v="1"/>
    <n v="0.2372684377122857"/>
    <s v="No"/>
    <n v="0"/>
    <n v="0"/>
    <x v="0"/>
    <x v="0"/>
    <x v="0"/>
    <x v="2"/>
    <x v="1"/>
    <n v="1"/>
  </r>
  <r>
    <n v="498"/>
    <x v="0"/>
    <x v="0"/>
    <x v="4"/>
    <n v="8"/>
    <n v="127864.26"/>
    <x v="1"/>
    <s v="Yes"/>
    <x v="1"/>
    <n v="46677.9"/>
    <x v="1"/>
    <n v="4.1475932733541318E-2"/>
    <s v="No"/>
    <n v="0"/>
    <n v="0"/>
    <x v="1"/>
    <x v="2"/>
    <x v="0"/>
    <x v="4"/>
    <x v="2"/>
    <n v="1"/>
  </r>
  <r>
    <n v="648"/>
    <x v="2"/>
    <x v="1"/>
    <x v="0"/>
    <n v="2"/>
    <n v="0"/>
    <x v="0"/>
    <s v="Yes"/>
    <x v="1"/>
    <n v="58652.23"/>
    <x v="1"/>
    <n v="0.12622394105212209"/>
    <s v="No"/>
    <n v="0"/>
    <n v="0"/>
    <x v="1"/>
    <x v="0"/>
    <x v="1"/>
    <x v="0"/>
    <x v="3"/>
    <n v="1"/>
  </r>
  <r>
    <n v="592"/>
    <x v="0"/>
    <x v="0"/>
    <x v="2"/>
    <n v="0"/>
    <n v="0"/>
    <x v="1"/>
    <s v="Yes"/>
    <x v="0"/>
    <n v="65986.48"/>
    <x v="0"/>
    <n v="0.16633222928530461"/>
    <s v="No"/>
    <n v="1"/>
    <n v="0"/>
    <x v="1"/>
    <x v="1"/>
    <x v="1"/>
    <x v="1"/>
    <x v="3"/>
    <n v="0"/>
  </r>
  <r>
    <n v="594"/>
    <x v="2"/>
    <x v="1"/>
    <x v="24"/>
    <n v="10"/>
    <n v="0"/>
    <x v="0"/>
    <s v="Yes"/>
    <x v="1"/>
    <n v="124071.71"/>
    <x v="1"/>
    <n v="4.5002694848100849E-2"/>
    <s v="No"/>
    <n v="0"/>
    <n v="0"/>
    <x v="1"/>
    <x v="2"/>
    <x v="1"/>
    <x v="1"/>
    <x v="0"/>
    <n v="1"/>
  </r>
  <r>
    <n v="694"/>
    <x v="1"/>
    <x v="0"/>
    <x v="11"/>
    <n v="1"/>
    <n v="95668.82"/>
    <x v="0"/>
    <s v="Yes"/>
    <x v="0"/>
    <n v="100335.55"/>
    <x v="1"/>
    <n v="0.29677629049438131"/>
    <s v="No"/>
    <n v="0"/>
    <n v="0"/>
    <x v="0"/>
    <x v="1"/>
    <x v="2"/>
    <x v="0"/>
    <x v="0"/>
    <n v="1"/>
  </r>
  <r>
    <n v="538"/>
    <x v="0"/>
    <x v="1"/>
    <x v="24"/>
    <n v="8"/>
    <n v="0"/>
    <x v="0"/>
    <s v="Yes"/>
    <x v="1"/>
    <n v="41192.949999999997"/>
    <x v="1"/>
    <n v="4.8127143642810448E-2"/>
    <s v="No"/>
    <n v="0"/>
    <n v="0"/>
    <x v="1"/>
    <x v="2"/>
    <x v="1"/>
    <x v="1"/>
    <x v="2"/>
    <n v="1"/>
  </r>
  <r>
    <n v="669"/>
    <x v="2"/>
    <x v="0"/>
    <x v="11"/>
    <n v="4"/>
    <n v="0"/>
    <x v="1"/>
    <s v="Yes"/>
    <x v="0"/>
    <n v="132540.32999999999"/>
    <x v="1"/>
    <n v="0.13949512332728281"/>
    <s v="No"/>
    <n v="0"/>
    <n v="0"/>
    <x v="1"/>
    <x v="1"/>
    <x v="1"/>
    <x v="0"/>
    <x v="0"/>
    <n v="1"/>
  </r>
  <r>
    <n v="569"/>
    <x v="0"/>
    <x v="1"/>
    <x v="19"/>
    <n v="3"/>
    <n v="0"/>
    <x v="1"/>
    <s v="Yes"/>
    <x v="0"/>
    <n v="133997.53"/>
    <x v="1"/>
    <n v="0.2033095350936544"/>
    <s v="No"/>
    <n v="0"/>
    <n v="0"/>
    <x v="0"/>
    <x v="1"/>
    <x v="1"/>
    <x v="1"/>
    <x v="0"/>
    <n v="1"/>
  </r>
  <r>
    <n v="693"/>
    <x v="2"/>
    <x v="1"/>
    <x v="12"/>
    <n v="4"/>
    <n v="152341.54999999999"/>
    <x v="1"/>
    <s v="Yes"/>
    <x v="0"/>
    <n v="9241.7800000000007"/>
    <x v="1"/>
    <n v="0.37312846396547122"/>
    <s v="No"/>
    <n v="0"/>
    <n v="0"/>
    <x v="0"/>
    <x v="0"/>
    <x v="3"/>
    <x v="0"/>
    <x v="2"/>
    <n v="1"/>
  </r>
  <r>
    <n v="704"/>
    <x v="2"/>
    <x v="0"/>
    <x v="28"/>
    <n v="7"/>
    <n v="120026.98"/>
    <x v="0"/>
    <s v="No"/>
    <x v="1"/>
    <n v="100601.73"/>
    <x v="1"/>
    <n v="5.4933838597486268E-2"/>
    <s v="No"/>
    <n v="0"/>
    <n v="0"/>
    <x v="1"/>
    <x v="1"/>
    <x v="0"/>
    <x v="2"/>
    <x v="0"/>
    <n v="1"/>
  </r>
  <r>
    <n v="527"/>
    <x v="0"/>
    <x v="0"/>
    <x v="5"/>
    <n v="9"/>
    <n v="132168.28"/>
    <x v="1"/>
    <s v="No"/>
    <x v="0"/>
    <n v="98734.15"/>
    <x v="1"/>
    <n v="0.15163761331186529"/>
    <s v="No"/>
    <n v="0"/>
    <n v="0"/>
    <x v="1"/>
    <x v="1"/>
    <x v="0"/>
    <x v="1"/>
    <x v="3"/>
    <n v="1"/>
  </r>
  <r>
    <n v="679"/>
    <x v="2"/>
    <x v="0"/>
    <x v="37"/>
    <n v="8"/>
    <n v="0"/>
    <x v="0"/>
    <s v="Yes"/>
    <x v="1"/>
    <n v="51380.9"/>
    <x v="1"/>
    <n v="0.19114210640919599"/>
    <s v="No"/>
    <n v="0"/>
    <n v="0"/>
    <x v="1"/>
    <x v="3"/>
    <x v="1"/>
    <x v="0"/>
    <x v="3"/>
    <n v="1"/>
  </r>
  <r>
    <n v="850"/>
    <x v="0"/>
    <x v="1"/>
    <x v="28"/>
    <n v="2"/>
    <n v="155180.56"/>
    <x v="0"/>
    <s v="No"/>
    <x v="0"/>
    <n v="169415.54"/>
    <x v="1"/>
    <n v="0.26078496807963031"/>
    <s v="No"/>
    <n v="0"/>
    <n v="0"/>
    <x v="0"/>
    <x v="1"/>
    <x v="3"/>
    <x v="3"/>
    <x v="1"/>
    <n v="1"/>
  </r>
  <r>
    <n v="528"/>
    <x v="0"/>
    <x v="0"/>
    <x v="21"/>
    <n v="4"/>
    <n v="0"/>
    <x v="0"/>
    <s v="Yes"/>
    <x v="0"/>
    <n v="25399.7"/>
    <x v="1"/>
    <n v="0.16451345166367781"/>
    <s v="No"/>
    <n v="0"/>
    <n v="0"/>
    <x v="1"/>
    <x v="1"/>
    <x v="1"/>
    <x v="1"/>
    <x v="2"/>
    <n v="1"/>
  </r>
  <r>
    <n v="513"/>
    <x v="0"/>
    <x v="0"/>
    <x v="20"/>
    <n v="2"/>
    <n v="0"/>
    <x v="1"/>
    <s v="Yes"/>
    <x v="1"/>
    <n v="114709.13"/>
    <x v="0"/>
    <n v="0.12792784829603199"/>
    <s v="No"/>
    <n v="1"/>
    <n v="0"/>
    <x v="1"/>
    <x v="0"/>
    <x v="1"/>
    <x v="1"/>
    <x v="0"/>
    <n v="0"/>
  </r>
  <r>
    <n v="710"/>
    <x v="0"/>
    <x v="1"/>
    <x v="14"/>
    <n v="5"/>
    <n v="0"/>
    <x v="0"/>
    <s v="Yes"/>
    <x v="1"/>
    <n v="9376.89"/>
    <x v="1"/>
    <n v="0.56650082911671074"/>
    <s v="Yes"/>
    <n v="0"/>
    <n v="1"/>
    <x v="2"/>
    <x v="4"/>
    <x v="1"/>
    <x v="2"/>
    <x v="2"/>
    <n v="0"/>
  </r>
  <r>
    <n v="674"/>
    <x v="2"/>
    <x v="0"/>
    <x v="1"/>
    <n v="7"/>
    <n v="142072.01999999999"/>
    <x v="1"/>
    <s v="Yes"/>
    <x v="0"/>
    <n v="37013.29"/>
    <x v="1"/>
    <n v="0.27376697192965699"/>
    <s v="No"/>
    <n v="0"/>
    <n v="0"/>
    <x v="0"/>
    <x v="0"/>
    <x v="0"/>
    <x v="0"/>
    <x v="2"/>
    <n v="1"/>
  </r>
  <r>
    <n v="525"/>
    <x v="2"/>
    <x v="1"/>
    <x v="36"/>
    <n v="6"/>
    <n v="0"/>
    <x v="0"/>
    <s v="Yes"/>
    <x v="0"/>
    <n v="89566.64"/>
    <x v="1"/>
    <n v="9.7310792051101797E-2"/>
    <s v="No"/>
    <n v="0"/>
    <n v="0"/>
    <x v="1"/>
    <x v="2"/>
    <x v="1"/>
    <x v="1"/>
    <x v="3"/>
    <n v="1"/>
  </r>
  <r>
    <n v="645"/>
    <x v="1"/>
    <x v="0"/>
    <x v="5"/>
    <n v="8"/>
    <n v="149564.60999999999"/>
    <x v="1"/>
    <s v="No"/>
    <x v="0"/>
    <n v="149913.84"/>
    <x v="1"/>
    <n v="0.27687618229132932"/>
    <s v="No"/>
    <n v="0"/>
    <n v="0"/>
    <x v="0"/>
    <x v="1"/>
    <x v="0"/>
    <x v="0"/>
    <x v="0"/>
    <n v="1"/>
  </r>
  <r>
    <n v="545"/>
    <x v="0"/>
    <x v="0"/>
    <x v="28"/>
    <n v="8"/>
    <n v="73211.12"/>
    <x v="0"/>
    <s v="Yes"/>
    <x v="0"/>
    <n v="89587.34"/>
    <x v="0"/>
    <n v="0.1435323824637689"/>
    <s v="No"/>
    <n v="1"/>
    <n v="0"/>
    <x v="1"/>
    <x v="1"/>
    <x v="2"/>
    <x v="1"/>
    <x v="3"/>
    <n v="0"/>
  </r>
  <r>
    <n v="831"/>
    <x v="1"/>
    <x v="0"/>
    <x v="25"/>
    <n v="9"/>
    <n v="80262.66"/>
    <x v="1"/>
    <s v="Yes"/>
    <x v="0"/>
    <n v="194867.78"/>
    <x v="1"/>
    <n v="0.20274219816599159"/>
    <s v="No"/>
    <n v="0"/>
    <n v="0"/>
    <x v="0"/>
    <x v="1"/>
    <x v="2"/>
    <x v="3"/>
    <x v="1"/>
    <n v="1"/>
  </r>
  <r>
    <n v="657"/>
    <x v="0"/>
    <x v="0"/>
    <x v="46"/>
    <n v="5"/>
    <n v="119785.47"/>
    <x v="0"/>
    <s v="Yes"/>
    <x v="1"/>
    <n v="107534.32"/>
    <x v="1"/>
    <n v="0.38467283914033529"/>
    <s v="No"/>
    <n v="0"/>
    <n v="0"/>
    <x v="0"/>
    <x v="4"/>
    <x v="0"/>
    <x v="0"/>
    <x v="0"/>
    <n v="1"/>
  </r>
  <r>
    <n v="660"/>
    <x v="0"/>
    <x v="0"/>
    <x v="3"/>
    <n v="5"/>
    <n v="0"/>
    <x v="0"/>
    <s v="Yes"/>
    <x v="0"/>
    <n v="115509.59"/>
    <x v="1"/>
    <n v="0.17685586098087841"/>
    <s v="No"/>
    <n v="0"/>
    <n v="0"/>
    <x v="1"/>
    <x v="0"/>
    <x v="1"/>
    <x v="0"/>
    <x v="0"/>
    <n v="1"/>
  </r>
  <r>
    <n v="795"/>
    <x v="1"/>
    <x v="0"/>
    <x v="11"/>
    <n v="2"/>
    <n v="139265.63"/>
    <x v="0"/>
    <s v="Yes"/>
    <x v="1"/>
    <n v="198745.94"/>
    <x v="1"/>
    <n v="0.1330537374268492"/>
    <s v="No"/>
    <n v="0"/>
    <n v="0"/>
    <x v="1"/>
    <x v="1"/>
    <x v="0"/>
    <x v="2"/>
    <x v="1"/>
    <n v="1"/>
  </r>
  <r>
    <n v="613"/>
    <x v="1"/>
    <x v="1"/>
    <x v="24"/>
    <n v="5"/>
    <n v="131563.88"/>
    <x v="0"/>
    <s v="Yes"/>
    <x v="0"/>
    <n v="170638.98"/>
    <x v="1"/>
    <n v="0.3265385991584453"/>
    <s v="No"/>
    <n v="0"/>
    <n v="0"/>
    <x v="0"/>
    <x v="2"/>
    <x v="0"/>
    <x v="0"/>
    <x v="1"/>
    <n v="1"/>
  </r>
  <r>
    <n v="621"/>
    <x v="1"/>
    <x v="0"/>
    <x v="35"/>
    <n v="7"/>
    <n v="107363.29"/>
    <x v="1"/>
    <s v="Yes"/>
    <x v="1"/>
    <n v="66799.28"/>
    <x v="1"/>
    <n v="0.23764027233137441"/>
    <s v="No"/>
    <n v="0"/>
    <n v="0"/>
    <x v="0"/>
    <x v="0"/>
    <x v="0"/>
    <x v="0"/>
    <x v="3"/>
    <n v="1"/>
  </r>
  <r>
    <n v="782"/>
    <x v="2"/>
    <x v="1"/>
    <x v="5"/>
    <n v="2"/>
    <n v="94493.03"/>
    <x v="1"/>
    <s v="No"/>
    <x v="1"/>
    <n v="101866.39"/>
    <x v="1"/>
    <n v="8.0427364178496705E-2"/>
    <s v="No"/>
    <n v="0"/>
    <n v="0"/>
    <x v="1"/>
    <x v="1"/>
    <x v="2"/>
    <x v="2"/>
    <x v="0"/>
    <n v="1"/>
  </r>
  <r>
    <n v="696"/>
    <x v="2"/>
    <x v="0"/>
    <x v="42"/>
    <n v="6"/>
    <n v="139781.06"/>
    <x v="1"/>
    <s v="Yes"/>
    <x v="0"/>
    <n v="27445.4"/>
    <x v="0"/>
    <n v="0.38594826676578992"/>
    <s v="No"/>
    <n v="1"/>
    <n v="0"/>
    <x v="0"/>
    <x v="3"/>
    <x v="0"/>
    <x v="0"/>
    <x v="2"/>
    <n v="0"/>
  </r>
  <r>
    <n v="498"/>
    <x v="2"/>
    <x v="0"/>
    <x v="55"/>
    <n v="2"/>
    <n v="170241.7"/>
    <x v="0"/>
    <s v="Yes"/>
    <x v="1"/>
    <n v="165407.96"/>
    <x v="1"/>
    <n v="0.56669218483731232"/>
    <s v="Yes"/>
    <n v="0"/>
    <n v="1"/>
    <x v="2"/>
    <x v="4"/>
    <x v="3"/>
    <x v="4"/>
    <x v="1"/>
    <n v="0"/>
  </r>
  <r>
    <n v="698"/>
    <x v="2"/>
    <x v="0"/>
    <x v="26"/>
    <n v="6"/>
    <n v="136325.48000000001"/>
    <x v="0"/>
    <s v="Yes"/>
    <x v="1"/>
    <n v="72549.27"/>
    <x v="0"/>
    <n v="0.2187451366143042"/>
    <s v="No"/>
    <n v="1"/>
    <n v="0"/>
    <x v="0"/>
    <x v="3"/>
    <x v="0"/>
    <x v="0"/>
    <x v="3"/>
    <n v="0"/>
  </r>
  <r>
    <n v="685"/>
    <x v="0"/>
    <x v="0"/>
    <x v="19"/>
    <n v="6"/>
    <n v="83264.28"/>
    <x v="1"/>
    <s v="No"/>
    <x v="0"/>
    <n v="9663.2800000000007"/>
    <x v="1"/>
    <n v="0.13303028773829051"/>
    <s v="No"/>
    <n v="0"/>
    <n v="0"/>
    <x v="1"/>
    <x v="1"/>
    <x v="2"/>
    <x v="0"/>
    <x v="2"/>
    <n v="1"/>
  </r>
  <r>
    <n v="705"/>
    <x v="1"/>
    <x v="0"/>
    <x v="6"/>
    <n v="4"/>
    <n v="72252.639999999999"/>
    <x v="0"/>
    <s v="Yes"/>
    <x v="1"/>
    <n v="142514.66"/>
    <x v="1"/>
    <n v="0.14670757231367179"/>
    <s v="No"/>
    <n v="0"/>
    <n v="0"/>
    <x v="1"/>
    <x v="0"/>
    <x v="2"/>
    <x v="2"/>
    <x v="0"/>
    <n v="1"/>
  </r>
  <r>
    <n v="510"/>
    <x v="2"/>
    <x v="0"/>
    <x v="52"/>
    <n v="8"/>
    <n v="0"/>
    <x v="0"/>
    <s v="Yes"/>
    <x v="1"/>
    <n v="115291.86"/>
    <x v="1"/>
    <n v="0.25580892671194061"/>
    <s v="No"/>
    <n v="0"/>
    <n v="0"/>
    <x v="0"/>
    <x v="4"/>
    <x v="1"/>
    <x v="1"/>
    <x v="0"/>
    <n v="1"/>
  </r>
  <r>
    <n v="588"/>
    <x v="0"/>
    <x v="0"/>
    <x v="16"/>
    <n v="8"/>
    <n v="0"/>
    <x v="1"/>
    <s v="Yes"/>
    <x v="0"/>
    <n v="61931.21"/>
    <x v="1"/>
    <n v="0.23546523644257"/>
    <s v="No"/>
    <n v="0"/>
    <n v="0"/>
    <x v="0"/>
    <x v="0"/>
    <x v="1"/>
    <x v="1"/>
    <x v="3"/>
    <n v="1"/>
  </r>
  <r>
    <n v="555"/>
    <x v="0"/>
    <x v="1"/>
    <x v="27"/>
    <n v="9"/>
    <n v="0"/>
    <x v="0"/>
    <s v="No"/>
    <x v="1"/>
    <n v="158918.03"/>
    <x v="1"/>
    <n v="3.8640890645475351E-2"/>
    <s v="No"/>
    <n v="0"/>
    <n v="0"/>
    <x v="1"/>
    <x v="2"/>
    <x v="1"/>
    <x v="1"/>
    <x v="1"/>
    <n v="1"/>
  </r>
  <r>
    <n v="620"/>
    <x v="2"/>
    <x v="1"/>
    <x v="4"/>
    <n v="1"/>
    <n v="138740.24"/>
    <x v="0"/>
    <s v="No"/>
    <x v="0"/>
    <n v="154700.60999999999"/>
    <x v="1"/>
    <n v="0.18692922372393381"/>
    <s v="No"/>
    <n v="0"/>
    <n v="0"/>
    <x v="1"/>
    <x v="2"/>
    <x v="0"/>
    <x v="0"/>
    <x v="1"/>
    <n v="1"/>
  </r>
  <r>
    <n v="733"/>
    <x v="2"/>
    <x v="0"/>
    <x v="7"/>
    <n v="10"/>
    <n v="141556.96"/>
    <x v="1"/>
    <s v="Yes"/>
    <x v="0"/>
    <n v="130189.53"/>
    <x v="1"/>
    <n v="0.35869089569465767"/>
    <s v="No"/>
    <n v="0"/>
    <n v="0"/>
    <x v="0"/>
    <x v="3"/>
    <x v="0"/>
    <x v="2"/>
    <x v="0"/>
    <n v="1"/>
  </r>
  <r>
    <n v="792"/>
    <x v="2"/>
    <x v="0"/>
    <x v="24"/>
    <n v="8"/>
    <n v="0"/>
    <x v="0"/>
    <s v="Yes"/>
    <x v="0"/>
    <n v="199644.2"/>
    <x v="1"/>
    <n v="7.1238619603559331E-2"/>
    <s v="No"/>
    <n v="0"/>
    <n v="0"/>
    <x v="1"/>
    <x v="2"/>
    <x v="1"/>
    <x v="2"/>
    <x v="1"/>
    <n v="1"/>
  </r>
  <r>
    <n v="686"/>
    <x v="2"/>
    <x v="1"/>
    <x v="6"/>
    <n v="10"/>
    <n v="0"/>
    <x v="1"/>
    <s v="Yes"/>
    <x v="1"/>
    <n v="144272.71"/>
    <x v="0"/>
    <n v="0.100666328974791"/>
    <s v="No"/>
    <n v="1"/>
    <n v="0"/>
    <x v="1"/>
    <x v="0"/>
    <x v="1"/>
    <x v="0"/>
    <x v="0"/>
    <n v="0"/>
  </r>
  <r>
    <n v="655"/>
    <x v="2"/>
    <x v="1"/>
    <x v="7"/>
    <n v="3"/>
    <n v="0"/>
    <x v="0"/>
    <s v="No"/>
    <x v="1"/>
    <n v="15801.02"/>
    <x v="1"/>
    <n v="0.1925991925880266"/>
    <s v="No"/>
    <n v="0"/>
    <n v="0"/>
    <x v="1"/>
    <x v="3"/>
    <x v="1"/>
    <x v="0"/>
    <x v="2"/>
    <n v="1"/>
  </r>
  <r>
    <n v="579"/>
    <x v="1"/>
    <x v="1"/>
    <x v="10"/>
    <n v="5"/>
    <n v="117833.3"/>
    <x v="2"/>
    <s v="No"/>
    <x v="0"/>
    <n v="5831"/>
    <x v="0"/>
    <n v="0.44186535589589843"/>
    <s v="No"/>
    <n v="1"/>
    <n v="0"/>
    <x v="0"/>
    <x v="1"/>
    <x v="0"/>
    <x v="1"/>
    <x v="2"/>
    <n v="0"/>
  </r>
  <r>
    <n v="505"/>
    <x v="0"/>
    <x v="1"/>
    <x v="1"/>
    <n v="9"/>
    <n v="131355.29999999999"/>
    <x v="2"/>
    <s v="Yes"/>
    <x v="0"/>
    <n v="195395.33"/>
    <x v="0"/>
    <n v="0.38730469528121642"/>
    <s v="No"/>
    <n v="1"/>
    <n v="0"/>
    <x v="0"/>
    <x v="0"/>
    <x v="0"/>
    <x v="1"/>
    <x v="1"/>
    <n v="0"/>
  </r>
  <r>
    <n v="810"/>
    <x v="2"/>
    <x v="1"/>
    <x v="7"/>
    <n v="5"/>
    <n v="0"/>
    <x v="0"/>
    <s v="No"/>
    <x v="1"/>
    <n v="184524.74"/>
    <x v="1"/>
    <n v="0.1845682592867674"/>
    <s v="No"/>
    <n v="0"/>
    <n v="0"/>
    <x v="1"/>
    <x v="3"/>
    <x v="1"/>
    <x v="3"/>
    <x v="1"/>
    <n v="1"/>
  </r>
  <r>
    <n v="625"/>
    <x v="2"/>
    <x v="1"/>
    <x v="10"/>
    <n v="3"/>
    <n v="130786.92"/>
    <x v="1"/>
    <s v="No"/>
    <x v="1"/>
    <n v="121316.07"/>
    <x v="1"/>
    <n v="0.142004437717834"/>
    <s v="No"/>
    <n v="0"/>
    <n v="0"/>
    <x v="1"/>
    <x v="1"/>
    <x v="0"/>
    <x v="0"/>
    <x v="0"/>
    <n v="1"/>
  </r>
  <r>
    <n v="648"/>
    <x v="1"/>
    <x v="0"/>
    <x v="6"/>
    <n v="5"/>
    <n v="123049.21"/>
    <x v="1"/>
    <s v="No"/>
    <x v="1"/>
    <n v="5066.76"/>
    <x v="1"/>
    <n v="0.17502765212656529"/>
    <s v="No"/>
    <n v="0"/>
    <n v="0"/>
    <x v="1"/>
    <x v="0"/>
    <x v="0"/>
    <x v="0"/>
    <x v="2"/>
    <n v="1"/>
  </r>
  <r>
    <n v="759"/>
    <x v="2"/>
    <x v="1"/>
    <x v="10"/>
    <n v="6"/>
    <n v="0"/>
    <x v="0"/>
    <s v="Yes"/>
    <x v="1"/>
    <n v="140497.67000000001"/>
    <x v="1"/>
    <n v="8.2040451359465999E-2"/>
    <s v="No"/>
    <n v="0"/>
    <n v="0"/>
    <x v="1"/>
    <x v="1"/>
    <x v="1"/>
    <x v="2"/>
    <x v="0"/>
    <n v="1"/>
  </r>
  <r>
    <n v="787"/>
    <x v="2"/>
    <x v="1"/>
    <x v="56"/>
    <n v="10"/>
    <n v="0"/>
    <x v="0"/>
    <s v="Yes"/>
    <x v="1"/>
    <n v="116537.96"/>
    <x v="1"/>
    <n v="0.70615912381607038"/>
    <s v="Yes"/>
    <n v="0"/>
    <n v="1"/>
    <x v="2"/>
    <x v="4"/>
    <x v="1"/>
    <x v="2"/>
    <x v="0"/>
    <n v="0"/>
  </r>
  <r>
    <n v="659"/>
    <x v="2"/>
    <x v="0"/>
    <x v="12"/>
    <n v="1"/>
    <n v="106086.42"/>
    <x v="0"/>
    <s v="Yes"/>
    <x v="0"/>
    <n v="26900.63"/>
    <x v="1"/>
    <n v="0.23200853894881771"/>
    <s v="No"/>
    <n v="0"/>
    <n v="0"/>
    <x v="0"/>
    <x v="0"/>
    <x v="0"/>
    <x v="0"/>
    <x v="2"/>
    <n v="1"/>
  </r>
  <r>
    <n v="671"/>
    <x v="2"/>
    <x v="0"/>
    <x v="19"/>
    <n v="7"/>
    <n v="106603.74"/>
    <x v="0"/>
    <s v="Yes"/>
    <x v="1"/>
    <n v="26387.71"/>
    <x v="1"/>
    <n v="4.3990683407031987E-2"/>
    <s v="No"/>
    <n v="0"/>
    <n v="0"/>
    <x v="1"/>
    <x v="1"/>
    <x v="0"/>
    <x v="0"/>
    <x v="2"/>
    <n v="1"/>
  </r>
  <r>
    <n v="636"/>
    <x v="2"/>
    <x v="1"/>
    <x v="2"/>
    <n v="1"/>
    <n v="0"/>
    <x v="1"/>
    <s v="Yes"/>
    <x v="0"/>
    <n v="45015.38"/>
    <x v="1"/>
    <n v="0.23779955471663949"/>
    <s v="No"/>
    <n v="0"/>
    <n v="0"/>
    <x v="0"/>
    <x v="1"/>
    <x v="1"/>
    <x v="0"/>
    <x v="2"/>
    <n v="1"/>
  </r>
  <r>
    <n v="601"/>
    <x v="2"/>
    <x v="1"/>
    <x v="19"/>
    <n v="5"/>
    <n v="0"/>
    <x v="0"/>
    <s v="Yes"/>
    <x v="0"/>
    <n v="27022.57"/>
    <x v="1"/>
    <n v="0.16391927707197429"/>
    <s v="No"/>
    <n v="0"/>
    <n v="0"/>
    <x v="1"/>
    <x v="1"/>
    <x v="1"/>
    <x v="0"/>
    <x v="2"/>
    <n v="1"/>
  </r>
  <r>
    <n v="631"/>
    <x v="2"/>
    <x v="1"/>
    <x v="5"/>
    <n v="8"/>
    <n v="0"/>
    <x v="0"/>
    <s v="No"/>
    <x v="0"/>
    <n v="117374.22"/>
    <x v="1"/>
    <n v="0.15437204050477249"/>
    <s v="No"/>
    <n v="0"/>
    <n v="0"/>
    <x v="1"/>
    <x v="1"/>
    <x v="1"/>
    <x v="0"/>
    <x v="0"/>
    <n v="1"/>
  </r>
  <r>
    <n v="569"/>
    <x v="2"/>
    <x v="1"/>
    <x v="12"/>
    <n v="7"/>
    <n v="0"/>
    <x v="0"/>
    <s v="Yes"/>
    <x v="1"/>
    <n v="77703.19"/>
    <x v="1"/>
    <n v="0.1148280584839356"/>
    <s v="No"/>
    <n v="0"/>
    <n v="0"/>
    <x v="1"/>
    <x v="0"/>
    <x v="1"/>
    <x v="1"/>
    <x v="3"/>
    <n v="1"/>
  </r>
  <r>
    <n v="584"/>
    <x v="1"/>
    <x v="0"/>
    <x v="5"/>
    <n v="3"/>
    <n v="88311.48"/>
    <x v="0"/>
    <s v="Yes"/>
    <x v="1"/>
    <n v="177651.38"/>
    <x v="1"/>
    <n v="0.1008543495812792"/>
    <s v="No"/>
    <n v="0"/>
    <n v="0"/>
    <x v="1"/>
    <x v="1"/>
    <x v="2"/>
    <x v="1"/>
    <x v="1"/>
    <n v="1"/>
  </r>
  <r>
    <n v="506"/>
    <x v="0"/>
    <x v="0"/>
    <x v="22"/>
    <n v="6"/>
    <n v="110046.93"/>
    <x v="0"/>
    <s v="Yes"/>
    <x v="0"/>
    <n v="26318.73"/>
    <x v="1"/>
    <n v="0.1501277719640014"/>
    <s v="No"/>
    <n v="0"/>
    <n v="0"/>
    <x v="1"/>
    <x v="1"/>
    <x v="0"/>
    <x v="1"/>
    <x v="2"/>
    <n v="1"/>
  </r>
  <r>
    <n v="503"/>
    <x v="2"/>
    <x v="1"/>
    <x v="17"/>
    <n v="5"/>
    <n v="0"/>
    <x v="0"/>
    <s v="Yes"/>
    <x v="0"/>
    <n v="125918.17"/>
    <x v="1"/>
    <n v="0.12453892648736289"/>
    <s v="No"/>
    <n v="0"/>
    <n v="0"/>
    <x v="1"/>
    <x v="2"/>
    <x v="1"/>
    <x v="1"/>
    <x v="0"/>
    <n v="1"/>
  </r>
  <r>
    <n v="798"/>
    <x v="2"/>
    <x v="0"/>
    <x v="25"/>
    <n v="7"/>
    <n v="0"/>
    <x v="0"/>
    <s v="No"/>
    <x v="1"/>
    <n v="37731.949999999997"/>
    <x v="1"/>
    <n v="2.7856550412847091E-2"/>
    <s v="No"/>
    <n v="0"/>
    <n v="0"/>
    <x v="1"/>
    <x v="1"/>
    <x v="1"/>
    <x v="2"/>
    <x v="2"/>
    <n v="1"/>
  </r>
  <r>
    <n v="439"/>
    <x v="2"/>
    <x v="0"/>
    <x v="28"/>
    <n v="2"/>
    <n v="165536.28"/>
    <x v="0"/>
    <s v="Yes"/>
    <x v="1"/>
    <n v="123956.83"/>
    <x v="1"/>
    <n v="7.842676268434208E-2"/>
    <s v="No"/>
    <n v="0"/>
    <n v="0"/>
    <x v="1"/>
    <x v="1"/>
    <x v="3"/>
    <x v="4"/>
    <x v="0"/>
    <n v="1"/>
  </r>
  <r>
    <n v="480"/>
    <x v="1"/>
    <x v="1"/>
    <x v="36"/>
    <n v="3"/>
    <n v="174330.35"/>
    <x v="0"/>
    <s v="No"/>
    <x v="0"/>
    <n v="181647.13"/>
    <x v="1"/>
    <n v="0.30725604409586171"/>
    <s v="No"/>
    <n v="0"/>
    <n v="0"/>
    <x v="0"/>
    <x v="2"/>
    <x v="3"/>
    <x v="4"/>
    <x v="1"/>
    <n v="1"/>
  </r>
  <r>
    <n v="613"/>
    <x v="1"/>
    <x v="0"/>
    <x v="31"/>
    <n v="8"/>
    <n v="91415.76"/>
    <x v="1"/>
    <s v="No"/>
    <x v="0"/>
    <n v="27965"/>
    <x v="0"/>
    <n v="0.68287785885920638"/>
    <s v="Yes"/>
    <n v="1"/>
    <n v="1"/>
    <x v="2"/>
    <x v="3"/>
    <x v="2"/>
    <x v="0"/>
    <x v="2"/>
    <n v="1"/>
  </r>
  <r>
    <n v="476"/>
    <x v="1"/>
    <x v="0"/>
    <x v="24"/>
    <n v="3"/>
    <n v="134366.42000000001"/>
    <x v="1"/>
    <s v="Yes"/>
    <x v="0"/>
    <n v="68343.53"/>
    <x v="1"/>
    <n v="0.25288421411314033"/>
    <s v="No"/>
    <n v="0"/>
    <n v="0"/>
    <x v="0"/>
    <x v="2"/>
    <x v="0"/>
    <x v="4"/>
    <x v="3"/>
    <n v="1"/>
  </r>
  <r>
    <n v="539"/>
    <x v="2"/>
    <x v="1"/>
    <x v="23"/>
    <n v="3"/>
    <n v="0"/>
    <x v="0"/>
    <s v="Yes"/>
    <x v="1"/>
    <n v="198161.07"/>
    <x v="1"/>
    <n v="3.6232216348245132E-2"/>
    <s v="No"/>
    <n v="0"/>
    <n v="0"/>
    <x v="1"/>
    <x v="2"/>
    <x v="1"/>
    <x v="1"/>
    <x v="1"/>
    <n v="1"/>
  </r>
  <r>
    <n v="696"/>
    <x v="0"/>
    <x v="0"/>
    <x v="37"/>
    <n v="8"/>
    <n v="88786.81"/>
    <x v="1"/>
    <s v="Yes"/>
    <x v="1"/>
    <n v="196858.4"/>
    <x v="1"/>
    <n v="0.26877763290461831"/>
    <s v="No"/>
    <n v="0"/>
    <n v="0"/>
    <x v="0"/>
    <x v="3"/>
    <x v="2"/>
    <x v="0"/>
    <x v="1"/>
    <n v="1"/>
  </r>
  <r>
    <n v="763"/>
    <x v="1"/>
    <x v="0"/>
    <x v="25"/>
    <n v="9"/>
    <n v="160680.41"/>
    <x v="1"/>
    <s v="Yes"/>
    <x v="0"/>
    <n v="30886.35"/>
    <x v="1"/>
    <n v="0.23050139044969581"/>
    <s v="No"/>
    <n v="0"/>
    <n v="0"/>
    <x v="0"/>
    <x v="1"/>
    <x v="3"/>
    <x v="2"/>
    <x v="2"/>
    <n v="1"/>
  </r>
  <r>
    <n v="698"/>
    <x v="2"/>
    <x v="1"/>
    <x v="21"/>
    <n v="7"/>
    <n v="105061.74"/>
    <x v="2"/>
    <s v="Yes"/>
    <x v="0"/>
    <n v="107815.31"/>
    <x v="0"/>
    <n v="0.25384015647470498"/>
    <s v="No"/>
    <n v="1"/>
    <n v="0"/>
    <x v="0"/>
    <x v="1"/>
    <x v="0"/>
    <x v="0"/>
    <x v="0"/>
    <n v="0"/>
  </r>
  <r>
    <n v="619"/>
    <x v="2"/>
    <x v="1"/>
    <x v="21"/>
    <n v="10"/>
    <n v="0"/>
    <x v="1"/>
    <s v="Yes"/>
    <x v="1"/>
    <n v="147093.84"/>
    <x v="0"/>
    <n v="9.833423351148203E-2"/>
    <s v="No"/>
    <n v="1"/>
    <n v="0"/>
    <x v="1"/>
    <x v="1"/>
    <x v="1"/>
    <x v="0"/>
    <x v="0"/>
    <n v="0"/>
  </r>
  <r>
    <n v="590"/>
    <x v="0"/>
    <x v="1"/>
    <x v="34"/>
    <n v="7"/>
    <n v="0"/>
    <x v="0"/>
    <s v="Yes"/>
    <x v="0"/>
    <n v="196789.9"/>
    <x v="1"/>
    <n v="8.7717268415252708E-2"/>
    <s v="No"/>
    <n v="0"/>
    <n v="0"/>
    <x v="1"/>
    <x v="2"/>
    <x v="1"/>
    <x v="1"/>
    <x v="1"/>
    <n v="1"/>
  </r>
  <r>
    <n v="634"/>
    <x v="1"/>
    <x v="0"/>
    <x v="29"/>
    <n v="3"/>
    <n v="107027.52"/>
    <x v="1"/>
    <s v="Yes"/>
    <x v="0"/>
    <n v="173425.68"/>
    <x v="1"/>
    <n v="0.19361006352821261"/>
    <s v="No"/>
    <n v="0"/>
    <n v="0"/>
    <x v="1"/>
    <x v="2"/>
    <x v="0"/>
    <x v="0"/>
    <x v="1"/>
    <n v="1"/>
  </r>
  <r>
    <n v="648"/>
    <x v="1"/>
    <x v="1"/>
    <x v="10"/>
    <n v="3"/>
    <n v="126935.98"/>
    <x v="0"/>
    <s v="No"/>
    <x v="1"/>
    <n v="57995.74"/>
    <x v="1"/>
    <n v="0.23590398545207819"/>
    <s v="No"/>
    <n v="0"/>
    <n v="0"/>
    <x v="0"/>
    <x v="1"/>
    <x v="0"/>
    <x v="0"/>
    <x v="3"/>
    <n v="1"/>
  </r>
  <r>
    <n v="682"/>
    <x v="2"/>
    <x v="1"/>
    <x v="29"/>
    <n v="1"/>
    <n v="97893.2"/>
    <x v="1"/>
    <s v="Yes"/>
    <x v="0"/>
    <n v="166144.98000000001"/>
    <x v="1"/>
    <n v="0.15589877742285821"/>
    <s v="No"/>
    <n v="0"/>
    <n v="0"/>
    <x v="1"/>
    <x v="2"/>
    <x v="2"/>
    <x v="0"/>
    <x v="1"/>
    <n v="1"/>
  </r>
  <r>
    <n v="664"/>
    <x v="2"/>
    <x v="0"/>
    <x v="20"/>
    <n v="10"/>
    <n v="0"/>
    <x v="1"/>
    <s v="Yes"/>
    <x v="0"/>
    <n v="140173.17000000001"/>
    <x v="0"/>
    <n v="0.2466499910699691"/>
    <s v="No"/>
    <n v="1"/>
    <n v="0"/>
    <x v="0"/>
    <x v="0"/>
    <x v="1"/>
    <x v="0"/>
    <x v="0"/>
    <n v="0"/>
  </r>
  <r>
    <n v="653"/>
    <x v="0"/>
    <x v="0"/>
    <x v="24"/>
    <n v="4"/>
    <n v="0"/>
    <x v="0"/>
    <s v="Yes"/>
    <x v="0"/>
    <n v="120736.04"/>
    <x v="1"/>
    <n v="8.3313437445462699E-2"/>
    <s v="No"/>
    <n v="0"/>
    <n v="0"/>
    <x v="1"/>
    <x v="2"/>
    <x v="1"/>
    <x v="0"/>
    <x v="0"/>
    <n v="1"/>
  </r>
  <r>
    <n v="697"/>
    <x v="2"/>
    <x v="1"/>
    <x v="43"/>
    <n v="7"/>
    <n v="0"/>
    <x v="0"/>
    <s v="No"/>
    <x v="1"/>
    <n v="188772.45"/>
    <x v="1"/>
    <n v="0.5999276803607283"/>
    <s v="Yes"/>
    <n v="0"/>
    <n v="1"/>
    <x v="2"/>
    <x v="4"/>
    <x v="1"/>
    <x v="0"/>
    <x v="1"/>
    <n v="0"/>
  </r>
  <r>
    <n v="648"/>
    <x v="0"/>
    <x v="0"/>
    <x v="45"/>
    <n v="1"/>
    <n v="81370.070000000007"/>
    <x v="1"/>
    <s v="No"/>
    <x v="1"/>
    <n v="181534.04"/>
    <x v="1"/>
    <n v="0.23243092491909831"/>
    <s v="No"/>
    <n v="0"/>
    <n v="0"/>
    <x v="0"/>
    <x v="3"/>
    <x v="2"/>
    <x v="0"/>
    <x v="1"/>
    <n v="1"/>
  </r>
  <r>
    <n v="644"/>
    <x v="2"/>
    <x v="1"/>
    <x v="21"/>
    <n v="9"/>
    <n v="137285.26"/>
    <x v="3"/>
    <s v="Yes"/>
    <x v="0"/>
    <n v="77063.63"/>
    <x v="0"/>
    <n v="0.24643366963070129"/>
    <s v="No"/>
    <n v="1"/>
    <n v="0"/>
    <x v="0"/>
    <x v="1"/>
    <x v="0"/>
    <x v="0"/>
    <x v="3"/>
    <n v="0"/>
  </r>
  <r>
    <n v="834"/>
    <x v="2"/>
    <x v="0"/>
    <x v="34"/>
    <n v="4"/>
    <n v="131254.81"/>
    <x v="1"/>
    <s v="Yes"/>
    <x v="0"/>
    <n v="20199.3"/>
    <x v="1"/>
    <n v="6.3429578528932218E-2"/>
    <s v="No"/>
    <n v="0"/>
    <n v="0"/>
    <x v="1"/>
    <x v="2"/>
    <x v="0"/>
    <x v="3"/>
    <x v="2"/>
    <n v="1"/>
  </r>
  <r>
    <n v="608"/>
    <x v="0"/>
    <x v="0"/>
    <x v="19"/>
    <n v="7"/>
    <n v="86656.13"/>
    <x v="1"/>
    <s v="No"/>
    <x v="1"/>
    <n v="59890.29"/>
    <x v="1"/>
    <n v="5.2456888615058518E-2"/>
    <s v="No"/>
    <n v="0"/>
    <n v="0"/>
    <x v="1"/>
    <x v="1"/>
    <x v="2"/>
    <x v="0"/>
    <x v="3"/>
    <n v="1"/>
  </r>
  <r>
    <n v="651"/>
    <x v="2"/>
    <x v="1"/>
    <x v="10"/>
    <n v="6"/>
    <n v="0"/>
    <x v="1"/>
    <s v="Yes"/>
    <x v="0"/>
    <n v="24176.44"/>
    <x v="1"/>
    <n v="0.22938787978540029"/>
    <s v="No"/>
    <n v="0"/>
    <n v="0"/>
    <x v="0"/>
    <x v="1"/>
    <x v="1"/>
    <x v="0"/>
    <x v="2"/>
    <n v="1"/>
  </r>
  <r>
    <n v="815"/>
    <x v="2"/>
    <x v="1"/>
    <x v="47"/>
    <n v="3"/>
    <n v="0"/>
    <x v="2"/>
    <s v="Yes"/>
    <x v="1"/>
    <n v="94248.16"/>
    <x v="0"/>
    <n v="0.2199511441453485"/>
    <s v="No"/>
    <n v="1"/>
    <n v="0"/>
    <x v="0"/>
    <x v="3"/>
    <x v="1"/>
    <x v="3"/>
    <x v="3"/>
    <n v="0"/>
  </r>
  <r>
    <n v="722"/>
    <x v="1"/>
    <x v="0"/>
    <x v="4"/>
    <n v="1"/>
    <n v="107233.85"/>
    <x v="0"/>
    <s v="Yes"/>
    <x v="0"/>
    <n v="24924.92"/>
    <x v="1"/>
    <n v="0.18448633058543759"/>
    <s v="No"/>
    <n v="0"/>
    <n v="0"/>
    <x v="1"/>
    <x v="2"/>
    <x v="0"/>
    <x v="2"/>
    <x v="2"/>
    <n v="1"/>
  </r>
  <r>
    <n v="542"/>
    <x v="2"/>
    <x v="1"/>
    <x v="10"/>
    <n v="4"/>
    <n v="109949.39"/>
    <x v="0"/>
    <s v="Yes"/>
    <x v="1"/>
    <n v="41268.65"/>
    <x v="1"/>
    <n v="0.1196571257683515"/>
    <s v="No"/>
    <n v="0"/>
    <n v="0"/>
    <x v="1"/>
    <x v="1"/>
    <x v="0"/>
    <x v="1"/>
    <x v="2"/>
    <n v="1"/>
  </r>
  <r>
    <n v="850"/>
    <x v="2"/>
    <x v="1"/>
    <x v="3"/>
    <n v="8"/>
    <n v="0"/>
    <x v="1"/>
    <s v="Yes"/>
    <x v="0"/>
    <n v="19632.64"/>
    <x v="0"/>
    <n v="0.2369124837750714"/>
    <s v="No"/>
    <n v="1"/>
    <n v="0"/>
    <x v="0"/>
    <x v="0"/>
    <x v="1"/>
    <x v="3"/>
    <x v="2"/>
    <n v="0"/>
  </r>
  <r>
    <n v="607"/>
    <x v="1"/>
    <x v="0"/>
    <x v="28"/>
    <n v="8"/>
    <n v="143421.74"/>
    <x v="1"/>
    <s v="Yes"/>
    <x v="0"/>
    <n v="97879.02"/>
    <x v="1"/>
    <n v="0.31239003109352609"/>
    <s v="No"/>
    <n v="0"/>
    <n v="0"/>
    <x v="0"/>
    <x v="1"/>
    <x v="0"/>
    <x v="0"/>
    <x v="3"/>
    <n v="1"/>
  </r>
  <r>
    <n v="525"/>
    <x v="2"/>
    <x v="0"/>
    <x v="27"/>
    <n v="7"/>
    <n v="153644.39000000001"/>
    <x v="1"/>
    <s v="Yes"/>
    <x v="1"/>
    <n v="63197.88"/>
    <x v="1"/>
    <n v="3.4772719758161791E-2"/>
    <s v="No"/>
    <n v="0"/>
    <n v="0"/>
    <x v="1"/>
    <x v="2"/>
    <x v="3"/>
    <x v="1"/>
    <x v="3"/>
    <n v="1"/>
  </r>
  <r>
    <n v="726"/>
    <x v="2"/>
    <x v="1"/>
    <x v="25"/>
    <n v="8"/>
    <n v="0"/>
    <x v="0"/>
    <s v="No"/>
    <x v="0"/>
    <n v="185075.63"/>
    <x v="1"/>
    <n v="0.14153475683095679"/>
    <s v="No"/>
    <n v="0"/>
    <n v="0"/>
    <x v="1"/>
    <x v="1"/>
    <x v="1"/>
    <x v="2"/>
    <x v="1"/>
    <n v="1"/>
  </r>
  <r>
    <n v="603"/>
    <x v="1"/>
    <x v="0"/>
    <x v="22"/>
    <n v="1"/>
    <n v="105346.03"/>
    <x v="0"/>
    <s v="Yes"/>
    <x v="1"/>
    <n v="130379.5"/>
    <x v="1"/>
    <n v="0.1196596081716706"/>
    <s v="No"/>
    <n v="0"/>
    <n v="0"/>
    <x v="1"/>
    <x v="1"/>
    <x v="0"/>
    <x v="0"/>
    <x v="0"/>
    <n v="1"/>
  </r>
  <r>
    <n v="646"/>
    <x v="2"/>
    <x v="0"/>
    <x v="28"/>
    <n v="6"/>
    <n v="124445.52"/>
    <x v="1"/>
    <s v="Yes"/>
    <x v="0"/>
    <n v="88481.32"/>
    <x v="1"/>
    <n v="0.16530859220043609"/>
    <s v="No"/>
    <n v="0"/>
    <n v="0"/>
    <x v="1"/>
    <x v="1"/>
    <x v="0"/>
    <x v="0"/>
    <x v="3"/>
    <n v="1"/>
  </r>
  <r>
    <n v="527"/>
    <x v="2"/>
    <x v="0"/>
    <x v="35"/>
    <n v="1"/>
    <n v="0"/>
    <x v="1"/>
    <s v="Yes"/>
    <x v="0"/>
    <n v="21312.16"/>
    <x v="0"/>
    <n v="0.27207622206840198"/>
    <s v="No"/>
    <n v="1"/>
    <n v="0"/>
    <x v="0"/>
    <x v="0"/>
    <x v="1"/>
    <x v="1"/>
    <x v="2"/>
    <n v="0"/>
  </r>
  <r>
    <n v="411"/>
    <x v="2"/>
    <x v="1"/>
    <x v="28"/>
    <n v="10"/>
    <n v="0"/>
    <x v="1"/>
    <s v="No"/>
    <x v="0"/>
    <n v="120694.35"/>
    <x v="1"/>
    <n v="0.2208827078621875"/>
    <s v="No"/>
    <n v="0"/>
    <n v="0"/>
    <x v="0"/>
    <x v="1"/>
    <x v="1"/>
    <x v="4"/>
    <x v="0"/>
    <n v="1"/>
  </r>
  <r>
    <n v="614"/>
    <x v="2"/>
    <x v="0"/>
    <x v="7"/>
    <n v="3"/>
    <n v="0"/>
    <x v="0"/>
    <s v="Yes"/>
    <x v="1"/>
    <n v="5552.37"/>
    <x v="1"/>
    <n v="0.120231026163491"/>
    <s v="No"/>
    <n v="0"/>
    <n v="0"/>
    <x v="1"/>
    <x v="3"/>
    <x v="1"/>
    <x v="0"/>
    <x v="2"/>
    <n v="1"/>
  </r>
  <r>
    <n v="447"/>
    <x v="2"/>
    <x v="0"/>
    <x v="12"/>
    <n v="2"/>
    <n v="0"/>
    <x v="0"/>
    <s v="Yes"/>
    <x v="0"/>
    <n v="33879.26"/>
    <x v="0"/>
    <n v="0.20733443045599109"/>
    <s v="No"/>
    <n v="1"/>
    <n v="0"/>
    <x v="0"/>
    <x v="0"/>
    <x v="1"/>
    <x v="4"/>
    <x v="2"/>
    <n v="0"/>
  </r>
  <r>
    <n v="537"/>
    <x v="0"/>
    <x v="0"/>
    <x v="24"/>
    <n v="1"/>
    <n v="103138.17"/>
    <x v="1"/>
    <s v="Yes"/>
    <x v="1"/>
    <n v="96555.42"/>
    <x v="1"/>
    <n v="4.7836202630262177E-2"/>
    <s v="No"/>
    <n v="0"/>
    <n v="0"/>
    <x v="1"/>
    <x v="2"/>
    <x v="0"/>
    <x v="1"/>
    <x v="3"/>
    <n v="1"/>
  </r>
  <r>
    <n v="690"/>
    <x v="2"/>
    <x v="0"/>
    <x v="49"/>
    <n v="5"/>
    <n v="0"/>
    <x v="1"/>
    <s v="Yes"/>
    <x v="0"/>
    <n v="12847.61"/>
    <x v="0"/>
    <n v="0.34008891809038277"/>
    <s v="No"/>
    <n v="1"/>
    <n v="0"/>
    <x v="0"/>
    <x v="3"/>
    <x v="1"/>
    <x v="0"/>
    <x v="2"/>
    <n v="0"/>
  </r>
  <r>
    <n v="629"/>
    <x v="2"/>
    <x v="1"/>
    <x v="18"/>
    <n v="6"/>
    <n v="0"/>
    <x v="1"/>
    <s v="Yes"/>
    <x v="1"/>
    <n v="16447.599999999999"/>
    <x v="0"/>
    <n v="5.3016656592631377E-2"/>
    <s v="No"/>
    <n v="1"/>
    <n v="0"/>
    <x v="1"/>
    <x v="1"/>
    <x v="1"/>
    <x v="0"/>
    <x v="2"/>
    <n v="0"/>
  </r>
  <r>
    <n v="640"/>
    <x v="2"/>
    <x v="0"/>
    <x v="0"/>
    <n v="7"/>
    <n v="111833.47"/>
    <x v="1"/>
    <s v="Yes"/>
    <x v="0"/>
    <n v="67202.740000000005"/>
    <x v="1"/>
    <n v="0.25208378856826452"/>
    <s v="No"/>
    <n v="0"/>
    <n v="0"/>
    <x v="0"/>
    <x v="0"/>
    <x v="0"/>
    <x v="0"/>
    <x v="3"/>
    <n v="1"/>
  </r>
  <r>
    <n v="735"/>
    <x v="1"/>
    <x v="1"/>
    <x v="12"/>
    <n v="9"/>
    <n v="98807.45"/>
    <x v="1"/>
    <s v="No"/>
    <x v="0"/>
    <n v="184570.04"/>
    <x v="0"/>
    <n v="0.53323457084549231"/>
    <s v="Yes"/>
    <n v="1"/>
    <n v="1"/>
    <x v="2"/>
    <x v="0"/>
    <x v="2"/>
    <x v="2"/>
    <x v="1"/>
    <n v="1"/>
  </r>
  <r>
    <n v="678"/>
    <x v="2"/>
    <x v="1"/>
    <x v="18"/>
    <n v="1"/>
    <n v="0"/>
    <x v="0"/>
    <s v="No"/>
    <x v="1"/>
    <n v="130446.65"/>
    <x v="1"/>
    <n v="5.5973373670547742E-2"/>
    <s v="No"/>
    <n v="0"/>
    <n v="0"/>
    <x v="1"/>
    <x v="1"/>
    <x v="1"/>
    <x v="0"/>
    <x v="0"/>
    <n v="1"/>
  </r>
  <r>
    <n v="640"/>
    <x v="2"/>
    <x v="1"/>
    <x v="24"/>
    <n v="6"/>
    <n v="107499.7"/>
    <x v="1"/>
    <s v="Yes"/>
    <x v="1"/>
    <n v="187632.22"/>
    <x v="1"/>
    <n v="6.9791655037820546E-2"/>
    <s v="No"/>
    <n v="0"/>
    <n v="0"/>
    <x v="1"/>
    <x v="2"/>
    <x v="0"/>
    <x v="0"/>
    <x v="1"/>
    <n v="1"/>
  </r>
  <r>
    <n v="736"/>
    <x v="2"/>
    <x v="1"/>
    <x v="24"/>
    <n v="9"/>
    <n v="0"/>
    <x v="0"/>
    <s v="Yes"/>
    <x v="0"/>
    <n v="34180.33"/>
    <x v="1"/>
    <n v="0.1096878021555095"/>
    <s v="No"/>
    <n v="0"/>
    <n v="0"/>
    <x v="1"/>
    <x v="2"/>
    <x v="1"/>
    <x v="2"/>
    <x v="2"/>
    <n v="1"/>
  </r>
  <r>
    <n v="496"/>
    <x v="2"/>
    <x v="1"/>
    <x v="6"/>
    <n v="1"/>
    <n v="176024.05"/>
    <x v="0"/>
    <s v="Yes"/>
    <x v="0"/>
    <n v="182337.98"/>
    <x v="1"/>
    <n v="0.39736852209899431"/>
    <s v="No"/>
    <n v="0"/>
    <n v="0"/>
    <x v="0"/>
    <x v="0"/>
    <x v="3"/>
    <x v="4"/>
    <x v="1"/>
    <n v="1"/>
  </r>
  <r>
    <n v="786"/>
    <x v="2"/>
    <x v="1"/>
    <x v="33"/>
    <n v="8"/>
    <n v="0"/>
    <x v="1"/>
    <s v="Yes"/>
    <x v="1"/>
    <n v="165702.64000000001"/>
    <x v="1"/>
    <n v="0.34216645181194572"/>
    <s v="No"/>
    <n v="0"/>
    <n v="0"/>
    <x v="0"/>
    <x v="4"/>
    <x v="1"/>
    <x v="2"/>
    <x v="1"/>
    <n v="1"/>
  </r>
  <r>
    <n v="572"/>
    <x v="2"/>
    <x v="1"/>
    <x v="2"/>
    <n v="7"/>
    <n v="0"/>
    <x v="0"/>
    <s v="Yes"/>
    <x v="1"/>
    <n v="133122.62"/>
    <x v="1"/>
    <n v="8.4448639182928678E-2"/>
    <s v="No"/>
    <n v="0"/>
    <n v="0"/>
    <x v="1"/>
    <x v="1"/>
    <x v="1"/>
    <x v="1"/>
    <x v="0"/>
    <n v="1"/>
  </r>
  <r>
    <n v="666"/>
    <x v="2"/>
    <x v="0"/>
    <x v="38"/>
    <n v="5"/>
    <n v="64646.7"/>
    <x v="1"/>
    <s v="Yes"/>
    <x v="0"/>
    <n v="128019.48"/>
    <x v="0"/>
    <n v="0.38029672116530561"/>
    <s v="No"/>
    <n v="1"/>
    <n v="0"/>
    <x v="0"/>
    <x v="3"/>
    <x v="2"/>
    <x v="0"/>
    <x v="0"/>
    <n v="0"/>
  </r>
  <r>
    <n v="430"/>
    <x v="2"/>
    <x v="0"/>
    <x v="22"/>
    <n v="1"/>
    <n v="118894.22"/>
    <x v="1"/>
    <s v="No"/>
    <x v="0"/>
    <n v="2923.61"/>
    <x v="1"/>
    <n v="0.18621392442038831"/>
    <s v="No"/>
    <n v="0"/>
    <n v="0"/>
    <x v="1"/>
    <x v="1"/>
    <x v="0"/>
    <x v="4"/>
    <x v="2"/>
    <n v="1"/>
  </r>
  <r>
    <n v="487"/>
    <x v="0"/>
    <x v="1"/>
    <x v="18"/>
    <n v="1"/>
    <n v="0"/>
    <x v="0"/>
    <s v="Yes"/>
    <x v="0"/>
    <n v="158750.13"/>
    <x v="1"/>
    <n v="0.17063517491295491"/>
    <s v="No"/>
    <n v="0"/>
    <n v="0"/>
    <x v="1"/>
    <x v="1"/>
    <x v="1"/>
    <x v="4"/>
    <x v="1"/>
    <n v="1"/>
  </r>
  <r>
    <n v="850"/>
    <x v="2"/>
    <x v="1"/>
    <x v="12"/>
    <n v="3"/>
    <n v="0"/>
    <x v="0"/>
    <s v="No"/>
    <x v="0"/>
    <n v="2465.8000000000002"/>
    <x v="1"/>
    <n v="0.25393173170965072"/>
    <s v="No"/>
    <n v="0"/>
    <n v="0"/>
    <x v="0"/>
    <x v="0"/>
    <x v="1"/>
    <x v="3"/>
    <x v="2"/>
    <n v="1"/>
  </r>
  <r>
    <n v="714"/>
    <x v="2"/>
    <x v="0"/>
    <x v="52"/>
    <n v="4"/>
    <n v="138082.16"/>
    <x v="1"/>
    <s v="No"/>
    <x v="1"/>
    <n v="166677.54"/>
    <x v="1"/>
    <n v="0.35263039067958801"/>
    <s v="No"/>
    <n v="0"/>
    <n v="0"/>
    <x v="0"/>
    <x v="4"/>
    <x v="0"/>
    <x v="2"/>
    <x v="1"/>
    <n v="1"/>
  </r>
  <r>
    <n v="670"/>
    <x v="0"/>
    <x v="0"/>
    <x v="22"/>
    <n v="2"/>
    <n v="124268.64"/>
    <x v="0"/>
    <s v="No"/>
    <x v="1"/>
    <n v="84321.03"/>
    <x v="1"/>
    <n v="5.9730032305798937E-2"/>
    <s v="No"/>
    <n v="0"/>
    <n v="0"/>
    <x v="1"/>
    <x v="1"/>
    <x v="0"/>
    <x v="0"/>
    <x v="3"/>
    <n v="1"/>
  </r>
  <r>
    <n v="660"/>
    <x v="1"/>
    <x v="0"/>
    <x v="23"/>
    <n v="5"/>
    <n v="85089.3"/>
    <x v="1"/>
    <s v="Yes"/>
    <x v="1"/>
    <n v="71638"/>
    <x v="1"/>
    <n v="5.1663882160908788E-2"/>
    <s v="No"/>
    <n v="0"/>
    <n v="0"/>
    <x v="1"/>
    <x v="2"/>
    <x v="2"/>
    <x v="0"/>
    <x v="3"/>
    <n v="1"/>
  </r>
  <r>
    <n v="844"/>
    <x v="2"/>
    <x v="0"/>
    <x v="2"/>
    <n v="7"/>
    <n v="111501.66"/>
    <x v="1"/>
    <s v="Yes"/>
    <x v="1"/>
    <n v="119333.38"/>
    <x v="1"/>
    <n v="6.098041554299316E-2"/>
    <s v="No"/>
    <n v="0"/>
    <n v="0"/>
    <x v="1"/>
    <x v="1"/>
    <x v="0"/>
    <x v="3"/>
    <x v="0"/>
    <n v="1"/>
  </r>
  <r>
    <n v="747"/>
    <x v="1"/>
    <x v="0"/>
    <x v="2"/>
    <n v="2"/>
    <n v="129728.6"/>
    <x v="1"/>
    <s v="Yes"/>
    <x v="0"/>
    <n v="89289.54"/>
    <x v="1"/>
    <n v="0.34085698986495472"/>
    <s v="No"/>
    <n v="0"/>
    <n v="0"/>
    <x v="0"/>
    <x v="1"/>
    <x v="0"/>
    <x v="2"/>
    <x v="3"/>
    <n v="1"/>
  </r>
  <r>
    <n v="644"/>
    <x v="1"/>
    <x v="1"/>
    <x v="21"/>
    <n v="4"/>
    <n v="77270.080000000002"/>
    <x v="0"/>
    <s v="Yes"/>
    <x v="1"/>
    <n v="115800.1"/>
    <x v="0"/>
    <n v="0.22323875117078851"/>
    <s v="No"/>
    <n v="1"/>
    <n v="0"/>
    <x v="0"/>
    <x v="1"/>
    <x v="2"/>
    <x v="0"/>
    <x v="0"/>
    <n v="0"/>
  </r>
  <r>
    <n v="738"/>
    <x v="2"/>
    <x v="0"/>
    <x v="9"/>
    <n v="6"/>
    <n v="106770.82"/>
    <x v="1"/>
    <s v="Yes"/>
    <x v="0"/>
    <n v="123499.27"/>
    <x v="1"/>
    <n v="0.32142105909088642"/>
    <s v="No"/>
    <n v="0"/>
    <n v="0"/>
    <x v="0"/>
    <x v="0"/>
    <x v="0"/>
    <x v="2"/>
    <x v="0"/>
    <n v="1"/>
  </r>
  <r>
    <n v="710"/>
    <x v="2"/>
    <x v="0"/>
    <x v="24"/>
    <n v="6"/>
    <n v="0"/>
    <x v="0"/>
    <s v="Yes"/>
    <x v="1"/>
    <n v="8991.17"/>
    <x v="1"/>
    <n v="2.4891979421982239E-2"/>
    <s v="No"/>
    <n v="0"/>
    <n v="0"/>
    <x v="1"/>
    <x v="2"/>
    <x v="1"/>
    <x v="2"/>
    <x v="2"/>
    <n v="1"/>
  </r>
  <r>
    <n v="820"/>
    <x v="2"/>
    <x v="0"/>
    <x v="5"/>
    <n v="2"/>
    <n v="132150.26"/>
    <x v="0"/>
    <s v="Yes"/>
    <x v="0"/>
    <n v="23067.97"/>
    <x v="1"/>
    <n v="0.11891131730147279"/>
    <s v="No"/>
    <n v="0"/>
    <n v="0"/>
    <x v="1"/>
    <x v="1"/>
    <x v="0"/>
    <x v="3"/>
    <x v="2"/>
    <n v="1"/>
  </r>
  <r>
    <n v="690"/>
    <x v="2"/>
    <x v="1"/>
    <x v="27"/>
    <n v="5"/>
    <n v="157624.84"/>
    <x v="1"/>
    <s v="Yes"/>
    <x v="1"/>
    <n v="49599.27"/>
    <x v="1"/>
    <n v="5.4784412604178677E-2"/>
    <s v="No"/>
    <n v="0"/>
    <n v="0"/>
    <x v="1"/>
    <x v="2"/>
    <x v="3"/>
    <x v="0"/>
    <x v="2"/>
    <n v="1"/>
  </r>
  <r>
    <n v="624"/>
    <x v="2"/>
    <x v="1"/>
    <x v="33"/>
    <n v="7"/>
    <n v="125163.62"/>
    <x v="0"/>
    <s v="Yes"/>
    <x v="1"/>
    <n v="151411.5"/>
    <x v="1"/>
    <n v="0.42337865220727389"/>
    <s v="No"/>
    <n v="0"/>
    <n v="0"/>
    <x v="0"/>
    <x v="4"/>
    <x v="0"/>
    <x v="0"/>
    <x v="1"/>
    <n v="1"/>
  </r>
  <r>
    <n v="694"/>
    <x v="2"/>
    <x v="0"/>
    <x v="37"/>
    <n v="9"/>
    <n v="0"/>
    <x v="1"/>
    <s v="Yes"/>
    <x v="1"/>
    <n v="57088.97"/>
    <x v="1"/>
    <n v="0.20327105560632711"/>
    <s v="No"/>
    <n v="0"/>
    <n v="0"/>
    <x v="0"/>
    <x v="3"/>
    <x v="1"/>
    <x v="0"/>
    <x v="3"/>
    <n v="1"/>
  </r>
  <r>
    <n v="430"/>
    <x v="1"/>
    <x v="0"/>
    <x v="28"/>
    <n v="1"/>
    <n v="138992.48000000001"/>
    <x v="0"/>
    <s v="No"/>
    <x v="0"/>
    <n v="122373.42"/>
    <x v="1"/>
    <n v="0.35501059993654938"/>
    <s v="No"/>
    <n v="0"/>
    <n v="0"/>
    <x v="0"/>
    <x v="1"/>
    <x v="0"/>
    <x v="4"/>
    <x v="0"/>
    <n v="1"/>
  </r>
  <r>
    <n v="711"/>
    <x v="2"/>
    <x v="1"/>
    <x v="11"/>
    <n v="8"/>
    <n v="113899.92"/>
    <x v="1"/>
    <s v="No"/>
    <x v="0"/>
    <n v="80215.199999999997"/>
    <x v="1"/>
    <n v="0.2531085406139269"/>
    <s v="No"/>
    <n v="0"/>
    <n v="0"/>
    <x v="0"/>
    <x v="1"/>
    <x v="0"/>
    <x v="2"/>
    <x v="3"/>
    <n v="1"/>
  </r>
  <r>
    <n v="612"/>
    <x v="2"/>
    <x v="1"/>
    <x v="3"/>
    <n v="10"/>
    <n v="75497.509999999995"/>
    <x v="1"/>
    <s v="No"/>
    <x v="0"/>
    <n v="149682.78"/>
    <x v="1"/>
    <n v="0.32216574901570888"/>
    <s v="No"/>
    <n v="0"/>
    <n v="0"/>
    <x v="0"/>
    <x v="0"/>
    <x v="2"/>
    <x v="0"/>
    <x v="0"/>
    <n v="1"/>
  </r>
  <r>
    <n v="593"/>
    <x v="2"/>
    <x v="1"/>
    <x v="10"/>
    <n v="0"/>
    <n v="117704.73"/>
    <x v="1"/>
    <s v="Yes"/>
    <x v="0"/>
    <n v="197933.5"/>
    <x v="1"/>
    <n v="0.34285186947207491"/>
    <s v="No"/>
    <n v="0"/>
    <n v="0"/>
    <x v="0"/>
    <x v="1"/>
    <x v="0"/>
    <x v="1"/>
    <x v="1"/>
    <n v="1"/>
  </r>
  <r>
    <n v="731"/>
    <x v="1"/>
    <x v="1"/>
    <x v="12"/>
    <n v="9"/>
    <n v="79120.27"/>
    <x v="1"/>
    <s v="No"/>
    <x v="0"/>
    <n v="548.52"/>
    <x v="0"/>
    <n v="0.49548101338046169"/>
    <s v="No"/>
    <n v="1"/>
    <n v="0"/>
    <x v="0"/>
    <x v="0"/>
    <x v="2"/>
    <x v="2"/>
    <x v="2"/>
    <n v="0"/>
  </r>
  <r>
    <n v="587"/>
    <x v="1"/>
    <x v="1"/>
    <x v="11"/>
    <n v="6"/>
    <n v="104414.03"/>
    <x v="1"/>
    <s v="Yes"/>
    <x v="0"/>
    <n v="192026.02"/>
    <x v="1"/>
    <n v="0.45946216383126942"/>
    <s v="No"/>
    <n v="0"/>
    <n v="0"/>
    <x v="0"/>
    <x v="1"/>
    <x v="0"/>
    <x v="1"/>
    <x v="1"/>
    <n v="1"/>
  </r>
  <r>
    <n v="571"/>
    <x v="2"/>
    <x v="0"/>
    <x v="6"/>
    <n v="8"/>
    <n v="0"/>
    <x v="1"/>
    <s v="Yes"/>
    <x v="1"/>
    <n v="63736.17"/>
    <x v="1"/>
    <n v="6.5181244662080084E-2"/>
    <s v="No"/>
    <n v="0"/>
    <n v="0"/>
    <x v="1"/>
    <x v="0"/>
    <x v="1"/>
    <x v="1"/>
    <x v="3"/>
    <n v="1"/>
  </r>
  <r>
    <n v="700"/>
    <x v="2"/>
    <x v="1"/>
    <x v="25"/>
    <n v="3"/>
    <n v="0"/>
    <x v="1"/>
    <s v="No"/>
    <x v="0"/>
    <n v="95740.37"/>
    <x v="1"/>
    <n v="0.16355226305719839"/>
    <s v="No"/>
    <n v="0"/>
    <n v="0"/>
    <x v="1"/>
    <x v="1"/>
    <x v="1"/>
    <x v="0"/>
    <x v="3"/>
    <n v="1"/>
  </r>
  <r>
    <n v="596"/>
    <x v="2"/>
    <x v="0"/>
    <x v="28"/>
    <n v="2"/>
    <n v="0"/>
    <x v="0"/>
    <s v="Yes"/>
    <x v="1"/>
    <n v="12067.39"/>
    <x v="1"/>
    <n v="4.460637647144728E-2"/>
    <s v="No"/>
    <n v="0"/>
    <n v="0"/>
    <x v="1"/>
    <x v="1"/>
    <x v="1"/>
    <x v="1"/>
    <x v="2"/>
    <n v="1"/>
  </r>
  <r>
    <n v="850"/>
    <x v="1"/>
    <x v="1"/>
    <x v="24"/>
    <n v="8"/>
    <n v="154870.28"/>
    <x v="1"/>
    <s v="Yes"/>
    <x v="1"/>
    <n v="54191.38"/>
    <x v="1"/>
    <n v="0.1258317900155225"/>
    <s v="No"/>
    <n v="0"/>
    <n v="0"/>
    <x v="1"/>
    <x v="2"/>
    <x v="3"/>
    <x v="3"/>
    <x v="3"/>
    <n v="1"/>
  </r>
  <r>
    <n v="713"/>
    <x v="2"/>
    <x v="0"/>
    <x v="5"/>
    <n v="6"/>
    <n v="94598.48"/>
    <x v="1"/>
    <s v="No"/>
    <x v="0"/>
    <n v="197519.66"/>
    <x v="0"/>
    <n v="0.1333390624851116"/>
    <s v="No"/>
    <n v="1"/>
    <n v="0"/>
    <x v="1"/>
    <x v="1"/>
    <x v="2"/>
    <x v="2"/>
    <x v="1"/>
    <n v="0"/>
  </r>
  <r>
    <n v="773"/>
    <x v="2"/>
    <x v="1"/>
    <x v="21"/>
    <n v="10"/>
    <n v="0"/>
    <x v="0"/>
    <s v="No"/>
    <x v="1"/>
    <n v="69303.149999999994"/>
    <x v="1"/>
    <n v="8.0364196155138568E-2"/>
    <s v="No"/>
    <n v="0"/>
    <n v="0"/>
    <x v="1"/>
    <x v="1"/>
    <x v="1"/>
    <x v="2"/>
    <x v="3"/>
    <n v="1"/>
  </r>
  <r>
    <n v="697"/>
    <x v="0"/>
    <x v="1"/>
    <x v="11"/>
    <n v="7"/>
    <n v="168066.87"/>
    <x v="1"/>
    <s v="Yes"/>
    <x v="0"/>
    <n v="35450.53"/>
    <x v="1"/>
    <n v="0.28270838220907868"/>
    <s v="No"/>
    <n v="0"/>
    <n v="0"/>
    <x v="0"/>
    <x v="1"/>
    <x v="3"/>
    <x v="0"/>
    <x v="2"/>
    <n v="1"/>
  </r>
  <r>
    <n v="820"/>
    <x v="2"/>
    <x v="1"/>
    <x v="9"/>
    <n v="1"/>
    <n v="0"/>
    <x v="0"/>
    <s v="Yes"/>
    <x v="1"/>
    <n v="119087.25"/>
    <x v="1"/>
    <n v="0.16379182598204919"/>
    <s v="No"/>
    <n v="0"/>
    <n v="0"/>
    <x v="1"/>
    <x v="0"/>
    <x v="1"/>
    <x v="3"/>
    <x v="0"/>
    <n v="1"/>
  </r>
  <r>
    <n v="720"/>
    <x v="0"/>
    <x v="0"/>
    <x v="5"/>
    <n v="6"/>
    <n v="97188.62"/>
    <x v="1"/>
    <s v="No"/>
    <x v="0"/>
    <n v="91881.29"/>
    <x v="1"/>
    <n v="0.13118018242084539"/>
    <s v="No"/>
    <n v="0"/>
    <n v="0"/>
    <x v="1"/>
    <x v="1"/>
    <x v="2"/>
    <x v="2"/>
    <x v="3"/>
    <n v="1"/>
  </r>
  <r>
    <n v="593"/>
    <x v="0"/>
    <x v="0"/>
    <x v="12"/>
    <n v="10"/>
    <n v="0"/>
    <x v="0"/>
    <s v="No"/>
    <x v="0"/>
    <n v="53478.02"/>
    <x v="1"/>
    <n v="0.1796313314880586"/>
    <s v="No"/>
    <n v="0"/>
    <n v="0"/>
    <x v="1"/>
    <x v="0"/>
    <x v="1"/>
    <x v="1"/>
    <x v="3"/>
    <n v="1"/>
  </r>
  <r>
    <n v="570"/>
    <x v="1"/>
    <x v="0"/>
    <x v="22"/>
    <n v="6"/>
    <n v="85668.59"/>
    <x v="1"/>
    <s v="Yes"/>
    <x v="0"/>
    <n v="105525.36"/>
    <x v="1"/>
    <n v="0.28025907130410099"/>
    <s v="No"/>
    <n v="0"/>
    <n v="0"/>
    <x v="0"/>
    <x v="1"/>
    <x v="2"/>
    <x v="1"/>
    <x v="0"/>
    <n v="1"/>
  </r>
  <r>
    <n v="686"/>
    <x v="2"/>
    <x v="1"/>
    <x v="6"/>
    <n v="7"/>
    <n v="152105.57"/>
    <x v="0"/>
    <s v="No"/>
    <x v="1"/>
    <n v="132374.41"/>
    <x v="1"/>
    <n v="0.14011827883549441"/>
    <s v="No"/>
    <n v="0"/>
    <n v="0"/>
    <x v="1"/>
    <x v="0"/>
    <x v="3"/>
    <x v="0"/>
    <x v="0"/>
    <n v="1"/>
  </r>
  <r>
    <n v="646"/>
    <x v="1"/>
    <x v="1"/>
    <x v="24"/>
    <n v="10"/>
    <n v="100548.67"/>
    <x v="0"/>
    <s v="No"/>
    <x v="0"/>
    <n v="136983.76999999999"/>
    <x v="1"/>
    <n v="0.28645413584314211"/>
    <s v="No"/>
    <n v="0"/>
    <n v="0"/>
    <x v="0"/>
    <x v="2"/>
    <x v="0"/>
    <x v="0"/>
    <x v="0"/>
    <n v="1"/>
  </r>
  <r>
    <n v="661"/>
    <x v="0"/>
    <x v="1"/>
    <x v="6"/>
    <n v="5"/>
    <n v="28082.95"/>
    <x v="1"/>
    <s v="Yes"/>
    <x v="0"/>
    <n v="69586.27"/>
    <x v="0"/>
    <n v="0.28611960008718051"/>
    <s v="No"/>
    <n v="1"/>
    <n v="0"/>
    <x v="0"/>
    <x v="0"/>
    <x v="4"/>
    <x v="0"/>
    <x v="3"/>
    <n v="0"/>
  </r>
  <r>
    <n v="835"/>
    <x v="2"/>
    <x v="0"/>
    <x v="22"/>
    <n v="6"/>
    <n v="127120.07"/>
    <x v="1"/>
    <s v="Yes"/>
    <x v="0"/>
    <n v="28707.69"/>
    <x v="1"/>
    <n v="0.13580237076593579"/>
    <s v="No"/>
    <n v="0"/>
    <n v="0"/>
    <x v="1"/>
    <x v="1"/>
    <x v="0"/>
    <x v="3"/>
    <x v="2"/>
    <n v="1"/>
  </r>
  <r>
    <n v="408"/>
    <x v="2"/>
    <x v="1"/>
    <x v="57"/>
    <n v="8"/>
    <n v="87873.39"/>
    <x v="1"/>
    <s v="No"/>
    <x v="0"/>
    <n v="188484.52"/>
    <x v="0"/>
    <n v="0.9307629923629509"/>
    <s v="Yes"/>
    <n v="1"/>
    <n v="1"/>
    <x v="2"/>
    <x v="4"/>
    <x v="2"/>
    <x v="4"/>
    <x v="1"/>
    <n v="1"/>
  </r>
  <r>
    <n v="695"/>
    <x v="2"/>
    <x v="1"/>
    <x v="3"/>
    <n v="5"/>
    <n v="0"/>
    <x v="1"/>
    <s v="No"/>
    <x v="1"/>
    <n v="72172.13"/>
    <x v="0"/>
    <n v="0.1159590348020425"/>
    <s v="No"/>
    <n v="1"/>
    <n v="0"/>
    <x v="1"/>
    <x v="0"/>
    <x v="1"/>
    <x v="0"/>
    <x v="3"/>
    <n v="0"/>
  </r>
  <r>
    <n v="677"/>
    <x v="1"/>
    <x v="1"/>
    <x v="0"/>
    <n v="4"/>
    <n v="148770.60999999999"/>
    <x v="0"/>
    <s v="Yes"/>
    <x v="1"/>
    <n v="191057.76"/>
    <x v="1"/>
    <n v="0.32161791952306479"/>
    <s v="No"/>
    <n v="0"/>
    <n v="0"/>
    <x v="0"/>
    <x v="0"/>
    <x v="0"/>
    <x v="0"/>
    <x v="1"/>
    <n v="1"/>
  </r>
  <r>
    <n v="602"/>
    <x v="2"/>
    <x v="0"/>
    <x v="31"/>
    <n v="7"/>
    <n v="0"/>
    <x v="0"/>
    <s v="Yes"/>
    <x v="1"/>
    <n v="162347.04999999999"/>
    <x v="1"/>
    <n v="0.2007810944501279"/>
    <s v="No"/>
    <n v="0"/>
    <n v="0"/>
    <x v="0"/>
    <x v="3"/>
    <x v="1"/>
    <x v="0"/>
    <x v="1"/>
    <n v="1"/>
  </r>
  <r>
    <n v="672"/>
    <x v="2"/>
    <x v="0"/>
    <x v="12"/>
    <n v="5"/>
    <n v="0"/>
    <x v="1"/>
    <s v="No"/>
    <x v="0"/>
    <n v="63833.09"/>
    <x v="1"/>
    <n v="0.19724203523281511"/>
    <s v="No"/>
    <n v="0"/>
    <n v="0"/>
    <x v="1"/>
    <x v="0"/>
    <x v="1"/>
    <x v="0"/>
    <x v="3"/>
    <n v="1"/>
  </r>
  <r>
    <n v="590"/>
    <x v="2"/>
    <x v="1"/>
    <x v="37"/>
    <n v="6"/>
    <n v="147751.75"/>
    <x v="1"/>
    <s v="Yes"/>
    <x v="0"/>
    <n v="88206.04"/>
    <x v="0"/>
    <n v="0.69063318361912518"/>
    <s v="Yes"/>
    <n v="1"/>
    <n v="1"/>
    <x v="2"/>
    <x v="3"/>
    <x v="0"/>
    <x v="1"/>
    <x v="3"/>
    <n v="1"/>
  </r>
  <r>
    <n v="765"/>
    <x v="2"/>
    <x v="0"/>
    <x v="6"/>
    <n v="4"/>
    <n v="124182.21"/>
    <x v="1"/>
    <s v="No"/>
    <x v="0"/>
    <n v="100153.43"/>
    <x v="1"/>
    <n v="0.22200293847077451"/>
    <s v="No"/>
    <n v="0"/>
    <n v="0"/>
    <x v="0"/>
    <x v="0"/>
    <x v="0"/>
    <x v="2"/>
    <x v="0"/>
    <n v="1"/>
  </r>
  <r>
    <n v="817"/>
    <x v="2"/>
    <x v="0"/>
    <x v="0"/>
    <n v="8"/>
    <n v="0"/>
    <x v="1"/>
    <s v="No"/>
    <x v="0"/>
    <n v="65501.91"/>
    <x v="0"/>
    <n v="0.18415517927166791"/>
    <s v="No"/>
    <n v="1"/>
    <n v="0"/>
    <x v="1"/>
    <x v="0"/>
    <x v="1"/>
    <x v="3"/>
    <x v="3"/>
    <n v="0"/>
  </r>
  <r>
    <n v="714"/>
    <x v="0"/>
    <x v="0"/>
    <x v="58"/>
    <n v="3"/>
    <n v="0"/>
    <x v="0"/>
    <s v="No"/>
    <x v="1"/>
    <n v="150465.93"/>
    <x v="1"/>
    <n v="1.4751474332607919E-2"/>
    <s v="No"/>
    <n v="0"/>
    <n v="0"/>
    <x v="1"/>
    <x v="2"/>
    <x v="1"/>
    <x v="2"/>
    <x v="1"/>
    <n v="1"/>
  </r>
  <r>
    <n v="664"/>
    <x v="1"/>
    <x v="0"/>
    <x v="28"/>
    <n v="6"/>
    <n v="71142.77"/>
    <x v="0"/>
    <s v="Yes"/>
    <x v="0"/>
    <n v="122433.09"/>
    <x v="1"/>
    <n v="0.25615273269412109"/>
    <s v="No"/>
    <n v="0"/>
    <n v="0"/>
    <x v="0"/>
    <x v="1"/>
    <x v="2"/>
    <x v="0"/>
    <x v="0"/>
    <n v="1"/>
  </r>
  <r>
    <n v="697"/>
    <x v="1"/>
    <x v="0"/>
    <x v="18"/>
    <n v="3"/>
    <n v="108805.42"/>
    <x v="0"/>
    <s v="No"/>
    <x v="1"/>
    <n v="123825.83"/>
    <x v="1"/>
    <n v="8.6371129800755883E-2"/>
    <s v="No"/>
    <n v="0"/>
    <n v="0"/>
    <x v="1"/>
    <x v="1"/>
    <x v="0"/>
    <x v="0"/>
    <x v="0"/>
    <n v="1"/>
  </r>
  <r>
    <n v="704"/>
    <x v="1"/>
    <x v="1"/>
    <x v="10"/>
    <n v="1"/>
    <n v="124640.51"/>
    <x v="1"/>
    <s v="Yes"/>
    <x v="0"/>
    <n v="116511.12"/>
    <x v="0"/>
    <n v="0.50339717597553202"/>
    <s v="Yes"/>
    <n v="1"/>
    <n v="1"/>
    <x v="2"/>
    <x v="1"/>
    <x v="0"/>
    <x v="2"/>
    <x v="0"/>
    <n v="1"/>
  </r>
  <r>
    <n v="778"/>
    <x v="1"/>
    <x v="0"/>
    <x v="18"/>
    <n v="9"/>
    <n v="182275.23"/>
    <x v="0"/>
    <s v="Yes"/>
    <x v="0"/>
    <n v="190631.23"/>
    <x v="1"/>
    <n v="0.22302420112828811"/>
    <s v="No"/>
    <n v="0"/>
    <n v="0"/>
    <x v="0"/>
    <x v="1"/>
    <x v="3"/>
    <x v="2"/>
    <x v="1"/>
    <n v="1"/>
  </r>
  <r>
    <n v="686"/>
    <x v="2"/>
    <x v="0"/>
    <x v="22"/>
    <n v="4"/>
    <n v="0"/>
    <x v="1"/>
    <s v="Yes"/>
    <x v="0"/>
    <n v="8816.3700000000008"/>
    <x v="1"/>
    <n v="0.11420749323044881"/>
    <s v="No"/>
    <n v="0"/>
    <n v="0"/>
    <x v="1"/>
    <x v="1"/>
    <x v="1"/>
    <x v="0"/>
    <x v="2"/>
    <n v="1"/>
  </r>
  <r>
    <n v="721"/>
    <x v="2"/>
    <x v="0"/>
    <x v="6"/>
    <n v="2"/>
    <n v="0"/>
    <x v="0"/>
    <s v="Yes"/>
    <x v="0"/>
    <n v="168219.75"/>
    <x v="1"/>
    <n v="0.167480199316765"/>
    <s v="No"/>
    <n v="0"/>
    <n v="0"/>
    <x v="1"/>
    <x v="0"/>
    <x v="1"/>
    <x v="2"/>
    <x v="1"/>
    <n v="1"/>
  </r>
  <r>
    <n v="489"/>
    <x v="0"/>
    <x v="0"/>
    <x v="21"/>
    <n v="3"/>
    <n v="221532.79999999999"/>
    <x v="1"/>
    <s v="Yes"/>
    <x v="0"/>
    <n v="171867.08"/>
    <x v="1"/>
    <n v="0.30607973762151169"/>
    <s v="No"/>
    <n v="0"/>
    <n v="0"/>
    <x v="0"/>
    <x v="1"/>
    <x v="3"/>
    <x v="4"/>
    <x v="1"/>
    <n v="1"/>
  </r>
  <r>
    <n v="677"/>
    <x v="2"/>
    <x v="0"/>
    <x v="11"/>
    <n v="3"/>
    <n v="88363.03"/>
    <x v="1"/>
    <s v="No"/>
    <x v="1"/>
    <n v="117946.3"/>
    <x v="1"/>
    <n v="6.6481322442686466E-2"/>
    <s v="No"/>
    <n v="0"/>
    <n v="0"/>
    <x v="1"/>
    <x v="1"/>
    <x v="2"/>
    <x v="0"/>
    <x v="0"/>
    <n v="1"/>
  </r>
  <r>
    <n v="613"/>
    <x v="2"/>
    <x v="0"/>
    <x v="6"/>
    <n v="7"/>
    <n v="0"/>
    <x v="0"/>
    <s v="Yes"/>
    <x v="0"/>
    <n v="60297.72"/>
    <x v="1"/>
    <n v="0.15602073969806779"/>
    <s v="No"/>
    <n v="0"/>
    <n v="0"/>
    <x v="1"/>
    <x v="0"/>
    <x v="1"/>
    <x v="0"/>
    <x v="3"/>
    <n v="1"/>
  </r>
  <r>
    <n v="506"/>
    <x v="2"/>
    <x v="1"/>
    <x v="26"/>
    <n v="6"/>
    <n v="0"/>
    <x v="0"/>
    <s v="No"/>
    <x v="1"/>
    <n v="194421.12"/>
    <x v="0"/>
    <n v="0.30037276890684811"/>
    <s v="No"/>
    <n v="1"/>
    <n v="0"/>
    <x v="0"/>
    <x v="3"/>
    <x v="1"/>
    <x v="1"/>
    <x v="1"/>
    <n v="0"/>
  </r>
  <r>
    <n v="682"/>
    <x v="2"/>
    <x v="0"/>
    <x v="11"/>
    <n v="5"/>
    <n v="0"/>
    <x v="0"/>
    <s v="No"/>
    <x v="1"/>
    <n v="112554.68"/>
    <x v="1"/>
    <n v="4.6498414815992713E-2"/>
    <s v="No"/>
    <n v="0"/>
    <n v="0"/>
    <x v="1"/>
    <x v="1"/>
    <x v="1"/>
    <x v="0"/>
    <x v="0"/>
    <n v="1"/>
  </r>
  <r>
    <n v="635"/>
    <x v="0"/>
    <x v="1"/>
    <x v="11"/>
    <n v="3"/>
    <n v="0"/>
    <x v="0"/>
    <s v="Yes"/>
    <x v="0"/>
    <n v="91086.73"/>
    <x v="1"/>
    <n v="0.21130630985606871"/>
    <s v="No"/>
    <n v="0"/>
    <n v="0"/>
    <x v="0"/>
    <x v="1"/>
    <x v="1"/>
    <x v="0"/>
    <x v="3"/>
    <n v="1"/>
  </r>
  <r>
    <n v="664"/>
    <x v="1"/>
    <x v="0"/>
    <x v="36"/>
    <n v="6"/>
    <n v="172812.72"/>
    <x v="0"/>
    <s v="Yes"/>
    <x v="1"/>
    <n v="108008.65"/>
    <x v="1"/>
    <n v="6.2128044590310162E-2"/>
    <s v="No"/>
    <n v="0"/>
    <n v="0"/>
    <x v="1"/>
    <x v="2"/>
    <x v="3"/>
    <x v="0"/>
    <x v="0"/>
    <n v="1"/>
  </r>
  <r>
    <n v="592"/>
    <x v="0"/>
    <x v="0"/>
    <x v="45"/>
    <n v="8"/>
    <n v="85845.43"/>
    <x v="0"/>
    <s v="Yes"/>
    <x v="1"/>
    <n v="128918.42"/>
    <x v="1"/>
    <n v="0.19030307530437171"/>
    <s v="No"/>
    <n v="0"/>
    <n v="0"/>
    <x v="1"/>
    <x v="3"/>
    <x v="2"/>
    <x v="1"/>
    <x v="0"/>
    <n v="1"/>
  </r>
  <r>
    <n v="671"/>
    <x v="2"/>
    <x v="1"/>
    <x v="20"/>
    <n v="8"/>
    <n v="115713.84"/>
    <x v="0"/>
    <s v="No"/>
    <x v="0"/>
    <n v="83210.84"/>
    <x v="1"/>
    <n v="0.41636398201526359"/>
    <s v="No"/>
    <n v="0"/>
    <n v="0"/>
    <x v="0"/>
    <x v="0"/>
    <x v="0"/>
    <x v="0"/>
    <x v="3"/>
    <n v="1"/>
  </r>
  <r>
    <n v="560"/>
    <x v="0"/>
    <x v="1"/>
    <x v="27"/>
    <n v="3"/>
    <n v="116576.45"/>
    <x v="1"/>
    <s v="Yes"/>
    <x v="0"/>
    <n v="157567.37"/>
    <x v="1"/>
    <n v="0.16299337433765279"/>
    <s v="No"/>
    <n v="0"/>
    <n v="0"/>
    <x v="1"/>
    <x v="2"/>
    <x v="0"/>
    <x v="1"/>
    <x v="1"/>
    <n v="1"/>
  </r>
  <r>
    <n v="827"/>
    <x v="1"/>
    <x v="1"/>
    <x v="35"/>
    <n v="8"/>
    <n v="143001.5"/>
    <x v="0"/>
    <s v="Yes"/>
    <x v="0"/>
    <n v="108977.5"/>
    <x v="1"/>
    <n v="0.57972036854837017"/>
    <s v="Yes"/>
    <n v="0"/>
    <n v="1"/>
    <x v="2"/>
    <x v="0"/>
    <x v="0"/>
    <x v="3"/>
    <x v="0"/>
    <n v="0"/>
  </r>
  <r>
    <n v="740"/>
    <x v="2"/>
    <x v="1"/>
    <x v="11"/>
    <n v="5"/>
    <n v="0"/>
    <x v="0"/>
    <s v="Yes"/>
    <x v="1"/>
    <n v="27528.400000000001"/>
    <x v="1"/>
    <n v="6.9578078055884077E-2"/>
    <s v="No"/>
    <n v="0"/>
    <n v="0"/>
    <x v="1"/>
    <x v="1"/>
    <x v="1"/>
    <x v="2"/>
    <x v="2"/>
    <n v="1"/>
  </r>
  <r>
    <n v="663"/>
    <x v="0"/>
    <x v="0"/>
    <x v="18"/>
    <n v="4"/>
    <n v="103430.11"/>
    <x v="0"/>
    <s v="No"/>
    <x v="1"/>
    <n v="36479.269999999997"/>
    <x v="1"/>
    <n v="4.039525582095977E-2"/>
    <s v="No"/>
    <n v="0"/>
    <n v="0"/>
    <x v="1"/>
    <x v="1"/>
    <x v="0"/>
    <x v="0"/>
    <x v="2"/>
    <n v="1"/>
  </r>
  <r>
    <n v="597"/>
    <x v="2"/>
    <x v="0"/>
    <x v="6"/>
    <n v="4"/>
    <n v="153198.23000000001"/>
    <x v="1"/>
    <s v="Yes"/>
    <x v="1"/>
    <n v="92090.36"/>
    <x v="1"/>
    <n v="0.1007327351015474"/>
    <s v="No"/>
    <n v="0"/>
    <n v="0"/>
    <x v="1"/>
    <x v="0"/>
    <x v="3"/>
    <x v="1"/>
    <x v="3"/>
    <n v="1"/>
  </r>
  <r>
    <n v="542"/>
    <x v="1"/>
    <x v="0"/>
    <x v="5"/>
    <n v="8"/>
    <n v="142871.26999999999"/>
    <x v="0"/>
    <s v="No"/>
    <x v="0"/>
    <n v="77737.86"/>
    <x v="1"/>
    <n v="0.25921745757534909"/>
    <s v="No"/>
    <n v="0"/>
    <n v="0"/>
    <x v="0"/>
    <x v="1"/>
    <x v="0"/>
    <x v="1"/>
    <x v="3"/>
    <n v="1"/>
  </r>
  <r>
    <n v="754"/>
    <x v="1"/>
    <x v="0"/>
    <x v="22"/>
    <n v="6"/>
    <n v="98585.94"/>
    <x v="0"/>
    <s v="No"/>
    <x v="1"/>
    <n v="106116.84"/>
    <x v="1"/>
    <n v="9.9928549927377056E-2"/>
    <s v="No"/>
    <n v="0"/>
    <n v="0"/>
    <x v="1"/>
    <x v="1"/>
    <x v="2"/>
    <x v="2"/>
    <x v="0"/>
    <n v="1"/>
  </r>
  <r>
    <n v="750"/>
    <x v="2"/>
    <x v="1"/>
    <x v="11"/>
    <n v="6"/>
    <n v="0"/>
    <x v="1"/>
    <s v="Yes"/>
    <x v="1"/>
    <n v="117948"/>
    <x v="0"/>
    <n v="7.8297908449908041E-2"/>
    <s v="No"/>
    <n v="1"/>
    <n v="0"/>
    <x v="1"/>
    <x v="1"/>
    <x v="1"/>
    <x v="2"/>
    <x v="0"/>
    <n v="0"/>
  </r>
  <r>
    <n v="699"/>
    <x v="2"/>
    <x v="1"/>
    <x v="12"/>
    <n v="3"/>
    <n v="80764.03"/>
    <x v="1"/>
    <s v="Yes"/>
    <x v="0"/>
    <n v="199378.58"/>
    <x v="0"/>
    <n v="0.35839841643557813"/>
    <s v="No"/>
    <n v="1"/>
    <n v="0"/>
    <x v="0"/>
    <x v="0"/>
    <x v="2"/>
    <x v="0"/>
    <x v="1"/>
    <n v="0"/>
  </r>
  <r>
    <n v="497"/>
    <x v="1"/>
    <x v="0"/>
    <x v="22"/>
    <n v="7"/>
    <n v="110053.62"/>
    <x v="0"/>
    <s v="Yes"/>
    <x v="1"/>
    <n v="92887.06"/>
    <x v="1"/>
    <n v="0.11407538100375569"/>
    <s v="No"/>
    <n v="0"/>
    <n v="0"/>
    <x v="1"/>
    <x v="1"/>
    <x v="0"/>
    <x v="4"/>
    <x v="3"/>
    <n v="1"/>
  </r>
  <r>
    <n v="701"/>
    <x v="0"/>
    <x v="1"/>
    <x v="13"/>
    <n v="9"/>
    <n v="0"/>
    <x v="0"/>
    <s v="Yes"/>
    <x v="1"/>
    <n v="26327.42"/>
    <x v="1"/>
    <n v="2.206442733457754E-2"/>
    <s v="No"/>
    <n v="0"/>
    <n v="0"/>
    <x v="1"/>
    <x v="2"/>
    <x v="1"/>
    <x v="2"/>
    <x v="2"/>
    <n v="1"/>
  </r>
  <r>
    <n v="727"/>
    <x v="2"/>
    <x v="0"/>
    <x v="25"/>
    <n v="1"/>
    <n v="59271.82"/>
    <x v="1"/>
    <s v="Yes"/>
    <x v="1"/>
    <n v="46019.43"/>
    <x v="1"/>
    <n v="4.0898647879663033E-2"/>
    <s v="No"/>
    <n v="0"/>
    <n v="0"/>
    <x v="1"/>
    <x v="1"/>
    <x v="2"/>
    <x v="2"/>
    <x v="2"/>
    <n v="1"/>
  </r>
  <r>
    <n v="745"/>
    <x v="1"/>
    <x v="0"/>
    <x v="20"/>
    <n v="10"/>
    <n v="96048.55"/>
    <x v="1"/>
    <s v="Yes"/>
    <x v="0"/>
    <n v="74510.649999999994"/>
    <x v="1"/>
    <n v="0.45709986622044207"/>
    <s v="No"/>
    <n v="0"/>
    <n v="0"/>
    <x v="0"/>
    <x v="0"/>
    <x v="2"/>
    <x v="2"/>
    <x v="3"/>
    <n v="1"/>
  </r>
  <r>
    <n v="678"/>
    <x v="2"/>
    <x v="1"/>
    <x v="15"/>
    <n v="6"/>
    <n v="118064.93"/>
    <x v="0"/>
    <s v="Yes"/>
    <x v="1"/>
    <n v="195424.01"/>
    <x v="1"/>
    <n v="3.6263141784980399E-2"/>
    <s v="No"/>
    <n v="0"/>
    <n v="0"/>
    <x v="1"/>
    <x v="2"/>
    <x v="0"/>
    <x v="0"/>
    <x v="1"/>
    <n v="1"/>
  </r>
  <r>
    <n v="652"/>
    <x v="0"/>
    <x v="1"/>
    <x v="3"/>
    <n v="3"/>
    <n v="83492.070000000007"/>
    <x v="0"/>
    <s v="Yes"/>
    <x v="0"/>
    <n v="37914.120000000003"/>
    <x v="1"/>
    <n v="0.31599734407995189"/>
    <s v="No"/>
    <n v="0"/>
    <n v="0"/>
    <x v="0"/>
    <x v="0"/>
    <x v="2"/>
    <x v="0"/>
    <x v="2"/>
    <n v="1"/>
  </r>
  <r>
    <n v="646"/>
    <x v="1"/>
    <x v="0"/>
    <x v="10"/>
    <n v="0"/>
    <n v="154439.85999999999"/>
    <x v="1"/>
    <s v="Yes"/>
    <x v="0"/>
    <n v="171519.06"/>
    <x v="1"/>
    <n v="0.4095242894472948"/>
    <s v="No"/>
    <n v="0"/>
    <n v="0"/>
    <x v="0"/>
    <x v="1"/>
    <x v="3"/>
    <x v="0"/>
    <x v="1"/>
    <n v="1"/>
  </r>
  <r>
    <n v="675"/>
    <x v="0"/>
    <x v="0"/>
    <x v="41"/>
    <n v="5"/>
    <n v="115654.47"/>
    <x v="0"/>
    <s v="Yes"/>
    <x v="1"/>
    <n v="131970.85999999999"/>
    <x v="1"/>
    <n v="0.36511049152388342"/>
    <s v="No"/>
    <n v="0"/>
    <n v="0"/>
    <x v="0"/>
    <x v="4"/>
    <x v="0"/>
    <x v="0"/>
    <x v="0"/>
    <n v="1"/>
  </r>
  <r>
    <n v="447"/>
    <x v="2"/>
    <x v="1"/>
    <x v="25"/>
    <n v="10"/>
    <n v="0"/>
    <x v="1"/>
    <s v="Yes"/>
    <x v="1"/>
    <n v="151815.76"/>
    <x v="1"/>
    <n v="6.3798870299236504E-2"/>
    <s v="No"/>
    <n v="0"/>
    <n v="0"/>
    <x v="1"/>
    <x v="1"/>
    <x v="1"/>
    <x v="4"/>
    <x v="1"/>
    <n v="1"/>
  </r>
  <r>
    <n v="663"/>
    <x v="0"/>
    <x v="0"/>
    <x v="29"/>
    <n v="8"/>
    <n v="0"/>
    <x v="1"/>
    <s v="Yes"/>
    <x v="1"/>
    <n v="188007.99"/>
    <x v="1"/>
    <n v="2.521376662137086E-2"/>
    <s v="No"/>
    <n v="0"/>
    <n v="0"/>
    <x v="1"/>
    <x v="2"/>
    <x v="1"/>
    <x v="0"/>
    <x v="1"/>
    <n v="1"/>
  </r>
  <r>
    <n v="627"/>
    <x v="2"/>
    <x v="1"/>
    <x v="25"/>
    <n v="1"/>
    <n v="0"/>
    <x v="1"/>
    <s v="Yes"/>
    <x v="0"/>
    <n v="106851.7"/>
    <x v="1"/>
    <n v="0.17251404447374191"/>
    <s v="No"/>
    <n v="0"/>
    <n v="0"/>
    <x v="1"/>
    <x v="1"/>
    <x v="1"/>
    <x v="0"/>
    <x v="0"/>
    <n v="1"/>
  </r>
  <r>
    <n v="655"/>
    <x v="1"/>
    <x v="1"/>
    <x v="25"/>
    <n v="6"/>
    <n v="130935.56"/>
    <x v="1"/>
    <s v="Yes"/>
    <x v="0"/>
    <n v="9241.83"/>
    <x v="0"/>
    <n v="0.35135767714147059"/>
    <s v="No"/>
    <n v="1"/>
    <n v="0"/>
    <x v="0"/>
    <x v="1"/>
    <x v="0"/>
    <x v="0"/>
    <x v="2"/>
    <n v="0"/>
  </r>
  <r>
    <n v="427"/>
    <x v="2"/>
    <x v="0"/>
    <x v="5"/>
    <n v="8"/>
    <n v="0"/>
    <x v="1"/>
    <s v="Yes"/>
    <x v="1"/>
    <n v="13858.95"/>
    <x v="1"/>
    <n v="3.9797656314011727E-2"/>
    <s v="No"/>
    <n v="0"/>
    <n v="0"/>
    <x v="1"/>
    <x v="1"/>
    <x v="1"/>
    <x v="4"/>
    <x v="2"/>
    <n v="1"/>
  </r>
  <r>
    <n v="514"/>
    <x v="2"/>
    <x v="0"/>
    <x v="2"/>
    <n v="4"/>
    <n v="112230.38"/>
    <x v="1"/>
    <s v="Yes"/>
    <x v="0"/>
    <n v="16717.11"/>
    <x v="0"/>
    <n v="0.19590168747996961"/>
    <s v="No"/>
    <n v="1"/>
    <n v="0"/>
    <x v="1"/>
    <x v="1"/>
    <x v="0"/>
    <x v="1"/>
    <x v="2"/>
    <n v="0"/>
  </r>
  <r>
    <n v="653"/>
    <x v="1"/>
    <x v="1"/>
    <x v="11"/>
    <n v="3"/>
    <n v="125734.2"/>
    <x v="0"/>
    <s v="Yes"/>
    <x v="0"/>
    <n v="134625.09"/>
    <x v="0"/>
    <n v="0.44292330328696361"/>
    <s v="No"/>
    <n v="1"/>
    <n v="0"/>
    <x v="0"/>
    <x v="1"/>
    <x v="0"/>
    <x v="0"/>
    <x v="0"/>
    <n v="0"/>
  </r>
  <r>
    <n v="841"/>
    <x v="2"/>
    <x v="0"/>
    <x v="29"/>
    <n v="8"/>
    <n v="0"/>
    <x v="1"/>
    <s v="Yes"/>
    <x v="0"/>
    <n v="171922.72"/>
    <x v="1"/>
    <n v="6.0904015358379103E-2"/>
    <s v="No"/>
    <n v="0"/>
    <n v="0"/>
    <x v="1"/>
    <x v="2"/>
    <x v="1"/>
    <x v="3"/>
    <x v="1"/>
    <n v="1"/>
  </r>
  <r>
    <n v="477"/>
    <x v="1"/>
    <x v="0"/>
    <x v="19"/>
    <n v="8"/>
    <n v="139959.54999999999"/>
    <x v="0"/>
    <s v="Yes"/>
    <x v="1"/>
    <n v="189875.83"/>
    <x v="1"/>
    <n v="0.119419991885073"/>
    <s v="No"/>
    <n v="0"/>
    <n v="0"/>
    <x v="1"/>
    <x v="1"/>
    <x v="0"/>
    <x v="4"/>
    <x v="1"/>
    <n v="1"/>
  </r>
  <r>
    <n v="528"/>
    <x v="1"/>
    <x v="0"/>
    <x v="15"/>
    <n v="5"/>
    <n v="93547.23"/>
    <x v="0"/>
    <s v="No"/>
    <x v="1"/>
    <n v="961.57"/>
    <x v="1"/>
    <n v="4.4977740782872443E-2"/>
    <s v="No"/>
    <n v="0"/>
    <n v="0"/>
    <x v="1"/>
    <x v="2"/>
    <x v="2"/>
    <x v="1"/>
    <x v="2"/>
    <n v="1"/>
  </r>
  <r>
    <n v="543"/>
    <x v="2"/>
    <x v="1"/>
    <x v="18"/>
    <n v="2"/>
    <n v="147674.26"/>
    <x v="1"/>
    <s v="Yes"/>
    <x v="1"/>
    <n v="16658.759999999998"/>
    <x v="1"/>
    <n v="8.6185498167287294E-2"/>
    <s v="No"/>
    <n v="0"/>
    <n v="0"/>
    <x v="1"/>
    <x v="1"/>
    <x v="0"/>
    <x v="1"/>
    <x v="2"/>
    <n v="1"/>
  </r>
  <r>
    <n v="595"/>
    <x v="1"/>
    <x v="0"/>
    <x v="16"/>
    <n v="5"/>
    <n v="142360.62"/>
    <x v="0"/>
    <s v="Yes"/>
    <x v="0"/>
    <n v="48421.4"/>
    <x v="0"/>
    <n v="0.47118240291515823"/>
    <s v="No"/>
    <n v="1"/>
    <n v="0"/>
    <x v="0"/>
    <x v="0"/>
    <x v="0"/>
    <x v="1"/>
    <x v="2"/>
    <n v="0"/>
  </r>
  <r>
    <n v="660"/>
    <x v="1"/>
    <x v="0"/>
    <x v="17"/>
    <n v="2"/>
    <n v="170890.05"/>
    <x v="0"/>
    <s v="Yes"/>
    <x v="0"/>
    <n v="41758.9"/>
    <x v="1"/>
    <n v="0.20380218152637949"/>
    <s v="No"/>
    <n v="0"/>
    <n v="0"/>
    <x v="0"/>
    <x v="2"/>
    <x v="3"/>
    <x v="0"/>
    <x v="2"/>
    <n v="1"/>
  </r>
  <r>
    <n v="705"/>
    <x v="2"/>
    <x v="1"/>
    <x v="2"/>
    <n v="3"/>
    <n v="123894.43"/>
    <x v="1"/>
    <s v="Yes"/>
    <x v="0"/>
    <n v="21177.1"/>
    <x v="1"/>
    <n v="0.28002126640213049"/>
    <s v="No"/>
    <n v="0"/>
    <n v="0"/>
    <x v="0"/>
    <x v="1"/>
    <x v="0"/>
    <x v="2"/>
    <x v="2"/>
    <n v="1"/>
  </r>
  <r>
    <n v="444"/>
    <x v="2"/>
    <x v="0"/>
    <x v="28"/>
    <n v="7"/>
    <n v="0"/>
    <x v="0"/>
    <s v="No"/>
    <x v="1"/>
    <n v="138743.85999999999"/>
    <x v="1"/>
    <n v="4.9507048222991672E-2"/>
    <s v="No"/>
    <n v="0"/>
    <n v="0"/>
    <x v="1"/>
    <x v="1"/>
    <x v="1"/>
    <x v="4"/>
    <x v="0"/>
    <n v="1"/>
  </r>
  <r>
    <n v="615"/>
    <x v="1"/>
    <x v="1"/>
    <x v="0"/>
    <n v="9"/>
    <n v="126104.98"/>
    <x v="0"/>
    <s v="No"/>
    <x v="1"/>
    <n v="110718.02"/>
    <x v="1"/>
    <n v="0.29445598258711159"/>
    <s v="No"/>
    <n v="0"/>
    <n v="0"/>
    <x v="0"/>
    <x v="0"/>
    <x v="0"/>
    <x v="0"/>
    <x v="0"/>
    <n v="1"/>
  </r>
  <r>
    <n v="756"/>
    <x v="2"/>
    <x v="1"/>
    <x v="3"/>
    <n v="9"/>
    <n v="0"/>
    <x v="0"/>
    <s v="Yes"/>
    <x v="0"/>
    <n v="35673.42"/>
    <x v="1"/>
    <n v="0.22810761770552521"/>
    <s v="No"/>
    <n v="0"/>
    <n v="0"/>
    <x v="0"/>
    <x v="0"/>
    <x v="1"/>
    <x v="2"/>
    <x v="2"/>
    <n v="1"/>
  </r>
  <r>
    <n v="646"/>
    <x v="0"/>
    <x v="0"/>
    <x v="25"/>
    <n v="1"/>
    <n v="0"/>
    <x v="0"/>
    <s v="Yes"/>
    <x v="0"/>
    <n v="183289.22"/>
    <x v="1"/>
    <n v="0.1042412609677065"/>
    <s v="No"/>
    <n v="0"/>
    <n v="0"/>
    <x v="1"/>
    <x v="1"/>
    <x v="1"/>
    <x v="0"/>
    <x v="1"/>
    <n v="1"/>
  </r>
  <r>
    <n v="708"/>
    <x v="1"/>
    <x v="0"/>
    <x v="25"/>
    <n v="3"/>
    <n v="151691.44"/>
    <x v="0"/>
    <s v="Yes"/>
    <x v="1"/>
    <n v="172810.51"/>
    <x v="1"/>
    <n v="0.1010102110538502"/>
    <s v="No"/>
    <n v="0"/>
    <n v="0"/>
    <x v="1"/>
    <x v="1"/>
    <x v="3"/>
    <x v="2"/>
    <x v="1"/>
    <n v="1"/>
  </r>
  <r>
    <n v="547"/>
    <x v="2"/>
    <x v="1"/>
    <x v="4"/>
    <n v="6"/>
    <n v="104450.86"/>
    <x v="1"/>
    <s v="Yes"/>
    <x v="1"/>
    <n v="37160.28"/>
    <x v="1"/>
    <n v="6.3471552981176085E-2"/>
    <s v="No"/>
    <n v="0"/>
    <n v="0"/>
    <x v="1"/>
    <x v="2"/>
    <x v="0"/>
    <x v="1"/>
    <x v="2"/>
    <n v="1"/>
  </r>
  <r>
    <n v="746"/>
    <x v="2"/>
    <x v="1"/>
    <x v="19"/>
    <n v="4"/>
    <n v="0"/>
    <x v="1"/>
    <s v="No"/>
    <x v="1"/>
    <n v="65166.6"/>
    <x v="1"/>
    <n v="6.6443360269205068E-2"/>
    <s v="No"/>
    <n v="0"/>
    <n v="0"/>
    <x v="1"/>
    <x v="1"/>
    <x v="1"/>
    <x v="2"/>
    <x v="3"/>
    <n v="1"/>
  </r>
  <r>
    <n v="530"/>
    <x v="0"/>
    <x v="0"/>
    <x v="11"/>
    <n v="4"/>
    <n v="0"/>
    <x v="0"/>
    <s v="Yes"/>
    <x v="1"/>
    <n v="164844.37"/>
    <x v="1"/>
    <n v="5.415456706902929E-2"/>
    <s v="No"/>
    <n v="0"/>
    <n v="0"/>
    <x v="1"/>
    <x v="1"/>
    <x v="1"/>
    <x v="1"/>
    <x v="1"/>
    <n v="1"/>
  </r>
  <r>
    <n v="526"/>
    <x v="1"/>
    <x v="1"/>
    <x v="25"/>
    <n v="6"/>
    <n v="131938.92000000001"/>
    <x v="0"/>
    <s v="Yes"/>
    <x v="1"/>
    <n v="1795.93"/>
    <x v="1"/>
    <n v="0.15202456369300299"/>
    <s v="No"/>
    <n v="0"/>
    <n v="0"/>
    <x v="1"/>
    <x v="1"/>
    <x v="0"/>
    <x v="1"/>
    <x v="2"/>
    <n v="1"/>
  </r>
  <r>
    <n v="677"/>
    <x v="2"/>
    <x v="1"/>
    <x v="59"/>
    <n v="8"/>
    <n v="0"/>
    <x v="0"/>
    <s v="Yes"/>
    <x v="1"/>
    <n v="153604.44"/>
    <x v="1"/>
    <n v="0.51283732999429676"/>
    <s v="Yes"/>
    <n v="0"/>
    <n v="1"/>
    <x v="2"/>
    <x v="4"/>
    <x v="1"/>
    <x v="0"/>
    <x v="1"/>
    <n v="0"/>
  </r>
  <r>
    <n v="488"/>
    <x v="2"/>
    <x v="1"/>
    <x v="15"/>
    <n v="6"/>
    <n v="0"/>
    <x v="0"/>
    <s v="Yes"/>
    <x v="1"/>
    <n v="66393.89"/>
    <x v="1"/>
    <n v="2.856303695391323E-2"/>
    <s v="No"/>
    <n v="0"/>
    <n v="0"/>
    <x v="1"/>
    <x v="2"/>
    <x v="1"/>
    <x v="4"/>
    <x v="3"/>
    <n v="1"/>
  </r>
  <r>
    <n v="709"/>
    <x v="2"/>
    <x v="0"/>
    <x v="18"/>
    <n v="6"/>
    <n v="0"/>
    <x v="0"/>
    <s v="Yes"/>
    <x v="1"/>
    <n v="71009.84"/>
    <x v="1"/>
    <n v="2.7689570317377489E-2"/>
    <s v="No"/>
    <n v="0"/>
    <n v="0"/>
    <x v="1"/>
    <x v="1"/>
    <x v="1"/>
    <x v="2"/>
    <x v="3"/>
    <n v="1"/>
  </r>
  <r>
    <n v="543"/>
    <x v="2"/>
    <x v="1"/>
    <x v="3"/>
    <n v="5"/>
    <n v="0"/>
    <x v="0"/>
    <s v="No"/>
    <x v="0"/>
    <n v="101905.34"/>
    <x v="1"/>
    <n v="0.28431806406920968"/>
    <s v="No"/>
    <n v="0"/>
    <n v="0"/>
    <x v="0"/>
    <x v="0"/>
    <x v="1"/>
    <x v="1"/>
    <x v="0"/>
    <n v="1"/>
  </r>
  <r>
    <n v="595"/>
    <x v="0"/>
    <x v="0"/>
    <x v="11"/>
    <n v="2"/>
    <n v="157084.99"/>
    <x v="1"/>
    <s v="Yes"/>
    <x v="0"/>
    <n v="134767.13"/>
    <x v="1"/>
    <n v="0.2172301673252342"/>
    <s v="No"/>
    <n v="0"/>
    <n v="0"/>
    <x v="0"/>
    <x v="1"/>
    <x v="3"/>
    <x v="1"/>
    <x v="0"/>
    <n v="1"/>
  </r>
  <r>
    <n v="698"/>
    <x v="1"/>
    <x v="0"/>
    <x v="45"/>
    <n v="8"/>
    <n v="155059.1"/>
    <x v="0"/>
    <s v="Yes"/>
    <x v="1"/>
    <n v="144584.29"/>
    <x v="1"/>
    <n v="0.35817658881516001"/>
    <s v="No"/>
    <n v="0"/>
    <n v="0"/>
    <x v="0"/>
    <x v="3"/>
    <x v="3"/>
    <x v="0"/>
    <x v="0"/>
    <n v="1"/>
  </r>
  <r>
    <n v="553"/>
    <x v="1"/>
    <x v="0"/>
    <x v="38"/>
    <n v="5"/>
    <n v="127997.83"/>
    <x v="1"/>
    <s v="Yes"/>
    <x v="0"/>
    <n v="165378.66"/>
    <x v="0"/>
    <n v="0.63725079851025634"/>
    <s v="Yes"/>
    <n v="1"/>
    <n v="1"/>
    <x v="2"/>
    <x v="3"/>
    <x v="0"/>
    <x v="1"/>
    <x v="1"/>
    <n v="1"/>
  </r>
  <r>
    <n v="539"/>
    <x v="0"/>
    <x v="0"/>
    <x v="28"/>
    <n v="6"/>
    <n v="0"/>
    <x v="2"/>
    <s v="Yes"/>
    <x v="1"/>
    <n v="118959.64"/>
    <x v="1"/>
    <n v="4.2724498263489757E-2"/>
    <s v="No"/>
    <n v="0"/>
    <n v="0"/>
    <x v="1"/>
    <x v="1"/>
    <x v="1"/>
    <x v="1"/>
    <x v="0"/>
    <n v="1"/>
  </r>
  <r>
    <n v="728"/>
    <x v="1"/>
    <x v="0"/>
    <x v="1"/>
    <n v="3"/>
    <n v="108924.33"/>
    <x v="0"/>
    <s v="Yes"/>
    <x v="0"/>
    <n v="84300.4"/>
    <x v="0"/>
    <n v="0.42348537493457111"/>
    <s v="No"/>
    <n v="1"/>
    <n v="0"/>
    <x v="0"/>
    <x v="0"/>
    <x v="0"/>
    <x v="2"/>
    <x v="3"/>
    <n v="0"/>
  </r>
  <r>
    <n v="649"/>
    <x v="0"/>
    <x v="0"/>
    <x v="58"/>
    <n v="5"/>
    <n v="0"/>
    <x v="0"/>
    <s v="Yes"/>
    <x v="1"/>
    <n v="58309.54"/>
    <x v="1"/>
    <n v="1.365503092324929E-2"/>
    <s v="No"/>
    <n v="0"/>
    <n v="0"/>
    <x v="1"/>
    <x v="2"/>
    <x v="1"/>
    <x v="0"/>
    <x v="3"/>
    <n v="1"/>
  </r>
  <r>
    <n v="649"/>
    <x v="2"/>
    <x v="0"/>
    <x v="16"/>
    <n v="5"/>
    <n v="0"/>
    <x v="0"/>
    <s v="Yes"/>
    <x v="1"/>
    <n v="76946.600000000006"/>
    <x v="1"/>
    <n v="8.4395257624097705E-2"/>
    <s v="No"/>
    <n v="0"/>
    <n v="0"/>
    <x v="1"/>
    <x v="0"/>
    <x v="1"/>
    <x v="0"/>
    <x v="3"/>
    <n v="1"/>
  </r>
  <r>
    <n v="657"/>
    <x v="0"/>
    <x v="0"/>
    <x v="21"/>
    <n v="10"/>
    <n v="0"/>
    <x v="0"/>
    <s v="Yes"/>
    <x v="1"/>
    <n v="52990.7"/>
    <x v="1"/>
    <n v="5.1784614378561439E-2"/>
    <s v="No"/>
    <n v="0"/>
    <n v="0"/>
    <x v="1"/>
    <x v="1"/>
    <x v="1"/>
    <x v="0"/>
    <x v="3"/>
    <n v="1"/>
  </r>
  <r>
    <n v="511"/>
    <x v="2"/>
    <x v="1"/>
    <x v="18"/>
    <n v="5"/>
    <n v="137411.29"/>
    <x v="1"/>
    <s v="No"/>
    <x v="1"/>
    <n v="161854.98000000001"/>
    <x v="1"/>
    <n v="9.0176108484219808E-2"/>
    <s v="No"/>
    <n v="0"/>
    <n v="0"/>
    <x v="1"/>
    <x v="1"/>
    <x v="0"/>
    <x v="1"/>
    <x v="1"/>
    <n v="1"/>
  </r>
  <r>
    <n v="652"/>
    <x v="0"/>
    <x v="1"/>
    <x v="5"/>
    <n v="3"/>
    <n v="124832.51"/>
    <x v="1"/>
    <s v="Yes"/>
    <x v="0"/>
    <n v="195877.06"/>
    <x v="1"/>
    <n v="0.24249789942947481"/>
    <s v="No"/>
    <n v="0"/>
    <n v="0"/>
    <x v="0"/>
    <x v="1"/>
    <x v="0"/>
    <x v="0"/>
    <x v="1"/>
    <n v="1"/>
  </r>
  <r>
    <n v="702"/>
    <x v="2"/>
    <x v="1"/>
    <x v="4"/>
    <n v="10"/>
    <n v="88378.6"/>
    <x v="1"/>
    <s v="Yes"/>
    <x v="0"/>
    <n v="88550.28"/>
    <x v="1"/>
    <n v="0.14171873392840251"/>
    <s v="No"/>
    <n v="0"/>
    <n v="0"/>
    <x v="1"/>
    <x v="2"/>
    <x v="2"/>
    <x v="2"/>
    <x v="3"/>
    <n v="1"/>
  </r>
  <r>
    <n v="685"/>
    <x v="0"/>
    <x v="0"/>
    <x v="21"/>
    <n v="7"/>
    <n v="74896.92"/>
    <x v="1"/>
    <s v="Yes"/>
    <x v="0"/>
    <n v="198694.2"/>
    <x v="1"/>
    <n v="0.1980703696254684"/>
    <s v="No"/>
    <n v="0"/>
    <n v="0"/>
    <x v="1"/>
    <x v="1"/>
    <x v="2"/>
    <x v="0"/>
    <x v="1"/>
    <n v="1"/>
  </r>
  <r>
    <n v="536"/>
    <x v="2"/>
    <x v="1"/>
    <x v="15"/>
    <n v="5"/>
    <n v="89492.62"/>
    <x v="1"/>
    <s v="No"/>
    <x v="0"/>
    <n v="42934.43"/>
    <x v="1"/>
    <n v="0.1095257658671107"/>
    <s v="No"/>
    <n v="0"/>
    <n v="0"/>
    <x v="1"/>
    <x v="2"/>
    <x v="2"/>
    <x v="1"/>
    <x v="2"/>
    <n v="1"/>
  </r>
  <r>
    <n v="535"/>
    <x v="2"/>
    <x v="1"/>
    <x v="9"/>
    <n v="3"/>
    <n v="0"/>
    <x v="1"/>
    <s v="No"/>
    <x v="0"/>
    <n v="61820.41"/>
    <x v="0"/>
    <n v="0.43072549932875498"/>
    <s v="No"/>
    <n v="1"/>
    <n v="0"/>
    <x v="0"/>
    <x v="0"/>
    <x v="1"/>
    <x v="1"/>
    <x v="3"/>
    <n v="0"/>
  </r>
  <r>
    <n v="673"/>
    <x v="2"/>
    <x v="0"/>
    <x v="53"/>
    <n v="0"/>
    <n v="0"/>
    <x v="1"/>
    <s v="Yes"/>
    <x v="1"/>
    <n v="85733.33"/>
    <x v="1"/>
    <n v="0.31273705524675061"/>
    <s v="No"/>
    <n v="0"/>
    <n v="0"/>
    <x v="0"/>
    <x v="4"/>
    <x v="1"/>
    <x v="0"/>
    <x v="3"/>
    <n v="1"/>
  </r>
  <r>
    <n v="614"/>
    <x v="2"/>
    <x v="0"/>
    <x v="16"/>
    <n v="4"/>
    <n v="0"/>
    <x v="1"/>
    <s v="Yes"/>
    <x v="0"/>
    <n v="74379.570000000007"/>
    <x v="0"/>
    <n v="0.24085220935108581"/>
    <s v="No"/>
    <n v="1"/>
    <n v="0"/>
    <x v="0"/>
    <x v="0"/>
    <x v="1"/>
    <x v="0"/>
    <x v="3"/>
    <n v="0"/>
  </r>
  <r>
    <n v="834"/>
    <x v="0"/>
    <x v="0"/>
    <x v="2"/>
    <n v="8"/>
    <n v="0"/>
    <x v="0"/>
    <s v="Yes"/>
    <x v="1"/>
    <n v="66485.259999999995"/>
    <x v="1"/>
    <n v="4.185085479318576E-2"/>
    <s v="No"/>
    <n v="0"/>
    <n v="0"/>
    <x v="1"/>
    <x v="1"/>
    <x v="1"/>
    <x v="3"/>
    <x v="3"/>
    <n v="1"/>
  </r>
  <r>
    <n v="691"/>
    <x v="2"/>
    <x v="0"/>
    <x v="23"/>
    <n v="6"/>
    <n v="0"/>
    <x v="0"/>
    <s v="Yes"/>
    <x v="1"/>
    <n v="92811.199999999997"/>
    <x v="1"/>
    <n v="1.7091881556514012E-2"/>
    <s v="No"/>
    <n v="0"/>
    <n v="0"/>
    <x v="1"/>
    <x v="2"/>
    <x v="1"/>
    <x v="0"/>
    <x v="3"/>
    <n v="1"/>
  </r>
  <r>
    <n v="706"/>
    <x v="0"/>
    <x v="0"/>
    <x v="2"/>
    <n v="8"/>
    <n v="0"/>
    <x v="0"/>
    <s v="No"/>
    <x v="1"/>
    <n v="46635.11"/>
    <x v="1"/>
    <n v="4.6478802719897253E-2"/>
    <s v="No"/>
    <n v="0"/>
    <n v="0"/>
    <x v="1"/>
    <x v="1"/>
    <x v="1"/>
    <x v="2"/>
    <x v="2"/>
    <n v="1"/>
  </r>
  <r>
    <n v="644"/>
    <x v="1"/>
    <x v="1"/>
    <x v="25"/>
    <n v="8"/>
    <n v="141528.88"/>
    <x v="1"/>
    <s v="Yes"/>
    <x v="1"/>
    <n v="167087.34"/>
    <x v="0"/>
    <n v="0.1653239133387604"/>
    <s v="No"/>
    <n v="1"/>
    <n v="0"/>
    <x v="1"/>
    <x v="1"/>
    <x v="0"/>
    <x v="0"/>
    <x v="1"/>
    <n v="0"/>
  </r>
  <r>
    <n v="666"/>
    <x v="2"/>
    <x v="0"/>
    <x v="24"/>
    <n v="7"/>
    <n v="109805.3"/>
    <x v="1"/>
    <s v="No"/>
    <x v="1"/>
    <n v="163625.56"/>
    <x v="1"/>
    <n v="4.1075637156343478E-2"/>
    <s v="No"/>
    <n v="0"/>
    <n v="0"/>
    <x v="1"/>
    <x v="2"/>
    <x v="0"/>
    <x v="0"/>
    <x v="1"/>
    <n v="1"/>
  </r>
  <r>
    <n v="730"/>
    <x v="1"/>
    <x v="0"/>
    <x v="2"/>
    <n v="0"/>
    <n v="38848.19"/>
    <x v="0"/>
    <s v="No"/>
    <x v="0"/>
    <n v="94003.11"/>
    <x v="1"/>
    <n v="0.28650173848765331"/>
    <s v="No"/>
    <n v="0"/>
    <n v="0"/>
    <x v="0"/>
    <x v="1"/>
    <x v="4"/>
    <x v="2"/>
    <x v="3"/>
    <n v="1"/>
  </r>
  <r>
    <n v="696"/>
    <x v="0"/>
    <x v="0"/>
    <x v="21"/>
    <n v="3"/>
    <n v="153639.10999999999"/>
    <x v="1"/>
    <s v="Yes"/>
    <x v="1"/>
    <n v="138351.67999999999"/>
    <x v="1"/>
    <n v="9.5659870868241681E-2"/>
    <s v="No"/>
    <n v="0"/>
    <n v="0"/>
    <x v="1"/>
    <x v="1"/>
    <x v="3"/>
    <x v="0"/>
    <x v="0"/>
    <n v="1"/>
  </r>
  <r>
    <n v="604"/>
    <x v="2"/>
    <x v="0"/>
    <x v="24"/>
    <n v="5"/>
    <n v="0"/>
    <x v="0"/>
    <s v="Yes"/>
    <x v="0"/>
    <n v="75786.55"/>
    <x v="1"/>
    <n v="7.9614864030664922E-2"/>
    <s v="No"/>
    <n v="0"/>
    <n v="0"/>
    <x v="1"/>
    <x v="2"/>
    <x v="1"/>
    <x v="0"/>
    <x v="3"/>
    <n v="1"/>
  </r>
  <r>
    <n v="634"/>
    <x v="1"/>
    <x v="1"/>
    <x v="4"/>
    <n v="8"/>
    <n v="130036.21"/>
    <x v="0"/>
    <s v="No"/>
    <x v="1"/>
    <n v="69849.55"/>
    <x v="1"/>
    <n v="0.12028024517056329"/>
    <s v="No"/>
    <n v="0"/>
    <n v="0"/>
    <x v="1"/>
    <x v="2"/>
    <x v="0"/>
    <x v="0"/>
    <x v="3"/>
    <n v="1"/>
  </r>
  <r>
    <n v="648"/>
    <x v="2"/>
    <x v="1"/>
    <x v="12"/>
    <n v="7"/>
    <n v="139972.18"/>
    <x v="1"/>
    <s v="Yes"/>
    <x v="0"/>
    <n v="143668.57999999999"/>
    <x v="1"/>
    <n v="0.37662978587217633"/>
    <s v="No"/>
    <n v="0"/>
    <n v="0"/>
    <x v="0"/>
    <x v="0"/>
    <x v="0"/>
    <x v="0"/>
    <x v="0"/>
    <n v="1"/>
  </r>
  <r>
    <n v="715"/>
    <x v="1"/>
    <x v="1"/>
    <x v="25"/>
    <n v="3"/>
    <n v="104857.19"/>
    <x v="0"/>
    <s v="Yes"/>
    <x v="0"/>
    <n v="114149.8"/>
    <x v="1"/>
    <n v="0.3300939023029229"/>
    <s v="No"/>
    <n v="0"/>
    <n v="0"/>
    <x v="0"/>
    <x v="1"/>
    <x v="0"/>
    <x v="2"/>
    <x v="0"/>
    <n v="1"/>
  </r>
  <r>
    <n v="603"/>
    <x v="0"/>
    <x v="1"/>
    <x v="3"/>
    <n v="6"/>
    <n v="0"/>
    <x v="1"/>
    <s v="Yes"/>
    <x v="1"/>
    <n v="90437.87"/>
    <x v="1"/>
    <n v="0.12228892444646811"/>
    <s v="No"/>
    <n v="0"/>
    <n v="0"/>
    <x v="1"/>
    <x v="0"/>
    <x v="1"/>
    <x v="0"/>
    <x v="3"/>
    <n v="1"/>
  </r>
  <r>
    <n v="551"/>
    <x v="2"/>
    <x v="0"/>
    <x v="3"/>
    <n v="2"/>
    <n v="139561.46"/>
    <x v="1"/>
    <s v="Yes"/>
    <x v="0"/>
    <n v="43435.43"/>
    <x v="0"/>
    <n v="0.26573078183461868"/>
    <s v="No"/>
    <n v="1"/>
    <n v="0"/>
    <x v="0"/>
    <x v="0"/>
    <x v="0"/>
    <x v="1"/>
    <x v="2"/>
    <n v="0"/>
  </r>
  <r>
    <n v="841"/>
    <x v="2"/>
    <x v="1"/>
    <x v="42"/>
    <n v="5"/>
    <n v="0"/>
    <x v="1"/>
    <s v="No"/>
    <x v="0"/>
    <n v="183239.71"/>
    <x v="0"/>
    <n v="0.44018564676469879"/>
    <s v="No"/>
    <n v="1"/>
    <n v="0"/>
    <x v="0"/>
    <x v="3"/>
    <x v="1"/>
    <x v="3"/>
    <x v="1"/>
    <n v="0"/>
  </r>
  <r>
    <n v="701"/>
    <x v="2"/>
    <x v="0"/>
    <x v="11"/>
    <n v="8"/>
    <n v="107798.85"/>
    <x v="1"/>
    <s v="Yes"/>
    <x v="0"/>
    <n v="16966.73"/>
    <x v="1"/>
    <n v="0.15367497888270651"/>
    <s v="No"/>
    <n v="0"/>
    <n v="0"/>
    <x v="1"/>
    <x v="1"/>
    <x v="0"/>
    <x v="2"/>
    <x v="2"/>
    <n v="1"/>
  </r>
  <r>
    <n v="650"/>
    <x v="2"/>
    <x v="0"/>
    <x v="11"/>
    <n v="9"/>
    <n v="0"/>
    <x v="0"/>
    <s v="Yes"/>
    <x v="0"/>
    <n v="17974.080000000002"/>
    <x v="1"/>
    <n v="0.1117506905455365"/>
    <s v="No"/>
    <n v="0"/>
    <n v="0"/>
    <x v="1"/>
    <x v="1"/>
    <x v="1"/>
    <x v="0"/>
    <x v="2"/>
    <n v="1"/>
  </r>
  <r>
    <n v="803"/>
    <x v="1"/>
    <x v="0"/>
    <x v="6"/>
    <n v="9"/>
    <n v="137742.9"/>
    <x v="0"/>
    <s v="Yes"/>
    <x v="1"/>
    <n v="166957.82"/>
    <x v="1"/>
    <n v="0.14880108536912159"/>
    <s v="No"/>
    <n v="0"/>
    <n v="0"/>
    <x v="1"/>
    <x v="0"/>
    <x v="0"/>
    <x v="3"/>
    <x v="1"/>
    <n v="1"/>
  </r>
  <r>
    <n v="616"/>
    <x v="1"/>
    <x v="0"/>
    <x v="6"/>
    <n v="10"/>
    <n v="113220.2"/>
    <x v="0"/>
    <s v="Yes"/>
    <x v="1"/>
    <n v="114072.91"/>
    <x v="1"/>
    <n v="0.15090717492630029"/>
    <s v="No"/>
    <n v="0"/>
    <n v="0"/>
    <x v="1"/>
    <x v="0"/>
    <x v="0"/>
    <x v="0"/>
    <x v="0"/>
    <n v="1"/>
  </r>
  <r>
    <n v="655"/>
    <x v="0"/>
    <x v="1"/>
    <x v="17"/>
    <n v="3"/>
    <n v="113811.85"/>
    <x v="0"/>
    <s v="No"/>
    <x v="1"/>
    <n v="76844.23"/>
    <x v="1"/>
    <n v="5.9105962607004597E-2"/>
    <s v="No"/>
    <n v="0"/>
    <n v="0"/>
    <x v="1"/>
    <x v="2"/>
    <x v="0"/>
    <x v="0"/>
    <x v="3"/>
    <n v="1"/>
  </r>
  <r>
    <n v="510"/>
    <x v="2"/>
    <x v="1"/>
    <x v="27"/>
    <n v="6"/>
    <n v="136214.07999999999"/>
    <x v="1"/>
    <s v="No"/>
    <x v="0"/>
    <n v="159742.32999999999"/>
    <x v="1"/>
    <n v="0.1659003056148991"/>
    <s v="No"/>
    <n v="0"/>
    <n v="0"/>
    <x v="1"/>
    <x v="2"/>
    <x v="0"/>
    <x v="1"/>
    <x v="1"/>
    <n v="1"/>
  </r>
  <r>
    <n v="557"/>
    <x v="2"/>
    <x v="0"/>
    <x v="10"/>
    <n v="8"/>
    <n v="146200.01"/>
    <x v="1"/>
    <s v="Yes"/>
    <x v="0"/>
    <n v="177944.64"/>
    <x v="1"/>
    <n v="0.21946416423558049"/>
    <s v="No"/>
    <n v="0"/>
    <n v="0"/>
    <x v="0"/>
    <x v="1"/>
    <x v="0"/>
    <x v="1"/>
    <x v="1"/>
    <n v="1"/>
  </r>
  <r>
    <n v="565"/>
    <x v="1"/>
    <x v="1"/>
    <x v="25"/>
    <n v="4"/>
    <n v="90322.99"/>
    <x v="0"/>
    <s v="No"/>
    <x v="1"/>
    <n v="118740.37"/>
    <x v="1"/>
    <n v="0.15232857025228791"/>
    <s v="No"/>
    <n v="0"/>
    <n v="0"/>
    <x v="1"/>
    <x v="1"/>
    <x v="2"/>
    <x v="1"/>
    <x v="0"/>
    <n v="1"/>
  </r>
  <r>
    <n v="631"/>
    <x v="0"/>
    <x v="0"/>
    <x v="34"/>
    <n v="3"/>
    <n v="0"/>
    <x v="0"/>
    <s v="Yes"/>
    <x v="0"/>
    <n v="13813.24"/>
    <x v="1"/>
    <n v="5.0167925499782488E-2"/>
    <s v="No"/>
    <n v="0"/>
    <n v="0"/>
    <x v="1"/>
    <x v="2"/>
    <x v="1"/>
    <x v="0"/>
    <x v="2"/>
    <n v="1"/>
  </r>
  <r>
    <n v="810"/>
    <x v="2"/>
    <x v="1"/>
    <x v="2"/>
    <n v="9"/>
    <n v="153166.17000000001"/>
    <x v="1"/>
    <s v="Yes"/>
    <x v="1"/>
    <n v="93261.69"/>
    <x v="1"/>
    <n v="0.1081819322744933"/>
    <s v="No"/>
    <n v="0"/>
    <n v="0"/>
    <x v="1"/>
    <x v="1"/>
    <x v="3"/>
    <x v="3"/>
    <x v="3"/>
    <n v="1"/>
  </r>
  <r>
    <n v="778"/>
    <x v="1"/>
    <x v="1"/>
    <x v="4"/>
    <n v="6"/>
    <n v="150358.97"/>
    <x v="1"/>
    <s v="Yes"/>
    <x v="0"/>
    <n v="62454.01"/>
    <x v="0"/>
    <n v="0.30151372456058478"/>
    <s v="No"/>
    <n v="1"/>
    <n v="0"/>
    <x v="0"/>
    <x v="2"/>
    <x v="3"/>
    <x v="2"/>
    <x v="3"/>
    <n v="0"/>
  </r>
  <r>
    <n v="730"/>
    <x v="0"/>
    <x v="0"/>
    <x v="33"/>
    <n v="5"/>
    <n v="112181.08"/>
    <x v="1"/>
    <s v="No"/>
    <x v="1"/>
    <n v="61513.87"/>
    <x v="1"/>
    <n v="0.31004739232329048"/>
    <s v="No"/>
    <n v="0"/>
    <n v="0"/>
    <x v="0"/>
    <x v="4"/>
    <x v="0"/>
    <x v="2"/>
    <x v="3"/>
    <n v="1"/>
  </r>
  <r>
    <n v="671"/>
    <x v="0"/>
    <x v="0"/>
    <x v="19"/>
    <n v="10"/>
    <n v="153360.01999999999"/>
    <x v="1"/>
    <s v="Yes"/>
    <x v="0"/>
    <n v="140509.85999999999"/>
    <x v="1"/>
    <n v="0.15171398584107679"/>
    <s v="No"/>
    <n v="0"/>
    <n v="0"/>
    <x v="1"/>
    <x v="1"/>
    <x v="3"/>
    <x v="0"/>
    <x v="0"/>
    <n v="1"/>
  </r>
  <r>
    <n v="558"/>
    <x v="2"/>
    <x v="0"/>
    <x v="21"/>
    <n v="6"/>
    <n v="0"/>
    <x v="0"/>
    <s v="Yes"/>
    <x v="0"/>
    <n v="173844.89"/>
    <x v="1"/>
    <n v="0.16236443583674001"/>
    <s v="No"/>
    <n v="0"/>
    <n v="0"/>
    <x v="1"/>
    <x v="1"/>
    <x v="1"/>
    <x v="1"/>
    <x v="1"/>
    <n v="1"/>
  </r>
  <r>
    <n v="691"/>
    <x v="0"/>
    <x v="0"/>
    <x v="21"/>
    <n v="1"/>
    <n v="0"/>
    <x v="0"/>
    <s v="Yes"/>
    <x v="1"/>
    <n v="145613.17000000001"/>
    <x v="1"/>
    <n v="6.2907412173698565E-2"/>
    <s v="No"/>
    <n v="0"/>
    <n v="0"/>
    <x v="1"/>
    <x v="1"/>
    <x v="1"/>
    <x v="0"/>
    <x v="0"/>
    <n v="1"/>
  </r>
  <r>
    <n v="571"/>
    <x v="0"/>
    <x v="1"/>
    <x v="18"/>
    <n v="3"/>
    <n v="0"/>
    <x v="0"/>
    <s v="Yes"/>
    <x v="1"/>
    <n v="194667.92"/>
    <x v="1"/>
    <n v="6.0163800837219332E-2"/>
    <s v="No"/>
    <n v="0"/>
    <n v="0"/>
    <x v="1"/>
    <x v="1"/>
    <x v="1"/>
    <x v="1"/>
    <x v="1"/>
    <n v="1"/>
  </r>
  <r>
    <n v="712"/>
    <x v="0"/>
    <x v="0"/>
    <x v="42"/>
    <n v="9"/>
    <n v="0"/>
    <x v="1"/>
    <s v="Yes"/>
    <x v="1"/>
    <n v="117977.45"/>
    <x v="0"/>
    <n v="0.13034726957557649"/>
    <s v="No"/>
    <n v="1"/>
    <n v="0"/>
    <x v="1"/>
    <x v="3"/>
    <x v="1"/>
    <x v="2"/>
    <x v="0"/>
    <n v="0"/>
  </r>
  <r>
    <n v="639"/>
    <x v="1"/>
    <x v="1"/>
    <x v="11"/>
    <n v="5"/>
    <n v="151242.48000000001"/>
    <x v="1"/>
    <s v="No"/>
    <x v="1"/>
    <n v="49637.65"/>
    <x v="1"/>
    <n v="0.23242525095770081"/>
    <s v="No"/>
    <n v="0"/>
    <n v="0"/>
    <x v="0"/>
    <x v="1"/>
    <x v="3"/>
    <x v="0"/>
    <x v="2"/>
    <n v="1"/>
  </r>
  <r>
    <n v="775"/>
    <x v="1"/>
    <x v="0"/>
    <x v="25"/>
    <n v="8"/>
    <n v="121669.23"/>
    <x v="1"/>
    <s v="No"/>
    <x v="1"/>
    <n v="125898.39"/>
    <x v="1"/>
    <n v="9.1155501659241911E-2"/>
    <s v="No"/>
    <n v="0"/>
    <n v="0"/>
    <x v="1"/>
    <x v="1"/>
    <x v="0"/>
    <x v="2"/>
    <x v="0"/>
    <n v="1"/>
  </r>
  <r>
    <n v="841"/>
    <x v="1"/>
    <x v="1"/>
    <x v="5"/>
    <n v="7"/>
    <n v="154969.79"/>
    <x v="0"/>
    <s v="Yes"/>
    <x v="1"/>
    <n v="99505.75"/>
    <x v="1"/>
    <n v="0.14575018203767701"/>
    <s v="No"/>
    <n v="0"/>
    <n v="0"/>
    <x v="1"/>
    <x v="1"/>
    <x v="3"/>
    <x v="3"/>
    <x v="3"/>
    <n v="1"/>
  </r>
  <r>
    <n v="637"/>
    <x v="2"/>
    <x v="1"/>
    <x v="52"/>
    <n v="5"/>
    <n v="0"/>
    <x v="1"/>
    <s v="Yes"/>
    <x v="0"/>
    <n v="28092.77"/>
    <x v="0"/>
    <n v="0.64468011114346846"/>
    <s v="Yes"/>
    <n v="1"/>
    <n v="1"/>
    <x v="2"/>
    <x v="4"/>
    <x v="1"/>
    <x v="0"/>
    <x v="2"/>
    <n v="1"/>
  </r>
  <r>
    <n v="500"/>
    <x v="2"/>
    <x v="0"/>
    <x v="1"/>
    <n v="2"/>
    <n v="109162.82"/>
    <x v="1"/>
    <s v="Yes"/>
    <x v="1"/>
    <n v="126145.08"/>
    <x v="1"/>
    <n v="0.13221856084473091"/>
    <s v="No"/>
    <n v="0"/>
    <n v="0"/>
    <x v="1"/>
    <x v="0"/>
    <x v="0"/>
    <x v="4"/>
    <x v="0"/>
    <n v="1"/>
  </r>
  <r>
    <n v="655"/>
    <x v="2"/>
    <x v="0"/>
    <x v="0"/>
    <n v="8"/>
    <n v="87471.63"/>
    <x v="1"/>
    <s v="No"/>
    <x v="1"/>
    <n v="188593.98"/>
    <x v="1"/>
    <n v="0.1024236712618096"/>
    <s v="No"/>
    <n v="0"/>
    <n v="0"/>
    <x v="1"/>
    <x v="0"/>
    <x v="2"/>
    <x v="0"/>
    <x v="1"/>
    <n v="1"/>
  </r>
  <r>
    <n v="695"/>
    <x v="1"/>
    <x v="1"/>
    <x v="38"/>
    <n v="8"/>
    <n v="95231.91"/>
    <x v="1"/>
    <s v="No"/>
    <x v="0"/>
    <n v="70140.800000000003"/>
    <x v="0"/>
    <n v="0.69999192859775838"/>
    <s v="Yes"/>
    <n v="1"/>
    <n v="1"/>
    <x v="2"/>
    <x v="3"/>
    <x v="2"/>
    <x v="0"/>
    <x v="3"/>
    <n v="1"/>
  </r>
  <r>
    <n v="587"/>
    <x v="0"/>
    <x v="0"/>
    <x v="6"/>
    <n v="8"/>
    <n v="85109.21"/>
    <x v="1"/>
    <s v="Yes"/>
    <x v="0"/>
    <n v="1557.82"/>
    <x v="1"/>
    <n v="0.20421270999305879"/>
    <s v="No"/>
    <n v="0"/>
    <n v="0"/>
    <x v="0"/>
    <x v="0"/>
    <x v="2"/>
    <x v="1"/>
    <x v="2"/>
    <n v="1"/>
  </r>
  <r>
    <n v="627"/>
    <x v="1"/>
    <x v="1"/>
    <x v="11"/>
    <n v="7"/>
    <n v="147361.57"/>
    <x v="1"/>
    <s v="Yes"/>
    <x v="1"/>
    <n v="133031.96"/>
    <x v="1"/>
    <n v="0.22766377151036729"/>
    <s v="No"/>
    <n v="0"/>
    <n v="0"/>
    <x v="0"/>
    <x v="1"/>
    <x v="0"/>
    <x v="0"/>
    <x v="0"/>
    <n v="1"/>
  </r>
  <r>
    <n v="736"/>
    <x v="2"/>
    <x v="0"/>
    <x v="12"/>
    <n v="4"/>
    <n v="176134.54"/>
    <x v="1"/>
    <s v="Yes"/>
    <x v="1"/>
    <n v="52856.88"/>
    <x v="1"/>
    <n v="0.1091103737842546"/>
    <s v="No"/>
    <n v="0"/>
    <n v="0"/>
    <x v="1"/>
    <x v="0"/>
    <x v="3"/>
    <x v="2"/>
    <x v="3"/>
    <n v="1"/>
  </r>
  <r>
    <n v="627"/>
    <x v="2"/>
    <x v="1"/>
    <x v="22"/>
    <n v="7"/>
    <n v="0"/>
    <x v="0"/>
    <s v="No"/>
    <x v="1"/>
    <n v="193022.44"/>
    <x v="1"/>
    <n v="7.0586553143532627E-2"/>
    <s v="No"/>
    <n v="0"/>
    <n v="0"/>
    <x v="1"/>
    <x v="1"/>
    <x v="1"/>
    <x v="0"/>
    <x v="1"/>
    <n v="1"/>
  </r>
  <r>
    <n v="850"/>
    <x v="0"/>
    <x v="0"/>
    <x v="19"/>
    <n v="8"/>
    <n v="199229.14"/>
    <x v="1"/>
    <s v="No"/>
    <x v="0"/>
    <n v="68106.289999999994"/>
    <x v="1"/>
    <n v="0.15512169153918021"/>
    <s v="No"/>
    <n v="0"/>
    <n v="0"/>
    <x v="1"/>
    <x v="1"/>
    <x v="3"/>
    <x v="3"/>
    <x v="3"/>
    <n v="1"/>
  </r>
  <r>
    <n v="516"/>
    <x v="2"/>
    <x v="0"/>
    <x v="11"/>
    <n v="8"/>
    <n v="0"/>
    <x v="1"/>
    <s v="Yes"/>
    <x v="0"/>
    <n v="101834.58"/>
    <x v="1"/>
    <n v="0.1406509615155101"/>
    <s v="No"/>
    <n v="0"/>
    <n v="0"/>
    <x v="1"/>
    <x v="1"/>
    <x v="1"/>
    <x v="1"/>
    <x v="0"/>
    <n v="1"/>
  </r>
  <r>
    <n v="673"/>
    <x v="1"/>
    <x v="1"/>
    <x v="48"/>
    <n v="3"/>
    <n v="78833.149999999994"/>
    <x v="0"/>
    <s v="Yes"/>
    <x v="1"/>
    <n v="37196.15"/>
    <x v="1"/>
    <n v="0.70238775569794443"/>
    <s v="Yes"/>
    <n v="0"/>
    <n v="1"/>
    <x v="2"/>
    <x v="4"/>
    <x v="2"/>
    <x v="0"/>
    <x v="2"/>
    <n v="0"/>
  </r>
  <r>
    <n v="568"/>
    <x v="2"/>
    <x v="0"/>
    <x v="7"/>
    <n v="4"/>
    <n v="0"/>
    <x v="2"/>
    <s v="Yes"/>
    <x v="1"/>
    <n v="66586.559999999998"/>
    <x v="1"/>
    <n v="0.1142901599071099"/>
    <s v="No"/>
    <n v="0"/>
    <n v="0"/>
    <x v="1"/>
    <x v="3"/>
    <x v="1"/>
    <x v="1"/>
    <x v="3"/>
    <n v="1"/>
  </r>
  <r>
    <n v="716"/>
    <x v="0"/>
    <x v="0"/>
    <x v="5"/>
    <n v="2"/>
    <n v="0"/>
    <x v="0"/>
    <s v="Yes"/>
    <x v="1"/>
    <n v="92916.53"/>
    <x v="1"/>
    <n v="3.6066831178419523E-2"/>
    <s v="No"/>
    <n v="0"/>
    <n v="0"/>
    <x v="1"/>
    <x v="1"/>
    <x v="1"/>
    <x v="2"/>
    <x v="3"/>
    <n v="1"/>
  </r>
  <r>
    <n v="656"/>
    <x v="0"/>
    <x v="0"/>
    <x v="27"/>
    <n v="4"/>
    <n v="139584.57"/>
    <x v="1"/>
    <s v="Yes"/>
    <x v="0"/>
    <n v="36308.93"/>
    <x v="1"/>
    <n v="9.2956793717821812E-2"/>
    <s v="No"/>
    <n v="0"/>
    <n v="0"/>
    <x v="1"/>
    <x v="2"/>
    <x v="0"/>
    <x v="0"/>
    <x v="2"/>
    <n v="1"/>
  </r>
  <r>
    <n v="565"/>
    <x v="2"/>
    <x v="1"/>
    <x v="2"/>
    <n v="5"/>
    <n v="126645.13"/>
    <x v="1"/>
    <s v="Yes"/>
    <x v="1"/>
    <n v="168303.55"/>
    <x v="1"/>
    <n v="0.13153779263304791"/>
    <s v="No"/>
    <n v="0"/>
    <n v="0"/>
    <x v="1"/>
    <x v="1"/>
    <x v="0"/>
    <x v="1"/>
    <x v="1"/>
    <n v="1"/>
  </r>
  <r>
    <n v="604"/>
    <x v="2"/>
    <x v="1"/>
    <x v="35"/>
    <n v="8"/>
    <n v="62094.71"/>
    <x v="2"/>
    <s v="No"/>
    <x v="0"/>
    <n v="9308.1"/>
    <x v="0"/>
    <n v="0.34315808384163088"/>
    <s v="No"/>
    <n v="1"/>
    <n v="0"/>
    <x v="0"/>
    <x v="0"/>
    <x v="2"/>
    <x v="0"/>
    <x v="2"/>
    <n v="0"/>
  </r>
  <r>
    <n v="789"/>
    <x v="2"/>
    <x v="1"/>
    <x v="38"/>
    <n v="1"/>
    <n v="158271.74"/>
    <x v="1"/>
    <s v="Yes"/>
    <x v="1"/>
    <n v="5036.3900000000003"/>
    <x v="0"/>
    <n v="0.29674690668275738"/>
    <s v="No"/>
    <n v="1"/>
    <n v="0"/>
    <x v="0"/>
    <x v="3"/>
    <x v="3"/>
    <x v="2"/>
    <x v="2"/>
    <n v="0"/>
  </r>
  <r>
    <n v="589"/>
    <x v="0"/>
    <x v="1"/>
    <x v="1"/>
    <n v="1"/>
    <n v="0"/>
    <x v="1"/>
    <s v="No"/>
    <x v="0"/>
    <n v="125939.22"/>
    <x v="0"/>
    <n v="0.37792197256967802"/>
    <s v="No"/>
    <n v="1"/>
    <n v="0"/>
    <x v="0"/>
    <x v="0"/>
    <x v="1"/>
    <x v="1"/>
    <x v="0"/>
    <n v="0"/>
  </r>
  <r>
    <n v="850"/>
    <x v="2"/>
    <x v="0"/>
    <x v="21"/>
    <n v="6"/>
    <n v="0"/>
    <x v="1"/>
    <s v="Yes"/>
    <x v="0"/>
    <n v="136985.07999999999"/>
    <x v="0"/>
    <n v="0.14680160761819869"/>
    <s v="No"/>
    <n v="1"/>
    <n v="0"/>
    <x v="1"/>
    <x v="1"/>
    <x v="1"/>
    <x v="3"/>
    <x v="0"/>
    <n v="0"/>
  </r>
  <r>
    <n v="648"/>
    <x v="0"/>
    <x v="0"/>
    <x v="28"/>
    <n v="8"/>
    <n v="146943.38"/>
    <x v="0"/>
    <s v="Yes"/>
    <x v="1"/>
    <n v="130041.45"/>
    <x v="1"/>
    <n v="6.1013810423280322E-2"/>
    <s v="No"/>
    <n v="0"/>
    <n v="0"/>
    <x v="1"/>
    <x v="1"/>
    <x v="0"/>
    <x v="0"/>
    <x v="0"/>
    <n v="1"/>
  </r>
  <r>
    <n v="601"/>
    <x v="2"/>
    <x v="0"/>
    <x v="22"/>
    <n v="2"/>
    <n v="0"/>
    <x v="0"/>
    <s v="Yes"/>
    <x v="1"/>
    <n v="118983.18"/>
    <x v="1"/>
    <n v="4.3860707410148143E-2"/>
    <s v="No"/>
    <n v="0"/>
    <n v="0"/>
    <x v="1"/>
    <x v="1"/>
    <x v="1"/>
    <x v="0"/>
    <x v="0"/>
    <n v="1"/>
  </r>
  <r>
    <n v="452"/>
    <x v="1"/>
    <x v="0"/>
    <x v="5"/>
    <n v="7"/>
    <n v="153663.26999999999"/>
    <x v="1"/>
    <s v="Yes"/>
    <x v="0"/>
    <n v="111868.23"/>
    <x v="1"/>
    <n v="0.29954197587156728"/>
    <s v="No"/>
    <n v="0"/>
    <n v="0"/>
    <x v="0"/>
    <x v="1"/>
    <x v="3"/>
    <x v="4"/>
    <x v="0"/>
    <n v="1"/>
  </r>
  <r>
    <n v="794"/>
    <x v="0"/>
    <x v="1"/>
    <x v="16"/>
    <n v="8"/>
    <n v="134593.79"/>
    <x v="1"/>
    <s v="Yes"/>
    <x v="1"/>
    <n v="46386.37"/>
    <x v="1"/>
    <n v="0.17908262059189861"/>
    <s v="No"/>
    <n v="0"/>
    <n v="0"/>
    <x v="1"/>
    <x v="0"/>
    <x v="0"/>
    <x v="2"/>
    <x v="2"/>
    <n v="1"/>
  </r>
  <r>
    <n v="746"/>
    <x v="0"/>
    <x v="0"/>
    <x v="23"/>
    <n v="10"/>
    <n v="68781.820000000007"/>
    <x v="1"/>
    <s v="No"/>
    <x v="1"/>
    <n v="47997.39"/>
    <x v="1"/>
    <n v="2.1006429100526951E-2"/>
    <s v="No"/>
    <n v="0"/>
    <n v="0"/>
    <x v="1"/>
    <x v="2"/>
    <x v="2"/>
    <x v="2"/>
    <x v="2"/>
    <n v="1"/>
  </r>
  <r>
    <n v="748"/>
    <x v="2"/>
    <x v="0"/>
    <x v="0"/>
    <n v="4"/>
    <n v="112610.77"/>
    <x v="1"/>
    <s v="No"/>
    <x v="1"/>
    <n v="2048.5500000000002"/>
    <x v="1"/>
    <n v="0.1001978938965392"/>
    <s v="No"/>
    <n v="0"/>
    <n v="0"/>
    <x v="1"/>
    <x v="0"/>
    <x v="0"/>
    <x v="2"/>
    <x v="2"/>
    <n v="1"/>
  </r>
  <r>
    <n v="759"/>
    <x v="1"/>
    <x v="0"/>
    <x v="24"/>
    <n v="4"/>
    <n v="101802.67"/>
    <x v="1"/>
    <s v="No"/>
    <x v="0"/>
    <n v="8693.7999999999993"/>
    <x v="1"/>
    <n v="0.20027740130720281"/>
    <s v="No"/>
    <n v="0"/>
    <n v="0"/>
    <x v="0"/>
    <x v="2"/>
    <x v="0"/>
    <x v="2"/>
    <x v="2"/>
    <n v="1"/>
  </r>
  <r>
    <n v="604"/>
    <x v="2"/>
    <x v="0"/>
    <x v="5"/>
    <n v="3"/>
    <n v="148659.48000000001"/>
    <x v="1"/>
    <s v="No"/>
    <x v="0"/>
    <n v="42437.75"/>
    <x v="1"/>
    <n v="0.15662260023849869"/>
    <s v="No"/>
    <n v="0"/>
    <n v="0"/>
    <x v="1"/>
    <x v="1"/>
    <x v="0"/>
    <x v="0"/>
    <x v="2"/>
    <n v="1"/>
  </r>
  <r>
    <n v="725"/>
    <x v="2"/>
    <x v="0"/>
    <x v="22"/>
    <n v="7"/>
    <n v="75915.75"/>
    <x v="1"/>
    <s v="Yes"/>
    <x v="0"/>
    <n v="150507.43"/>
    <x v="1"/>
    <n v="0.13484302335264611"/>
    <s v="No"/>
    <n v="0"/>
    <n v="0"/>
    <x v="1"/>
    <x v="1"/>
    <x v="2"/>
    <x v="2"/>
    <x v="1"/>
    <n v="1"/>
  </r>
  <r>
    <n v="602"/>
    <x v="2"/>
    <x v="0"/>
    <x v="2"/>
    <n v="7"/>
    <n v="111835.94"/>
    <x v="0"/>
    <s v="Yes"/>
    <x v="0"/>
    <n v="124389.61"/>
    <x v="1"/>
    <n v="0.1712505980716742"/>
    <s v="No"/>
    <n v="0"/>
    <n v="0"/>
    <x v="1"/>
    <x v="1"/>
    <x v="0"/>
    <x v="0"/>
    <x v="0"/>
    <n v="1"/>
  </r>
  <r>
    <n v="615"/>
    <x v="2"/>
    <x v="0"/>
    <x v="24"/>
    <n v="8"/>
    <n v="0"/>
    <x v="0"/>
    <s v="No"/>
    <x v="0"/>
    <n v="3183.15"/>
    <x v="1"/>
    <n v="7.4263083135256383E-2"/>
    <s v="No"/>
    <n v="0"/>
    <n v="0"/>
    <x v="1"/>
    <x v="2"/>
    <x v="1"/>
    <x v="0"/>
    <x v="2"/>
    <n v="1"/>
  </r>
  <r>
    <n v="555"/>
    <x v="0"/>
    <x v="0"/>
    <x v="32"/>
    <n v="7"/>
    <n v="128061"/>
    <x v="0"/>
    <s v="Yes"/>
    <x v="1"/>
    <n v="62375.1"/>
    <x v="1"/>
    <n v="0.15441050382130331"/>
    <s v="No"/>
    <n v="0"/>
    <n v="0"/>
    <x v="1"/>
    <x v="0"/>
    <x v="0"/>
    <x v="1"/>
    <x v="3"/>
    <n v="1"/>
  </r>
  <r>
    <n v="705"/>
    <x v="2"/>
    <x v="1"/>
    <x v="22"/>
    <n v="5"/>
    <n v="0"/>
    <x v="1"/>
    <s v="Yes"/>
    <x v="0"/>
    <n v="133991.10999999999"/>
    <x v="0"/>
    <n v="0.1878711431307501"/>
    <s v="No"/>
    <n v="1"/>
    <n v="0"/>
    <x v="1"/>
    <x v="1"/>
    <x v="1"/>
    <x v="2"/>
    <x v="0"/>
    <n v="0"/>
  </r>
  <r>
    <n v="638"/>
    <x v="2"/>
    <x v="0"/>
    <x v="19"/>
    <n v="5"/>
    <n v="133501.35999999999"/>
    <x v="1"/>
    <s v="No"/>
    <x v="1"/>
    <n v="155643.04"/>
    <x v="1"/>
    <n v="6.0738583262349419E-2"/>
    <s v="No"/>
    <n v="0"/>
    <n v="0"/>
    <x v="1"/>
    <x v="1"/>
    <x v="0"/>
    <x v="0"/>
    <x v="1"/>
    <n v="1"/>
  </r>
  <r>
    <n v="651"/>
    <x v="2"/>
    <x v="0"/>
    <x v="19"/>
    <n v="4"/>
    <n v="91562.99"/>
    <x v="1"/>
    <s v="Yes"/>
    <x v="1"/>
    <n v="123954.15"/>
    <x v="1"/>
    <n v="5.2831692278720928E-2"/>
    <s v="No"/>
    <n v="0"/>
    <n v="0"/>
    <x v="1"/>
    <x v="1"/>
    <x v="2"/>
    <x v="0"/>
    <x v="0"/>
    <n v="1"/>
  </r>
  <r>
    <n v="508"/>
    <x v="2"/>
    <x v="0"/>
    <x v="18"/>
    <n v="8"/>
    <n v="72541.48"/>
    <x v="1"/>
    <s v="Yes"/>
    <x v="0"/>
    <n v="129803.08"/>
    <x v="1"/>
    <n v="0.114593669478911"/>
    <s v="No"/>
    <n v="0"/>
    <n v="0"/>
    <x v="1"/>
    <x v="1"/>
    <x v="2"/>
    <x v="1"/>
    <x v="0"/>
    <n v="1"/>
  </r>
  <r>
    <n v="714"/>
    <x v="0"/>
    <x v="0"/>
    <x v="29"/>
    <n v="3"/>
    <n v="0"/>
    <x v="2"/>
    <s v="Yes"/>
    <x v="1"/>
    <n v="129130.09"/>
    <x v="1"/>
    <n v="2.1220043692721641E-2"/>
    <s v="No"/>
    <n v="0"/>
    <n v="0"/>
    <x v="1"/>
    <x v="2"/>
    <x v="1"/>
    <x v="2"/>
    <x v="0"/>
    <n v="1"/>
  </r>
  <r>
    <n v="581"/>
    <x v="2"/>
    <x v="1"/>
    <x v="45"/>
    <n v="6"/>
    <n v="0"/>
    <x v="1"/>
    <s v="Yes"/>
    <x v="1"/>
    <n v="22442.13"/>
    <x v="1"/>
    <n v="0.25535463752881171"/>
    <s v="No"/>
    <n v="0"/>
    <n v="0"/>
    <x v="0"/>
    <x v="3"/>
    <x v="1"/>
    <x v="1"/>
    <x v="2"/>
    <n v="1"/>
  </r>
  <r>
    <n v="714"/>
    <x v="0"/>
    <x v="0"/>
    <x v="36"/>
    <n v="2"/>
    <n v="0"/>
    <x v="1"/>
    <s v="Yes"/>
    <x v="1"/>
    <n v="132979.43"/>
    <x v="1"/>
    <n v="2.297324956692522E-2"/>
    <s v="No"/>
    <n v="0"/>
    <n v="0"/>
    <x v="1"/>
    <x v="2"/>
    <x v="1"/>
    <x v="2"/>
    <x v="0"/>
    <n v="1"/>
  </r>
  <r>
    <n v="528"/>
    <x v="2"/>
    <x v="1"/>
    <x v="27"/>
    <n v="10"/>
    <n v="102073.67"/>
    <x v="0"/>
    <s v="No"/>
    <x v="0"/>
    <n v="166799.93"/>
    <x v="1"/>
    <n v="0.13070655868566819"/>
    <s v="No"/>
    <n v="0"/>
    <n v="0"/>
    <x v="1"/>
    <x v="2"/>
    <x v="0"/>
    <x v="1"/>
    <x v="1"/>
    <n v="1"/>
  </r>
  <r>
    <n v="615"/>
    <x v="1"/>
    <x v="0"/>
    <x v="23"/>
    <n v="8"/>
    <n v="108528.07"/>
    <x v="0"/>
    <s v="No"/>
    <x v="0"/>
    <n v="179488.41"/>
    <x v="0"/>
    <n v="0.14202141206787261"/>
    <s v="No"/>
    <n v="1"/>
    <n v="0"/>
    <x v="1"/>
    <x v="2"/>
    <x v="0"/>
    <x v="0"/>
    <x v="1"/>
    <n v="0"/>
  </r>
  <r>
    <n v="686"/>
    <x v="0"/>
    <x v="0"/>
    <x v="1"/>
    <n v="3"/>
    <n v="74274.87"/>
    <x v="2"/>
    <s v="Yes"/>
    <x v="0"/>
    <n v="64907.48"/>
    <x v="0"/>
    <n v="0.2255417170519034"/>
    <s v="No"/>
    <n v="1"/>
    <n v="0"/>
    <x v="0"/>
    <x v="0"/>
    <x v="2"/>
    <x v="0"/>
    <x v="3"/>
    <n v="0"/>
  </r>
  <r>
    <n v="558"/>
    <x v="0"/>
    <x v="0"/>
    <x v="1"/>
    <n v="4"/>
    <n v="0"/>
    <x v="1"/>
    <s v="Yes"/>
    <x v="0"/>
    <n v="131807.14000000001"/>
    <x v="1"/>
    <n v="0.24737107072466699"/>
    <s v="No"/>
    <n v="0"/>
    <n v="0"/>
    <x v="0"/>
    <x v="0"/>
    <x v="1"/>
    <x v="1"/>
    <x v="0"/>
    <n v="1"/>
  </r>
  <r>
    <n v="678"/>
    <x v="2"/>
    <x v="0"/>
    <x v="41"/>
    <n v="8"/>
    <n v="0"/>
    <x v="0"/>
    <s v="Yes"/>
    <x v="1"/>
    <n v="47117.03"/>
    <x v="1"/>
    <n v="0.26887448214261739"/>
    <s v="No"/>
    <n v="0"/>
    <n v="0"/>
    <x v="0"/>
    <x v="4"/>
    <x v="1"/>
    <x v="0"/>
    <x v="2"/>
    <n v="1"/>
  </r>
  <r>
    <n v="523"/>
    <x v="1"/>
    <x v="0"/>
    <x v="29"/>
    <n v="8"/>
    <n v="61688.61"/>
    <x v="0"/>
    <s v="Yes"/>
    <x v="0"/>
    <n v="147059.16"/>
    <x v="1"/>
    <n v="0.15647634772297819"/>
    <s v="No"/>
    <n v="0"/>
    <n v="0"/>
    <x v="1"/>
    <x v="2"/>
    <x v="2"/>
    <x v="1"/>
    <x v="0"/>
    <n v="1"/>
  </r>
  <r>
    <n v="573"/>
    <x v="0"/>
    <x v="0"/>
    <x v="32"/>
    <n v="0"/>
    <n v="159304.07"/>
    <x v="1"/>
    <s v="No"/>
    <x v="1"/>
    <n v="155915.24"/>
    <x v="0"/>
    <n v="0.213285558976229"/>
    <s v="No"/>
    <n v="1"/>
    <n v="0"/>
    <x v="0"/>
    <x v="0"/>
    <x v="3"/>
    <x v="1"/>
    <x v="1"/>
    <n v="0"/>
  </r>
  <r>
    <n v="648"/>
    <x v="1"/>
    <x v="0"/>
    <x v="5"/>
    <n v="5"/>
    <n v="138664.24"/>
    <x v="1"/>
    <s v="Yes"/>
    <x v="0"/>
    <n v="29076.27"/>
    <x v="1"/>
    <n v="0.26293008249851813"/>
    <s v="No"/>
    <n v="0"/>
    <n v="0"/>
    <x v="0"/>
    <x v="1"/>
    <x v="0"/>
    <x v="0"/>
    <x v="2"/>
    <n v="1"/>
  </r>
  <r>
    <n v="688"/>
    <x v="1"/>
    <x v="0"/>
    <x v="6"/>
    <n v="2"/>
    <n v="112871.19"/>
    <x v="0"/>
    <s v="No"/>
    <x v="1"/>
    <n v="65520.74"/>
    <x v="1"/>
    <n v="0.16590893271282259"/>
    <s v="No"/>
    <n v="0"/>
    <n v="0"/>
    <x v="1"/>
    <x v="0"/>
    <x v="0"/>
    <x v="0"/>
    <x v="3"/>
    <n v="1"/>
  </r>
  <r>
    <n v="757"/>
    <x v="2"/>
    <x v="1"/>
    <x v="60"/>
    <n v="0"/>
    <n v="88084.13"/>
    <x v="0"/>
    <s v="Yes"/>
    <x v="1"/>
    <n v="154337.47"/>
    <x v="1"/>
    <n v="0.57663845288565219"/>
    <s v="Yes"/>
    <n v="0"/>
    <n v="1"/>
    <x v="2"/>
    <x v="4"/>
    <x v="2"/>
    <x v="2"/>
    <x v="1"/>
    <n v="0"/>
  </r>
  <r>
    <n v="669"/>
    <x v="2"/>
    <x v="0"/>
    <x v="4"/>
    <n v="7"/>
    <n v="0"/>
    <x v="0"/>
    <s v="Yes"/>
    <x v="1"/>
    <n v="138145.62"/>
    <x v="1"/>
    <n v="2.5059107146888249E-2"/>
    <s v="No"/>
    <n v="0"/>
    <n v="0"/>
    <x v="1"/>
    <x v="2"/>
    <x v="1"/>
    <x v="0"/>
    <x v="0"/>
    <n v="1"/>
  </r>
  <r>
    <n v="438"/>
    <x v="1"/>
    <x v="0"/>
    <x v="31"/>
    <n v="7"/>
    <n v="127197.14"/>
    <x v="1"/>
    <s v="Yes"/>
    <x v="0"/>
    <n v="51565.98"/>
    <x v="0"/>
    <n v="0.72744578433156104"/>
    <s v="Yes"/>
    <n v="1"/>
    <n v="1"/>
    <x v="2"/>
    <x v="3"/>
    <x v="0"/>
    <x v="4"/>
    <x v="3"/>
    <n v="1"/>
  </r>
  <r>
    <n v="645"/>
    <x v="2"/>
    <x v="0"/>
    <x v="3"/>
    <n v="4"/>
    <n v="98298.18"/>
    <x v="1"/>
    <s v="Yes"/>
    <x v="1"/>
    <n v="676.06"/>
    <x v="1"/>
    <n v="8.7721260828601905E-2"/>
    <s v="No"/>
    <n v="0"/>
    <n v="0"/>
    <x v="1"/>
    <x v="0"/>
    <x v="2"/>
    <x v="0"/>
    <x v="2"/>
    <n v="1"/>
  </r>
  <r>
    <n v="775"/>
    <x v="1"/>
    <x v="1"/>
    <x v="2"/>
    <n v="6"/>
    <n v="179886.41"/>
    <x v="0"/>
    <s v="No"/>
    <x v="0"/>
    <n v="153122.57999999999"/>
    <x v="1"/>
    <n v="0.47097607092946647"/>
    <s v="No"/>
    <n v="0"/>
    <n v="0"/>
    <x v="0"/>
    <x v="1"/>
    <x v="3"/>
    <x v="2"/>
    <x v="1"/>
    <n v="1"/>
  </r>
  <r>
    <n v="659"/>
    <x v="1"/>
    <x v="0"/>
    <x v="10"/>
    <n v="8"/>
    <n v="52106.33"/>
    <x v="0"/>
    <s v="Yes"/>
    <x v="1"/>
    <n v="107964.36"/>
    <x v="1"/>
    <n v="0.1163460857879493"/>
    <s v="No"/>
    <n v="0"/>
    <n v="0"/>
    <x v="1"/>
    <x v="1"/>
    <x v="2"/>
    <x v="0"/>
    <x v="0"/>
    <n v="1"/>
  </r>
  <r>
    <n v="670"/>
    <x v="2"/>
    <x v="1"/>
    <x v="1"/>
    <n v="9"/>
    <n v="104930.38"/>
    <x v="1"/>
    <s v="Yes"/>
    <x v="0"/>
    <n v="155921.81"/>
    <x v="0"/>
    <n v="0.3787954965407121"/>
    <s v="No"/>
    <n v="1"/>
    <n v="0"/>
    <x v="0"/>
    <x v="0"/>
    <x v="0"/>
    <x v="0"/>
    <x v="1"/>
    <n v="0"/>
  </r>
  <r>
    <n v="602"/>
    <x v="1"/>
    <x v="1"/>
    <x v="12"/>
    <n v="2"/>
    <n v="113641.49"/>
    <x v="3"/>
    <s v="Yes"/>
    <x v="0"/>
    <n v="115116.35"/>
    <x v="0"/>
    <n v="0.5050674395496042"/>
    <s v="Yes"/>
    <n v="1"/>
    <n v="1"/>
    <x v="2"/>
    <x v="0"/>
    <x v="0"/>
    <x v="0"/>
    <x v="0"/>
    <n v="1"/>
  </r>
  <r>
    <n v="666"/>
    <x v="2"/>
    <x v="1"/>
    <x v="21"/>
    <n v="2"/>
    <n v="0"/>
    <x v="0"/>
    <s v="No"/>
    <x v="0"/>
    <n v="36371.269999999997"/>
    <x v="1"/>
    <n v="0.2434999137076044"/>
    <s v="No"/>
    <n v="0"/>
    <n v="0"/>
    <x v="0"/>
    <x v="1"/>
    <x v="1"/>
    <x v="0"/>
    <x v="2"/>
    <n v="1"/>
  </r>
  <r>
    <n v="764"/>
    <x v="2"/>
    <x v="1"/>
    <x v="23"/>
    <n v="0"/>
    <n v="0"/>
    <x v="0"/>
    <s v="Yes"/>
    <x v="0"/>
    <n v="88724.49"/>
    <x v="1"/>
    <n v="8.7171371929166588E-2"/>
    <s v="No"/>
    <n v="0"/>
    <n v="0"/>
    <x v="1"/>
    <x v="2"/>
    <x v="1"/>
    <x v="2"/>
    <x v="3"/>
    <n v="1"/>
  </r>
  <r>
    <n v="771"/>
    <x v="2"/>
    <x v="1"/>
    <x v="34"/>
    <n v="7"/>
    <n v="156123.73000000001"/>
    <x v="1"/>
    <s v="Yes"/>
    <x v="0"/>
    <n v="72990.62"/>
    <x v="1"/>
    <n v="0.11238798249239119"/>
    <s v="No"/>
    <n v="0"/>
    <n v="0"/>
    <x v="1"/>
    <x v="2"/>
    <x v="3"/>
    <x v="2"/>
    <x v="3"/>
    <n v="1"/>
  </r>
  <r>
    <n v="588"/>
    <x v="0"/>
    <x v="0"/>
    <x v="31"/>
    <n v="4"/>
    <n v="0"/>
    <x v="0"/>
    <s v="Yes"/>
    <x v="1"/>
    <n v="27435.41"/>
    <x v="1"/>
    <n v="0.2059652676039887"/>
    <s v="No"/>
    <n v="0"/>
    <n v="0"/>
    <x v="0"/>
    <x v="3"/>
    <x v="1"/>
    <x v="1"/>
    <x v="2"/>
    <n v="1"/>
  </r>
  <r>
    <n v="624"/>
    <x v="2"/>
    <x v="1"/>
    <x v="2"/>
    <n v="3"/>
    <n v="0"/>
    <x v="0"/>
    <s v="Yes"/>
    <x v="1"/>
    <n v="163666.85"/>
    <x v="1"/>
    <n v="8.9224220746639799E-2"/>
    <s v="No"/>
    <n v="0"/>
    <n v="0"/>
    <x v="1"/>
    <x v="1"/>
    <x v="1"/>
    <x v="0"/>
    <x v="1"/>
    <n v="1"/>
  </r>
  <r>
    <n v="489"/>
    <x v="2"/>
    <x v="1"/>
    <x v="18"/>
    <n v="7"/>
    <n v="139395.07999999999"/>
    <x v="1"/>
    <s v="No"/>
    <x v="1"/>
    <n v="6120.84"/>
    <x v="1"/>
    <n v="8.1823997228237383E-2"/>
    <s v="No"/>
    <n v="0"/>
    <n v="0"/>
    <x v="1"/>
    <x v="1"/>
    <x v="0"/>
    <x v="4"/>
    <x v="2"/>
    <n v="1"/>
  </r>
  <r>
    <n v="739"/>
    <x v="2"/>
    <x v="0"/>
    <x v="4"/>
    <n v="1"/>
    <n v="0"/>
    <x v="0"/>
    <s v="Yes"/>
    <x v="1"/>
    <n v="164484.78"/>
    <x v="1"/>
    <n v="2.7221751568493019E-2"/>
    <s v="No"/>
    <n v="0"/>
    <n v="0"/>
    <x v="1"/>
    <x v="2"/>
    <x v="1"/>
    <x v="2"/>
    <x v="1"/>
    <n v="1"/>
  </r>
  <r>
    <n v="666"/>
    <x v="2"/>
    <x v="0"/>
    <x v="28"/>
    <n v="3"/>
    <n v="0"/>
    <x v="0"/>
    <s v="Yes"/>
    <x v="0"/>
    <n v="35156.54"/>
    <x v="1"/>
    <n v="0.11611839700292"/>
    <s v="No"/>
    <n v="0"/>
    <n v="0"/>
    <x v="1"/>
    <x v="1"/>
    <x v="1"/>
    <x v="0"/>
    <x v="2"/>
    <n v="1"/>
  </r>
  <r>
    <n v="633"/>
    <x v="2"/>
    <x v="0"/>
    <x v="31"/>
    <n v="2"/>
    <n v="103996.74"/>
    <x v="1"/>
    <s v="Yes"/>
    <x v="1"/>
    <n v="103159.11"/>
    <x v="1"/>
    <n v="0.27609632175897408"/>
    <s v="No"/>
    <n v="0"/>
    <n v="0"/>
    <x v="0"/>
    <x v="3"/>
    <x v="0"/>
    <x v="0"/>
    <x v="0"/>
    <n v="1"/>
  </r>
  <r>
    <n v="672"/>
    <x v="1"/>
    <x v="1"/>
    <x v="34"/>
    <n v="10"/>
    <n v="110741.56"/>
    <x v="1"/>
    <s v="Yes"/>
    <x v="0"/>
    <n v="80778.5"/>
    <x v="1"/>
    <n v="0.20064770947017119"/>
    <s v="No"/>
    <n v="0"/>
    <n v="0"/>
    <x v="0"/>
    <x v="2"/>
    <x v="0"/>
    <x v="0"/>
    <x v="3"/>
    <n v="1"/>
  </r>
  <r>
    <n v="635"/>
    <x v="0"/>
    <x v="1"/>
    <x v="25"/>
    <n v="8"/>
    <n v="0"/>
    <x v="0"/>
    <s v="Yes"/>
    <x v="1"/>
    <n v="19367.98"/>
    <x v="0"/>
    <n v="5.1369974593701198E-2"/>
    <s v="No"/>
    <n v="1"/>
    <n v="0"/>
    <x v="1"/>
    <x v="1"/>
    <x v="1"/>
    <x v="0"/>
    <x v="2"/>
    <n v="0"/>
  </r>
  <r>
    <n v="641"/>
    <x v="2"/>
    <x v="0"/>
    <x v="6"/>
    <n v="6"/>
    <n v="0"/>
    <x v="0"/>
    <s v="Yes"/>
    <x v="0"/>
    <n v="65396.79"/>
    <x v="1"/>
    <n v="0.15644988682383931"/>
    <s v="No"/>
    <n v="0"/>
    <n v="0"/>
    <x v="1"/>
    <x v="0"/>
    <x v="1"/>
    <x v="0"/>
    <x v="3"/>
    <n v="1"/>
  </r>
  <r>
    <n v="538"/>
    <x v="2"/>
    <x v="0"/>
    <x v="18"/>
    <n v="1"/>
    <n v="0"/>
    <x v="0"/>
    <s v="Yes"/>
    <x v="0"/>
    <n v="1375.46"/>
    <x v="1"/>
    <n v="9.1922419540804171E-2"/>
    <s v="No"/>
    <n v="0"/>
    <n v="0"/>
    <x v="1"/>
    <x v="1"/>
    <x v="1"/>
    <x v="1"/>
    <x v="2"/>
    <n v="1"/>
  </r>
  <r>
    <n v="646"/>
    <x v="1"/>
    <x v="1"/>
    <x v="4"/>
    <n v="4"/>
    <n v="105957.44"/>
    <x v="1"/>
    <s v="Yes"/>
    <x v="0"/>
    <n v="15470.91"/>
    <x v="1"/>
    <n v="0.29932741589968309"/>
    <s v="No"/>
    <n v="0"/>
    <n v="0"/>
    <x v="0"/>
    <x v="2"/>
    <x v="0"/>
    <x v="0"/>
    <x v="2"/>
    <n v="1"/>
  </r>
  <r>
    <n v="679"/>
    <x v="1"/>
    <x v="0"/>
    <x v="42"/>
    <n v="9"/>
    <n v="135870.01"/>
    <x v="0"/>
    <s v="No"/>
    <x v="0"/>
    <n v="54038.62"/>
    <x v="1"/>
    <n v="0.55225558118165619"/>
    <s v="Yes"/>
    <n v="0"/>
    <n v="1"/>
    <x v="2"/>
    <x v="3"/>
    <x v="0"/>
    <x v="0"/>
    <x v="3"/>
    <n v="0"/>
  </r>
  <r>
    <n v="598"/>
    <x v="2"/>
    <x v="0"/>
    <x v="35"/>
    <n v="2"/>
    <n v="0"/>
    <x v="0"/>
    <s v="Yes"/>
    <x v="1"/>
    <n v="186116.54"/>
    <x v="1"/>
    <n v="0.10392722031028891"/>
    <s v="No"/>
    <n v="0"/>
    <n v="0"/>
    <x v="1"/>
    <x v="0"/>
    <x v="1"/>
    <x v="1"/>
    <x v="1"/>
    <n v="1"/>
  </r>
  <r>
    <n v="655"/>
    <x v="2"/>
    <x v="1"/>
    <x v="1"/>
    <n v="0"/>
    <n v="0"/>
    <x v="0"/>
    <s v="Yes"/>
    <x v="0"/>
    <n v="166830.71"/>
    <x v="1"/>
    <n v="0.33723187209290711"/>
    <s v="No"/>
    <n v="0"/>
    <n v="0"/>
    <x v="0"/>
    <x v="0"/>
    <x v="1"/>
    <x v="0"/>
    <x v="1"/>
    <n v="1"/>
  </r>
  <r>
    <n v="645"/>
    <x v="2"/>
    <x v="1"/>
    <x v="11"/>
    <n v="1"/>
    <n v="0"/>
    <x v="0"/>
    <s v="Yes"/>
    <x v="1"/>
    <n v="68987.55"/>
    <x v="1"/>
    <n v="8.1280752839433812E-2"/>
    <s v="No"/>
    <n v="0"/>
    <n v="0"/>
    <x v="1"/>
    <x v="1"/>
    <x v="1"/>
    <x v="0"/>
    <x v="3"/>
    <n v="1"/>
  </r>
  <r>
    <n v="590"/>
    <x v="2"/>
    <x v="1"/>
    <x v="25"/>
    <n v="0"/>
    <n v="127763.24"/>
    <x v="1"/>
    <s v="Yes"/>
    <x v="0"/>
    <n v="100717.54"/>
    <x v="1"/>
    <n v="0.2324004514573238"/>
    <s v="No"/>
    <n v="0"/>
    <n v="0"/>
    <x v="0"/>
    <x v="1"/>
    <x v="0"/>
    <x v="1"/>
    <x v="0"/>
    <n v="1"/>
  </r>
  <r>
    <n v="512"/>
    <x v="2"/>
    <x v="1"/>
    <x v="14"/>
    <n v="2"/>
    <n v="0"/>
    <x v="1"/>
    <s v="Yes"/>
    <x v="0"/>
    <n v="123304.62"/>
    <x v="1"/>
    <n v="0.84327836693501967"/>
    <s v="Yes"/>
    <n v="0"/>
    <n v="1"/>
    <x v="2"/>
    <x v="4"/>
    <x v="1"/>
    <x v="1"/>
    <x v="0"/>
    <n v="0"/>
  </r>
  <r>
    <n v="761"/>
    <x v="0"/>
    <x v="0"/>
    <x v="11"/>
    <n v="7"/>
    <n v="132730.17000000001"/>
    <x v="1"/>
    <s v="Yes"/>
    <x v="0"/>
    <n v="199293.01"/>
    <x v="1"/>
    <n v="0.17905426928397011"/>
    <s v="No"/>
    <n v="0"/>
    <n v="0"/>
    <x v="1"/>
    <x v="1"/>
    <x v="0"/>
    <x v="2"/>
    <x v="1"/>
    <n v="1"/>
  </r>
  <r>
    <n v="709"/>
    <x v="2"/>
    <x v="1"/>
    <x v="24"/>
    <n v="5"/>
    <n v="0"/>
    <x v="0"/>
    <s v="No"/>
    <x v="1"/>
    <n v="161388.22"/>
    <x v="1"/>
    <n v="4.8219383874733429E-2"/>
    <s v="No"/>
    <n v="0"/>
    <n v="0"/>
    <x v="1"/>
    <x v="2"/>
    <x v="1"/>
    <x v="2"/>
    <x v="1"/>
    <n v="1"/>
  </r>
  <r>
    <n v="597"/>
    <x v="0"/>
    <x v="1"/>
    <x v="41"/>
    <n v="3"/>
    <n v="0"/>
    <x v="1"/>
    <s v="Yes"/>
    <x v="1"/>
    <n v="70532.53"/>
    <x v="1"/>
    <n v="0.46438164237341112"/>
    <s v="No"/>
    <n v="0"/>
    <n v="0"/>
    <x v="0"/>
    <x v="4"/>
    <x v="1"/>
    <x v="1"/>
    <x v="3"/>
    <n v="1"/>
  </r>
  <r>
    <n v="634"/>
    <x v="2"/>
    <x v="1"/>
    <x v="1"/>
    <n v="2"/>
    <n v="0"/>
    <x v="3"/>
    <s v="Yes"/>
    <x v="0"/>
    <n v="101039.53"/>
    <x v="0"/>
    <n v="0.27994759121994323"/>
    <s v="No"/>
    <n v="1"/>
    <n v="0"/>
    <x v="0"/>
    <x v="0"/>
    <x v="1"/>
    <x v="0"/>
    <x v="0"/>
    <n v="0"/>
  </r>
  <r>
    <n v="497"/>
    <x v="1"/>
    <x v="1"/>
    <x v="25"/>
    <n v="8"/>
    <n v="111537.23"/>
    <x v="3"/>
    <s v="Yes"/>
    <x v="1"/>
    <n v="9497.99"/>
    <x v="0"/>
    <n v="0.11982405355276469"/>
    <s v="No"/>
    <n v="1"/>
    <n v="0"/>
    <x v="1"/>
    <x v="1"/>
    <x v="0"/>
    <x v="4"/>
    <x v="2"/>
    <n v="0"/>
  </r>
  <r>
    <n v="656"/>
    <x v="2"/>
    <x v="0"/>
    <x v="6"/>
    <n v="2"/>
    <n v="0"/>
    <x v="0"/>
    <s v="Yes"/>
    <x v="0"/>
    <n v="158973.76999999999"/>
    <x v="1"/>
    <n v="0.17310726291873069"/>
    <s v="No"/>
    <n v="0"/>
    <n v="0"/>
    <x v="1"/>
    <x v="0"/>
    <x v="1"/>
    <x v="0"/>
    <x v="1"/>
    <n v="1"/>
  </r>
  <r>
    <n v="710"/>
    <x v="0"/>
    <x v="1"/>
    <x v="18"/>
    <n v="5"/>
    <n v="0"/>
    <x v="0"/>
    <s v="Yes"/>
    <x v="0"/>
    <n v="9561.73"/>
    <x v="1"/>
    <n v="0.13031923530392919"/>
    <s v="No"/>
    <n v="0"/>
    <n v="0"/>
    <x v="1"/>
    <x v="1"/>
    <x v="1"/>
    <x v="2"/>
    <x v="2"/>
    <n v="1"/>
  </r>
  <r>
    <n v="673"/>
    <x v="0"/>
    <x v="0"/>
    <x v="10"/>
    <n v="8"/>
    <n v="138160"/>
    <x v="1"/>
    <s v="Yes"/>
    <x v="1"/>
    <n v="110468.51"/>
    <x v="1"/>
    <n v="7.8773193937600572E-2"/>
    <s v="No"/>
    <n v="0"/>
    <n v="0"/>
    <x v="1"/>
    <x v="1"/>
    <x v="0"/>
    <x v="0"/>
    <x v="0"/>
    <n v="1"/>
  </r>
  <r>
    <n v="581"/>
    <x v="2"/>
    <x v="0"/>
    <x v="24"/>
    <n v="1"/>
    <n v="0"/>
    <x v="0"/>
    <s v="Yes"/>
    <x v="0"/>
    <n v="199464.08"/>
    <x v="1"/>
    <n v="9.2513633098732173E-2"/>
    <s v="No"/>
    <n v="0"/>
    <n v="0"/>
    <x v="1"/>
    <x v="2"/>
    <x v="1"/>
    <x v="1"/>
    <x v="1"/>
    <n v="1"/>
  </r>
  <r>
    <n v="592"/>
    <x v="2"/>
    <x v="0"/>
    <x v="10"/>
    <n v="7"/>
    <n v="0"/>
    <x v="0"/>
    <s v="Yes"/>
    <x v="0"/>
    <n v="83084.33"/>
    <x v="1"/>
    <n v="0.1407786384899187"/>
    <s v="No"/>
    <n v="0"/>
    <n v="0"/>
    <x v="1"/>
    <x v="1"/>
    <x v="1"/>
    <x v="1"/>
    <x v="3"/>
    <n v="1"/>
  </r>
  <r>
    <n v="669"/>
    <x v="1"/>
    <x v="1"/>
    <x v="24"/>
    <n v="7"/>
    <n v="139872.81"/>
    <x v="1"/>
    <s v="Yes"/>
    <x v="0"/>
    <n v="188795.85"/>
    <x v="1"/>
    <n v="0.3391859584225318"/>
    <s v="No"/>
    <n v="0"/>
    <n v="0"/>
    <x v="0"/>
    <x v="2"/>
    <x v="0"/>
    <x v="0"/>
    <x v="1"/>
    <n v="1"/>
  </r>
  <r>
    <n v="624"/>
    <x v="0"/>
    <x v="1"/>
    <x v="2"/>
    <n v="8"/>
    <n v="0"/>
    <x v="0"/>
    <s v="Yes"/>
    <x v="0"/>
    <n v="95403.41"/>
    <x v="1"/>
    <n v="0.2088313507876903"/>
    <s v="No"/>
    <n v="0"/>
    <n v="0"/>
    <x v="0"/>
    <x v="1"/>
    <x v="1"/>
    <x v="0"/>
    <x v="3"/>
    <n v="1"/>
  </r>
  <r>
    <n v="602"/>
    <x v="2"/>
    <x v="1"/>
    <x v="36"/>
    <n v="0"/>
    <n v="0"/>
    <x v="0"/>
    <s v="Yes"/>
    <x v="1"/>
    <n v="101274.17"/>
    <x v="1"/>
    <n v="3.7493702959236437E-2"/>
    <s v="No"/>
    <n v="0"/>
    <n v="0"/>
    <x v="1"/>
    <x v="2"/>
    <x v="1"/>
    <x v="0"/>
    <x v="0"/>
    <n v="1"/>
  </r>
  <r>
    <n v="834"/>
    <x v="2"/>
    <x v="0"/>
    <x v="28"/>
    <n v="8"/>
    <n v="142882.49"/>
    <x v="1"/>
    <s v="Yes"/>
    <x v="0"/>
    <n v="89983.02"/>
    <x v="0"/>
    <n v="0.1492677218601145"/>
    <s v="No"/>
    <n v="1"/>
    <n v="0"/>
    <x v="1"/>
    <x v="1"/>
    <x v="0"/>
    <x v="3"/>
    <x v="3"/>
    <n v="0"/>
  </r>
  <r>
    <n v="633"/>
    <x v="2"/>
    <x v="1"/>
    <x v="0"/>
    <n v="7"/>
    <n v="0"/>
    <x v="0"/>
    <s v="Yes"/>
    <x v="0"/>
    <n v="29761.29"/>
    <x v="1"/>
    <n v="0.27896176504899722"/>
    <s v="No"/>
    <n v="0"/>
    <n v="0"/>
    <x v="0"/>
    <x v="0"/>
    <x v="1"/>
    <x v="0"/>
    <x v="2"/>
    <n v="1"/>
  </r>
  <r>
    <n v="743"/>
    <x v="1"/>
    <x v="0"/>
    <x v="53"/>
    <n v="2"/>
    <n v="131935.51"/>
    <x v="1"/>
    <s v="Yes"/>
    <x v="1"/>
    <n v="96399.67"/>
    <x v="0"/>
    <n v="0.56486673959757605"/>
    <s v="Yes"/>
    <n v="1"/>
    <n v="1"/>
    <x v="2"/>
    <x v="4"/>
    <x v="0"/>
    <x v="2"/>
    <x v="3"/>
    <n v="1"/>
  </r>
  <r>
    <n v="567"/>
    <x v="2"/>
    <x v="0"/>
    <x v="2"/>
    <n v="6"/>
    <n v="127678.8"/>
    <x v="0"/>
    <s v="No"/>
    <x v="0"/>
    <n v="45422.89"/>
    <x v="1"/>
    <n v="0.1818779968358499"/>
    <s v="No"/>
    <n v="0"/>
    <n v="0"/>
    <x v="1"/>
    <x v="1"/>
    <x v="0"/>
    <x v="1"/>
    <x v="2"/>
    <n v="1"/>
  </r>
  <r>
    <n v="706"/>
    <x v="1"/>
    <x v="1"/>
    <x v="16"/>
    <n v="4"/>
    <n v="105214.58"/>
    <x v="1"/>
    <s v="Yes"/>
    <x v="0"/>
    <n v="108699.59"/>
    <x v="0"/>
    <n v="0.60254357643754108"/>
    <s v="Yes"/>
    <n v="1"/>
    <n v="1"/>
    <x v="2"/>
    <x v="0"/>
    <x v="0"/>
    <x v="2"/>
    <x v="0"/>
    <n v="1"/>
  </r>
  <r>
    <n v="641"/>
    <x v="2"/>
    <x v="1"/>
    <x v="2"/>
    <n v="3"/>
    <n v="0"/>
    <x v="0"/>
    <s v="Yes"/>
    <x v="0"/>
    <n v="116466.19"/>
    <x v="1"/>
    <n v="0.219008333570097"/>
    <s v="No"/>
    <n v="0"/>
    <n v="0"/>
    <x v="0"/>
    <x v="1"/>
    <x v="1"/>
    <x v="0"/>
    <x v="0"/>
    <n v="1"/>
  </r>
  <r>
    <n v="681"/>
    <x v="2"/>
    <x v="0"/>
    <x v="36"/>
    <n v="5"/>
    <n v="0"/>
    <x v="1"/>
    <s v="No"/>
    <x v="1"/>
    <n v="90860.97"/>
    <x v="1"/>
    <n v="2.15314459081027E-2"/>
    <s v="No"/>
    <n v="0"/>
    <n v="0"/>
    <x v="1"/>
    <x v="2"/>
    <x v="1"/>
    <x v="0"/>
    <x v="3"/>
    <n v="1"/>
  </r>
  <r>
    <n v="850"/>
    <x v="1"/>
    <x v="0"/>
    <x v="3"/>
    <n v="8"/>
    <n v="119839.69"/>
    <x v="1"/>
    <s v="No"/>
    <x v="1"/>
    <n v="51016.02"/>
    <x v="0"/>
    <n v="0.15999882257900011"/>
    <s v="No"/>
    <n v="1"/>
    <n v="0"/>
    <x v="1"/>
    <x v="0"/>
    <x v="0"/>
    <x v="3"/>
    <x v="3"/>
    <n v="0"/>
  </r>
  <r>
    <n v="730"/>
    <x v="2"/>
    <x v="0"/>
    <x v="19"/>
    <n v="1"/>
    <n v="0"/>
    <x v="0"/>
    <s v="Yes"/>
    <x v="1"/>
    <n v="126592.01"/>
    <x v="1"/>
    <n v="3.8377771866727757E-2"/>
    <s v="No"/>
    <n v="0"/>
    <n v="0"/>
    <x v="1"/>
    <x v="1"/>
    <x v="1"/>
    <x v="2"/>
    <x v="0"/>
    <n v="1"/>
  </r>
  <r>
    <n v="812"/>
    <x v="2"/>
    <x v="0"/>
    <x v="23"/>
    <n v="10"/>
    <n v="0"/>
    <x v="0"/>
    <s v="Yes"/>
    <x v="1"/>
    <n v="156906.15"/>
    <x v="1"/>
    <n v="1.5083209120575281E-2"/>
    <s v="No"/>
    <n v="0"/>
    <n v="0"/>
    <x v="1"/>
    <x v="2"/>
    <x v="1"/>
    <x v="3"/>
    <x v="1"/>
    <n v="1"/>
  </r>
  <r>
    <n v="605"/>
    <x v="2"/>
    <x v="0"/>
    <x v="10"/>
    <n v="7"/>
    <n v="0"/>
    <x v="1"/>
    <s v="No"/>
    <x v="1"/>
    <n v="119348.28"/>
    <x v="1"/>
    <n v="5.9996852230691892E-2"/>
    <s v="No"/>
    <n v="0"/>
    <n v="0"/>
    <x v="1"/>
    <x v="1"/>
    <x v="1"/>
    <x v="0"/>
    <x v="0"/>
    <n v="1"/>
  </r>
  <r>
    <n v="650"/>
    <x v="0"/>
    <x v="0"/>
    <x v="25"/>
    <n v="1"/>
    <n v="132187.73000000001"/>
    <x v="0"/>
    <s v="Yes"/>
    <x v="1"/>
    <n v="178331.36"/>
    <x v="1"/>
    <n v="5.1967509239945447E-2"/>
    <s v="No"/>
    <n v="0"/>
    <n v="0"/>
    <x v="1"/>
    <x v="1"/>
    <x v="0"/>
    <x v="0"/>
    <x v="1"/>
    <n v="1"/>
  </r>
  <r>
    <n v="850"/>
    <x v="1"/>
    <x v="0"/>
    <x v="9"/>
    <n v="8"/>
    <n v="98649.55"/>
    <x v="1"/>
    <s v="Yes"/>
    <x v="0"/>
    <n v="119174.88"/>
    <x v="0"/>
    <n v="0.47516560618353459"/>
    <s v="No"/>
    <n v="1"/>
    <n v="0"/>
    <x v="0"/>
    <x v="0"/>
    <x v="2"/>
    <x v="3"/>
    <x v="0"/>
    <n v="0"/>
  </r>
  <r>
    <n v="753"/>
    <x v="2"/>
    <x v="1"/>
    <x v="12"/>
    <n v="5"/>
    <n v="0"/>
    <x v="0"/>
    <s v="Yes"/>
    <x v="0"/>
    <n v="109881.71"/>
    <x v="1"/>
    <n v="0.26458179076039379"/>
    <s v="No"/>
    <n v="0"/>
    <n v="0"/>
    <x v="0"/>
    <x v="0"/>
    <x v="1"/>
    <x v="2"/>
    <x v="0"/>
    <n v="1"/>
  </r>
  <r>
    <n v="619"/>
    <x v="2"/>
    <x v="1"/>
    <x v="5"/>
    <n v="2"/>
    <n v="167733.51"/>
    <x v="0"/>
    <s v="Yes"/>
    <x v="1"/>
    <n v="65222.48"/>
    <x v="1"/>
    <n v="9.1937208490106045E-2"/>
    <s v="No"/>
    <n v="0"/>
    <n v="0"/>
    <x v="1"/>
    <x v="1"/>
    <x v="3"/>
    <x v="0"/>
    <x v="3"/>
    <n v="1"/>
  </r>
  <r>
    <n v="619"/>
    <x v="1"/>
    <x v="1"/>
    <x v="18"/>
    <n v="2"/>
    <n v="56116.3"/>
    <x v="0"/>
    <s v="No"/>
    <x v="0"/>
    <n v="2181.94"/>
    <x v="1"/>
    <n v="0.29895943058895108"/>
    <s v="No"/>
    <n v="0"/>
    <n v="0"/>
    <x v="0"/>
    <x v="1"/>
    <x v="2"/>
    <x v="0"/>
    <x v="2"/>
    <n v="1"/>
  </r>
  <r>
    <n v="687"/>
    <x v="2"/>
    <x v="1"/>
    <x v="0"/>
    <n v="9"/>
    <n v="0"/>
    <x v="0"/>
    <s v="No"/>
    <x v="0"/>
    <n v="103042.2"/>
    <x v="0"/>
    <n v="0.2782084129550676"/>
    <s v="No"/>
    <n v="1"/>
    <n v="0"/>
    <x v="0"/>
    <x v="0"/>
    <x v="1"/>
    <x v="0"/>
    <x v="0"/>
    <n v="0"/>
  </r>
  <r>
    <n v="485"/>
    <x v="1"/>
    <x v="0"/>
    <x v="19"/>
    <n v="3"/>
    <n v="133658.23999999999"/>
    <x v="1"/>
    <s v="Yes"/>
    <x v="0"/>
    <n v="70209.83"/>
    <x v="1"/>
    <n v="0.31123794287855477"/>
    <s v="No"/>
    <n v="0"/>
    <n v="0"/>
    <x v="0"/>
    <x v="1"/>
    <x v="0"/>
    <x v="4"/>
    <x v="3"/>
    <n v="1"/>
  </r>
  <r>
    <n v="446"/>
    <x v="1"/>
    <x v="0"/>
    <x v="36"/>
    <n v="3"/>
    <n v="136202.78"/>
    <x v="1"/>
    <s v="Yes"/>
    <x v="0"/>
    <n v="176743.51"/>
    <x v="1"/>
    <n v="0.20309237280540099"/>
    <s v="No"/>
    <n v="0"/>
    <n v="0"/>
    <x v="0"/>
    <x v="2"/>
    <x v="0"/>
    <x v="4"/>
    <x v="1"/>
    <n v="1"/>
  </r>
  <r>
    <n v="522"/>
    <x v="2"/>
    <x v="1"/>
    <x v="19"/>
    <n v="3"/>
    <n v="0"/>
    <x v="0"/>
    <s v="Yes"/>
    <x v="1"/>
    <n v="3894.34"/>
    <x v="1"/>
    <n v="6.6739456819992021E-2"/>
    <s v="No"/>
    <n v="0"/>
    <n v="0"/>
    <x v="1"/>
    <x v="1"/>
    <x v="1"/>
    <x v="1"/>
    <x v="2"/>
    <n v="1"/>
  </r>
  <r>
    <n v="805"/>
    <x v="1"/>
    <x v="1"/>
    <x v="27"/>
    <n v="8"/>
    <n v="42712.87"/>
    <x v="0"/>
    <s v="Yes"/>
    <x v="1"/>
    <n v="28861.69"/>
    <x v="1"/>
    <n v="6.8394608647817615E-2"/>
    <s v="No"/>
    <n v="0"/>
    <n v="0"/>
    <x v="1"/>
    <x v="2"/>
    <x v="4"/>
    <x v="3"/>
    <x v="2"/>
    <n v="1"/>
  </r>
  <r>
    <n v="689"/>
    <x v="0"/>
    <x v="1"/>
    <x v="26"/>
    <n v="4"/>
    <n v="0"/>
    <x v="0"/>
    <s v="Yes"/>
    <x v="0"/>
    <n v="136649.79999999999"/>
    <x v="0"/>
    <n v="0.53273097859692886"/>
    <s v="Yes"/>
    <n v="1"/>
    <n v="1"/>
    <x v="2"/>
    <x v="3"/>
    <x v="1"/>
    <x v="0"/>
    <x v="0"/>
    <n v="1"/>
  </r>
  <r>
    <n v="670"/>
    <x v="2"/>
    <x v="0"/>
    <x v="5"/>
    <n v="2"/>
    <n v="141204.65"/>
    <x v="0"/>
    <s v="Yes"/>
    <x v="0"/>
    <n v="76257.460000000006"/>
    <x v="1"/>
    <n v="0.13637783139165999"/>
    <s v="No"/>
    <n v="0"/>
    <n v="0"/>
    <x v="1"/>
    <x v="1"/>
    <x v="0"/>
    <x v="0"/>
    <x v="3"/>
    <n v="1"/>
  </r>
  <r>
    <n v="524"/>
    <x v="1"/>
    <x v="1"/>
    <x v="36"/>
    <n v="7"/>
    <n v="131402.21"/>
    <x v="1"/>
    <s v="No"/>
    <x v="0"/>
    <n v="193668.49"/>
    <x v="1"/>
    <n v="0.28424194633028271"/>
    <s v="No"/>
    <n v="0"/>
    <n v="0"/>
    <x v="0"/>
    <x v="2"/>
    <x v="0"/>
    <x v="1"/>
    <x v="1"/>
    <n v="1"/>
  </r>
  <r>
    <n v="578"/>
    <x v="1"/>
    <x v="1"/>
    <x v="18"/>
    <n v="5"/>
    <n v="102088.68"/>
    <x v="3"/>
    <s v="No"/>
    <x v="0"/>
    <n v="187866.21"/>
    <x v="0"/>
    <n v="0.29579112340211938"/>
    <s v="No"/>
    <n v="1"/>
    <n v="0"/>
    <x v="0"/>
    <x v="1"/>
    <x v="0"/>
    <x v="1"/>
    <x v="1"/>
    <n v="0"/>
  </r>
  <r>
    <n v="687"/>
    <x v="2"/>
    <x v="0"/>
    <x v="20"/>
    <n v="4"/>
    <n v="0"/>
    <x v="0"/>
    <s v="Yes"/>
    <x v="1"/>
    <n v="170893.85"/>
    <x v="1"/>
    <n v="0.1006478508402968"/>
    <s v="No"/>
    <n v="0"/>
    <n v="0"/>
    <x v="1"/>
    <x v="0"/>
    <x v="1"/>
    <x v="0"/>
    <x v="1"/>
    <n v="1"/>
  </r>
  <r>
    <n v="410"/>
    <x v="1"/>
    <x v="1"/>
    <x v="32"/>
    <n v="2"/>
    <n v="102278.79"/>
    <x v="0"/>
    <s v="Yes"/>
    <x v="0"/>
    <n v="89822.48"/>
    <x v="1"/>
    <n v="0.6973625782998506"/>
    <s v="Yes"/>
    <n v="0"/>
    <n v="1"/>
    <x v="2"/>
    <x v="0"/>
    <x v="0"/>
    <x v="4"/>
    <x v="3"/>
    <n v="0"/>
  </r>
  <r>
    <n v="537"/>
    <x v="2"/>
    <x v="1"/>
    <x v="6"/>
    <n v="0"/>
    <n v="0"/>
    <x v="0"/>
    <s v="No"/>
    <x v="1"/>
    <n v="175262.49"/>
    <x v="1"/>
    <n v="0.1253331243786534"/>
    <s v="No"/>
    <n v="0"/>
    <n v="0"/>
    <x v="1"/>
    <x v="0"/>
    <x v="1"/>
    <x v="1"/>
    <x v="1"/>
    <n v="1"/>
  </r>
  <r>
    <n v="780"/>
    <x v="2"/>
    <x v="1"/>
    <x v="12"/>
    <n v="0"/>
    <n v="0"/>
    <x v="1"/>
    <s v="No"/>
    <x v="1"/>
    <n v="15705.27"/>
    <x v="1"/>
    <n v="0.12468709752017421"/>
    <s v="No"/>
    <n v="0"/>
    <n v="0"/>
    <x v="1"/>
    <x v="0"/>
    <x v="1"/>
    <x v="2"/>
    <x v="2"/>
    <n v="1"/>
  </r>
  <r>
    <n v="620"/>
    <x v="1"/>
    <x v="0"/>
    <x v="22"/>
    <n v="0"/>
    <n v="76989.97"/>
    <x v="1"/>
    <s v="Yes"/>
    <x v="1"/>
    <n v="17242.79"/>
    <x v="1"/>
    <n v="0.11703440073968011"/>
    <s v="No"/>
    <n v="0"/>
    <n v="0"/>
    <x v="1"/>
    <x v="1"/>
    <x v="2"/>
    <x v="0"/>
    <x v="2"/>
    <n v="1"/>
  </r>
  <r>
    <n v="809"/>
    <x v="2"/>
    <x v="0"/>
    <x v="23"/>
    <n v="7"/>
    <n v="109558.36"/>
    <x v="1"/>
    <s v="Yes"/>
    <x v="0"/>
    <n v="183515.13"/>
    <x v="1"/>
    <n v="6.7532962752967912E-2"/>
    <s v="No"/>
    <n v="0"/>
    <n v="0"/>
    <x v="1"/>
    <x v="2"/>
    <x v="0"/>
    <x v="3"/>
    <x v="1"/>
    <n v="1"/>
  </r>
  <r>
    <n v="537"/>
    <x v="0"/>
    <x v="0"/>
    <x v="3"/>
    <n v="1"/>
    <n v="190569.23"/>
    <x v="1"/>
    <s v="No"/>
    <x v="1"/>
    <n v="127154.8"/>
    <x v="1"/>
    <n v="0.13858404849222869"/>
    <s v="No"/>
    <n v="0"/>
    <n v="0"/>
    <x v="1"/>
    <x v="0"/>
    <x v="3"/>
    <x v="1"/>
    <x v="0"/>
    <n v="1"/>
  </r>
  <r>
    <n v="536"/>
    <x v="0"/>
    <x v="0"/>
    <x v="38"/>
    <n v="2"/>
    <n v="143923.96"/>
    <x v="1"/>
    <s v="Yes"/>
    <x v="0"/>
    <n v="2019.78"/>
    <x v="0"/>
    <n v="0.45871341501293111"/>
    <s v="No"/>
    <n v="1"/>
    <n v="0"/>
    <x v="0"/>
    <x v="3"/>
    <x v="0"/>
    <x v="1"/>
    <x v="2"/>
    <n v="0"/>
  </r>
  <r>
    <n v="543"/>
    <x v="2"/>
    <x v="1"/>
    <x v="25"/>
    <n v="7"/>
    <n v="147256.85999999999"/>
    <x v="1"/>
    <s v="Yes"/>
    <x v="0"/>
    <n v="112771.95"/>
    <x v="1"/>
    <n v="0.22382498420078231"/>
    <s v="No"/>
    <n v="0"/>
    <n v="0"/>
    <x v="0"/>
    <x v="1"/>
    <x v="0"/>
    <x v="1"/>
    <x v="0"/>
    <n v="1"/>
  </r>
  <r>
    <n v="537"/>
    <x v="1"/>
    <x v="0"/>
    <x v="20"/>
    <n v="4"/>
    <n v="131834.79999999999"/>
    <x v="1"/>
    <s v="Yes"/>
    <x v="0"/>
    <n v="166476.95000000001"/>
    <x v="0"/>
    <n v="0.55845891796657565"/>
    <s v="Yes"/>
    <n v="1"/>
    <n v="1"/>
    <x v="2"/>
    <x v="0"/>
    <x v="0"/>
    <x v="1"/>
    <x v="1"/>
    <n v="1"/>
  </r>
  <r>
    <n v="692"/>
    <x v="0"/>
    <x v="1"/>
    <x v="0"/>
    <n v="8"/>
    <n v="0"/>
    <x v="1"/>
    <s v="No"/>
    <x v="1"/>
    <n v="159069.37"/>
    <x v="1"/>
    <n v="0.1354594535041333"/>
    <s v="No"/>
    <n v="0"/>
    <n v="0"/>
    <x v="1"/>
    <x v="0"/>
    <x v="1"/>
    <x v="0"/>
    <x v="1"/>
    <n v="1"/>
  </r>
  <r>
    <n v="554"/>
    <x v="2"/>
    <x v="0"/>
    <x v="18"/>
    <n v="1"/>
    <n v="0"/>
    <x v="0"/>
    <s v="No"/>
    <x v="1"/>
    <n v="192660.55"/>
    <x v="1"/>
    <n v="3.7251652017120107E-2"/>
    <s v="No"/>
    <n v="0"/>
    <n v="0"/>
    <x v="1"/>
    <x v="1"/>
    <x v="1"/>
    <x v="1"/>
    <x v="1"/>
    <n v="1"/>
  </r>
  <r>
    <n v="585"/>
    <x v="1"/>
    <x v="1"/>
    <x v="21"/>
    <n v="3"/>
    <n v="162261.01"/>
    <x v="0"/>
    <s v="Yes"/>
    <x v="0"/>
    <n v="137028.51"/>
    <x v="1"/>
    <n v="0.53388938785243623"/>
    <s v="Yes"/>
    <n v="0"/>
    <n v="1"/>
    <x v="2"/>
    <x v="1"/>
    <x v="3"/>
    <x v="1"/>
    <x v="0"/>
    <n v="0"/>
  </r>
  <r>
    <n v="646"/>
    <x v="2"/>
    <x v="0"/>
    <x v="51"/>
    <n v="10"/>
    <n v="0"/>
    <x v="0"/>
    <s v="No"/>
    <x v="1"/>
    <n v="52795.15"/>
    <x v="1"/>
    <n v="1.062313372821682E-2"/>
    <s v="No"/>
    <n v="0"/>
    <n v="0"/>
    <x v="1"/>
    <x v="5"/>
    <x v="1"/>
    <x v="0"/>
    <x v="3"/>
    <n v="1"/>
  </r>
  <r>
    <n v="627"/>
    <x v="1"/>
    <x v="0"/>
    <x v="2"/>
    <n v="8"/>
    <n v="106922.92"/>
    <x v="0"/>
    <s v="No"/>
    <x v="1"/>
    <n v="84270.09"/>
    <x v="1"/>
    <n v="0.12805076731743831"/>
    <s v="No"/>
    <n v="0"/>
    <n v="0"/>
    <x v="1"/>
    <x v="1"/>
    <x v="0"/>
    <x v="0"/>
    <x v="3"/>
    <n v="1"/>
  </r>
  <r>
    <n v="658"/>
    <x v="2"/>
    <x v="1"/>
    <x v="12"/>
    <n v="7"/>
    <n v="140260.35999999999"/>
    <x v="0"/>
    <s v="Yes"/>
    <x v="0"/>
    <n v="2748.72"/>
    <x v="1"/>
    <n v="0.33347576887341929"/>
    <s v="No"/>
    <n v="0"/>
    <n v="0"/>
    <x v="0"/>
    <x v="0"/>
    <x v="0"/>
    <x v="0"/>
    <x v="2"/>
    <n v="1"/>
  </r>
  <r>
    <n v="663"/>
    <x v="0"/>
    <x v="0"/>
    <x v="54"/>
    <n v="6"/>
    <n v="0"/>
    <x v="0"/>
    <s v="No"/>
    <x v="1"/>
    <n v="15876.52"/>
    <x v="1"/>
    <n v="0.26014654802620618"/>
    <s v="No"/>
    <n v="0"/>
    <n v="0"/>
    <x v="0"/>
    <x v="4"/>
    <x v="1"/>
    <x v="0"/>
    <x v="2"/>
    <n v="1"/>
  </r>
  <r>
    <n v="659"/>
    <x v="2"/>
    <x v="0"/>
    <x v="49"/>
    <n v="8"/>
    <n v="133436.51999999999"/>
    <x v="1"/>
    <s v="Yes"/>
    <x v="0"/>
    <n v="56787.8"/>
    <x v="1"/>
    <n v="0.4181490435511242"/>
    <s v="No"/>
    <n v="0"/>
    <n v="0"/>
    <x v="0"/>
    <x v="3"/>
    <x v="0"/>
    <x v="0"/>
    <x v="3"/>
    <n v="1"/>
  </r>
  <r>
    <n v="752"/>
    <x v="2"/>
    <x v="0"/>
    <x v="2"/>
    <n v="0"/>
    <n v="145974.79"/>
    <x v="0"/>
    <s v="Yes"/>
    <x v="1"/>
    <n v="137694.23000000001"/>
    <x v="1"/>
    <n v="7.3368119614582977E-2"/>
    <s v="No"/>
    <n v="0"/>
    <n v="0"/>
    <x v="1"/>
    <x v="1"/>
    <x v="0"/>
    <x v="2"/>
    <x v="0"/>
    <n v="1"/>
  </r>
  <r>
    <n v="685"/>
    <x v="0"/>
    <x v="0"/>
    <x v="10"/>
    <n v="9"/>
    <n v="0"/>
    <x v="0"/>
    <s v="Yes"/>
    <x v="1"/>
    <n v="18826.060000000001"/>
    <x v="1"/>
    <n v="4.7417139150674331E-2"/>
    <s v="No"/>
    <n v="0"/>
    <n v="0"/>
    <x v="1"/>
    <x v="1"/>
    <x v="1"/>
    <x v="0"/>
    <x v="2"/>
    <n v="1"/>
  </r>
  <r>
    <n v="487"/>
    <x v="0"/>
    <x v="0"/>
    <x v="0"/>
    <n v="6"/>
    <n v="61691.45"/>
    <x v="1"/>
    <s v="Yes"/>
    <x v="1"/>
    <n v="53087.98"/>
    <x v="1"/>
    <n v="0.1042272642922198"/>
    <s v="No"/>
    <n v="0"/>
    <n v="0"/>
    <x v="1"/>
    <x v="0"/>
    <x v="2"/>
    <x v="4"/>
    <x v="3"/>
    <n v="1"/>
  </r>
  <r>
    <n v="737"/>
    <x v="0"/>
    <x v="1"/>
    <x v="1"/>
    <n v="2"/>
    <n v="0"/>
    <x v="0"/>
    <s v="No"/>
    <x v="1"/>
    <n v="177695.67"/>
    <x v="1"/>
    <n v="0.14366825463618349"/>
    <s v="No"/>
    <n v="0"/>
    <n v="0"/>
    <x v="1"/>
    <x v="0"/>
    <x v="1"/>
    <x v="2"/>
    <x v="1"/>
    <n v="1"/>
  </r>
  <r>
    <n v="613"/>
    <x v="1"/>
    <x v="0"/>
    <x v="21"/>
    <n v="1"/>
    <n v="147856.82"/>
    <x v="2"/>
    <s v="No"/>
    <x v="0"/>
    <n v="107961.11"/>
    <x v="0"/>
    <n v="0.37366885826730861"/>
    <s v="No"/>
    <n v="1"/>
    <n v="0"/>
    <x v="0"/>
    <x v="1"/>
    <x v="0"/>
    <x v="0"/>
    <x v="0"/>
    <n v="0"/>
  </r>
  <r>
    <n v="711"/>
    <x v="0"/>
    <x v="0"/>
    <x v="28"/>
    <n v="8"/>
    <n v="0"/>
    <x v="0"/>
    <s v="Yes"/>
    <x v="0"/>
    <n v="55207.41"/>
    <x v="1"/>
    <n v="0.10811280971080869"/>
    <s v="No"/>
    <n v="0"/>
    <n v="0"/>
    <x v="1"/>
    <x v="1"/>
    <x v="1"/>
    <x v="2"/>
    <x v="3"/>
    <n v="1"/>
  </r>
  <r>
    <n v="752"/>
    <x v="2"/>
    <x v="1"/>
    <x v="38"/>
    <n v="8"/>
    <n v="114233.18"/>
    <x v="1"/>
    <s v="Yes"/>
    <x v="1"/>
    <n v="51587.040000000001"/>
    <x v="1"/>
    <n v="0.25657818960733159"/>
    <s v="No"/>
    <n v="0"/>
    <n v="0"/>
    <x v="0"/>
    <x v="3"/>
    <x v="0"/>
    <x v="2"/>
    <x v="3"/>
    <n v="1"/>
  </r>
  <r>
    <n v="529"/>
    <x v="2"/>
    <x v="0"/>
    <x v="3"/>
    <n v="1"/>
    <n v="157498.9"/>
    <x v="1"/>
    <s v="Yes"/>
    <x v="1"/>
    <n v="82276.62"/>
    <x v="1"/>
    <n v="0.1188863078511805"/>
    <s v="No"/>
    <n v="0"/>
    <n v="0"/>
    <x v="1"/>
    <x v="0"/>
    <x v="3"/>
    <x v="1"/>
    <x v="3"/>
    <n v="1"/>
  </r>
  <r>
    <n v="705"/>
    <x v="2"/>
    <x v="1"/>
    <x v="10"/>
    <n v="5"/>
    <n v="149379.66"/>
    <x v="0"/>
    <s v="Yes"/>
    <x v="0"/>
    <n v="96075.55"/>
    <x v="1"/>
    <n v="0.28790241151929769"/>
    <s v="No"/>
    <n v="0"/>
    <n v="0"/>
    <x v="0"/>
    <x v="1"/>
    <x v="0"/>
    <x v="2"/>
    <x v="3"/>
    <n v="1"/>
  </r>
  <r>
    <n v="551"/>
    <x v="2"/>
    <x v="0"/>
    <x v="42"/>
    <n v="1"/>
    <n v="0"/>
    <x v="1"/>
    <s v="No"/>
    <x v="0"/>
    <n v="63584.55"/>
    <x v="0"/>
    <n v="0.36010692113577142"/>
    <s v="No"/>
    <n v="1"/>
    <n v="0"/>
    <x v="0"/>
    <x v="3"/>
    <x v="1"/>
    <x v="1"/>
    <x v="3"/>
    <n v="0"/>
  </r>
  <r>
    <n v="823"/>
    <x v="2"/>
    <x v="0"/>
    <x v="60"/>
    <n v="5"/>
    <n v="149105.07999999999"/>
    <x v="1"/>
    <s v="No"/>
    <x v="1"/>
    <n v="162683.06"/>
    <x v="1"/>
    <n v="0.47889532130724061"/>
    <s v="No"/>
    <n v="0"/>
    <n v="0"/>
    <x v="0"/>
    <x v="4"/>
    <x v="0"/>
    <x v="3"/>
    <x v="1"/>
    <n v="1"/>
  </r>
  <r>
    <n v="802"/>
    <x v="0"/>
    <x v="0"/>
    <x v="6"/>
    <n v="5"/>
    <n v="0"/>
    <x v="0"/>
    <s v="Yes"/>
    <x v="1"/>
    <n v="134626.29999999999"/>
    <x v="1"/>
    <n v="5.7906711653035917E-2"/>
    <s v="No"/>
    <n v="0"/>
    <n v="0"/>
    <x v="1"/>
    <x v="0"/>
    <x v="1"/>
    <x v="3"/>
    <x v="0"/>
    <n v="1"/>
  </r>
  <r>
    <n v="450"/>
    <x v="0"/>
    <x v="1"/>
    <x v="19"/>
    <n v="2"/>
    <n v="0"/>
    <x v="0"/>
    <s v="Yes"/>
    <x v="0"/>
    <n v="175480.93"/>
    <x v="1"/>
    <n v="0.2068589080795625"/>
    <s v="No"/>
    <n v="0"/>
    <n v="0"/>
    <x v="0"/>
    <x v="1"/>
    <x v="1"/>
    <x v="4"/>
    <x v="1"/>
    <n v="1"/>
  </r>
  <r>
    <n v="822"/>
    <x v="2"/>
    <x v="0"/>
    <x v="11"/>
    <n v="3"/>
    <n v="105563"/>
    <x v="1"/>
    <s v="Yes"/>
    <x v="0"/>
    <n v="182624.93"/>
    <x v="1"/>
    <n v="0.16742194794679169"/>
    <s v="No"/>
    <n v="0"/>
    <n v="0"/>
    <x v="1"/>
    <x v="1"/>
    <x v="0"/>
    <x v="3"/>
    <x v="1"/>
    <n v="1"/>
  </r>
  <r>
    <n v="672"/>
    <x v="2"/>
    <x v="0"/>
    <x v="18"/>
    <n v="6"/>
    <n v="91125.75"/>
    <x v="1"/>
    <s v="Yes"/>
    <x v="0"/>
    <n v="177295.92"/>
    <x v="1"/>
    <n v="0.11467197446658869"/>
    <s v="No"/>
    <n v="0"/>
    <n v="0"/>
    <x v="1"/>
    <x v="1"/>
    <x v="2"/>
    <x v="0"/>
    <x v="1"/>
    <n v="1"/>
  </r>
  <r>
    <n v="613"/>
    <x v="2"/>
    <x v="0"/>
    <x v="27"/>
    <n v="4"/>
    <n v="100446.57"/>
    <x v="1"/>
    <s v="No"/>
    <x v="1"/>
    <n v="149653.81"/>
    <x v="1"/>
    <n v="3.2850512529023997E-2"/>
    <s v="No"/>
    <n v="0"/>
    <n v="0"/>
    <x v="1"/>
    <x v="2"/>
    <x v="0"/>
    <x v="0"/>
    <x v="0"/>
    <n v="1"/>
  </r>
  <r>
    <n v="794"/>
    <x v="2"/>
    <x v="0"/>
    <x v="23"/>
    <n v="10"/>
    <n v="146126.75"/>
    <x v="1"/>
    <s v="Yes"/>
    <x v="1"/>
    <n v="88992.05"/>
    <x v="1"/>
    <n v="2.3610533282453439E-2"/>
    <s v="No"/>
    <n v="0"/>
    <n v="0"/>
    <x v="1"/>
    <x v="2"/>
    <x v="0"/>
    <x v="2"/>
    <x v="3"/>
    <n v="1"/>
  </r>
  <r>
    <n v="556"/>
    <x v="2"/>
    <x v="1"/>
    <x v="21"/>
    <n v="9"/>
    <n v="129860.37"/>
    <x v="1"/>
    <s v="No"/>
    <x v="0"/>
    <n v="17992.939999999999"/>
    <x v="1"/>
    <n v="0.31733529444211711"/>
    <s v="No"/>
    <n v="0"/>
    <n v="0"/>
    <x v="0"/>
    <x v="1"/>
    <x v="0"/>
    <x v="1"/>
    <x v="2"/>
    <n v="1"/>
  </r>
  <r>
    <n v="411"/>
    <x v="2"/>
    <x v="1"/>
    <x v="22"/>
    <n v="2"/>
    <n v="0"/>
    <x v="0"/>
    <s v="Yes"/>
    <x v="1"/>
    <n v="93825.78"/>
    <x v="1"/>
    <n v="8.1889672736930083E-2"/>
    <s v="No"/>
    <n v="0"/>
    <n v="0"/>
    <x v="1"/>
    <x v="1"/>
    <x v="1"/>
    <x v="4"/>
    <x v="3"/>
    <n v="1"/>
  </r>
  <r>
    <n v="683"/>
    <x v="0"/>
    <x v="0"/>
    <x v="47"/>
    <n v="7"/>
    <n v="50911.21"/>
    <x v="2"/>
    <s v="No"/>
    <x v="0"/>
    <n v="97629.31"/>
    <x v="0"/>
    <n v="0.3759343535767688"/>
    <s v="No"/>
    <n v="1"/>
    <n v="0"/>
    <x v="0"/>
    <x v="3"/>
    <x v="2"/>
    <x v="0"/>
    <x v="3"/>
    <n v="0"/>
  </r>
  <r>
    <n v="534"/>
    <x v="2"/>
    <x v="1"/>
    <x v="34"/>
    <n v="5"/>
    <n v="104822.45"/>
    <x v="1"/>
    <s v="No"/>
    <x v="1"/>
    <n v="160176.47"/>
    <x v="1"/>
    <n v="4.7211404147028367E-2"/>
    <s v="No"/>
    <n v="0"/>
    <n v="0"/>
    <x v="1"/>
    <x v="2"/>
    <x v="0"/>
    <x v="1"/>
    <x v="1"/>
    <n v="1"/>
  </r>
  <r>
    <n v="849"/>
    <x v="2"/>
    <x v="0"/>
    <x v="29"/>
    <n v="0"/>
    <n v="0"/>
    <x v="0"/>
    <s v="No"/>
    <x v="1"/>
    <n v="157891.85999999999"/>
    <x v="1"/>
    <n v="2.293320996056936E-2"/>
    <s v="No"/>
    <n v="0"/>
    <n v="0"/>
    <x v="1"/>
    <x v="2"/>
    <x v="1"/>
    <x v="3"/>
    <x v="1"/>
    <n v="1"/>
  </r>
  <r>
    <n v="794"/>
    <x v="0"/>
    <x v="1"/>
    <x v="15"/>
    <n v="4"/>
    <n v="114440.24"/>
    <x v="1"/>
    <s v="Yes"/>
    <x v="1"/>
    <n v="107753.07"/>
    <x v="1"/>
    <n v="3.7791023881202222E-2"/>
    <s v="No"/>
    <n v="0"/>
    <n v="0"/>
    <x v="1"/>
    <x v="2"/>
    <x v="0"/>
    <x v="2"/>
    <x v="0"/>
    <n v="1"/>
  </r>
  <r>
    <n v="737"/>
    <x v="2"/>
    <x v="0"/>
    <x v="49"/>
    <n v="9"/>
    <n v="0"/>
    <x v="1"/>
    <s v="Yes"/>
    <x v="0"/>
    <n v="83470.399999999994"/>
    <x v="0"/>
    <n v="0.32408167910486152"/>
    <s v="No"/>
    <n v="1"/>
    <n v="0"/>
    <x v="0"/>
    <x v="3"/>
    <x v="1"/>
    <x v="2"/>
    <x v="3"/>
    <n v="0"/>
  </r>
  <r>
    <n v="590"/>
    <x v="2"/>
    <x v="1"/>
    <x v="4"/>
    <n v="4"/>
    <n v="0"/>
    <x v="0"/>
    <s v="Yes"/>
    <x v="0"/>
    <n v="121846.81"/>
    <x v="1"/>
    <n v="0.12798855800059189"/>
    <s v="No"/>
    <n v="0"/>
    <n v="0"/>
    <x v="1"/>
    <x v="2"/>
    <x v="1"/>
    <x v="1"/>
    <x v="0"/>
    <n v="1"/>
  </r>
  <r>
    <n v="763"/>
    <x v="2"/>
    <x v="0"/>
    <x v="21"/>
    <n v="3"/>
    <n v="0"/>
    <x v="0"/>
    <s v="Yes"/>
    <x v="0"/>
    <n v="134281.10999999999"/>
    <x v="1"/>
    <n v="0.14862349311327419"/>
    <s v="No"/>
    <n v="0"/>
    <n v="0"/>
    <x v="1"/>
    <x v="1"/>
    <x v="1"/>
    <x v="2"/>
    <x v="0"/>
    <n v="1"/>
  </r>
  <r>
    <n v="790"/>
    <x v="0"/>
    <x v="0"/>
    <x v="25"/>
    <n v="3"/>
    <n v="0"/>
    <x v="1"/>
    <s v="Yes"/>
    <x v="0"/>
    <n v="91044.47"/>
    <x v="1"/>
    <n v="9.6369473011884726E-2"/>
    <s v="No"/>
    <n v="0"/>
    <n v="0"/>
    <x v="1"/>
    <x v="1"/>
    <x v="1"/>
    <x v="2"/>
    <x v="3"/>
    <n v="1"/>
  </r>
  <r>
    <n v="581"/>
    <x v="2"/>
    <x v="0"/>
    <x v="11"/>
    <n v="7"/>
    <n v="0"/>
    <x v="0"/>
    <s v="Yes"/>
    <x v="1"/>
    <n v="74320.75"/>
    <x v="1"/>
    <n v="4.5478167102176753E-2"/>
    <s v="No"/>
    <n v="0"/>
    <n v="0"/>
    <x v="1"/>
    <x v="1"/>
    <x v="1"/>
    <x v="1"/>
    <x v="3"/>
    <n v="1"/>
  </r>
  <r>
    <n v="737"/>
    <x v="2"/>
    <x v="0"/>
    <x v="0"/>
    <n v="7"/>
    <n v="0"/>
    <x v="0"/>
    <s v="No"/>
    <x v="0"/>
    <n v="57898.58"/>
    <x v="1"/>
    <n v="0.17929423333815789"/>
    <s v="No"/>
    <n v="0"/>
    <n v="0"/>
    <x v="1"/>
    <x v="0"/>
    <x v="1"/>
    <x v="2"/>
    <x v="3"/>
    <n v="1"/>
  </r>
  <r>
    <n v="579"/>
    <x v="2"/>
    <x v="0"/>
    <x v="18"/>
    <n v="6"/>
    <n v="0"/>
    <x v="0"/>
    <s v="Yes"/>
    <x v="0"/>
    <n v="26149.25"/>
    <x v="1"/>
    <n v="8.2879687968412982E-2"/>
    <s v="No"/>
    <n v="0"/>
    <n v="0"/>
    <x v="1"/>
    <x v="1"/>
    <x v="1"/>
    <x v="1"/>
    <x v="2"/>
    <n v="1"/>
  </r>
  <r>
    <n v="437"/>
    <x v="2"/>
    <x v="0"/>
    <x v="9"/>
    <n v="9"/>
    <n v="111634.29"/>
    <x v="0"/>
    <s v="No"/>
    <x v="1"/>
    <n v="166440.32000000001"/>
    <x v="1"/>
    <n v="0.1515036326434244"/>
    <s v="No"/>
    <n v="0"/>
    <n v="0"/>
    <x v="1"/>
    <x v="0"/>
    <x v="0"/>
    <x v="4"/>
    <x v="1"/>
    <n v="1"/>
  </r>
  <r>
    <n v="764"/>
    <x v="0"/>
    <x v="0"/>
    <x v="4"/>
    <n v="5"/>
    <n v="0"/>
    <x v="0"/>
    <s v="Yes"/>
    <x v="0"/>
    <n v="65868.28"/>
    <x v="1"/>
    <n v="6.9171769849942666E-2"/>
    <s v="No"/>
    <n v="0"/>
    <n v="0"/>
    <x v="1"/>
    <x v="2"/>
    <x v="1"/>
    <x v="2"/>
    <x v="3"/>
    <n v="1"/>
  </r>
  <r>
    <n v="699"/>
    <x v="0"/>
    <x v="0"/>
    <x v="21"/>
    <n v="2"/>
    <n v="0"/>
    <x v="1"/>
    <s v="Yes"/>
    <x v="0"/>
    <n v="78387.320000000007"/>
    <x v="1"/>
    <n v="0.17213401404140269"/>
    <s v="No"/>
    <n v="0"/>
    <n v="0"/>
    <x v="1"/>
    <x v="1"/>
    <x v="1"/>
    <x v="0"/>
    <x v="3"/>
    <n v="1"/>
  </r>
  <r>
    <n v="544"/>
    <x v="2"/>
    <x v="1"/>
    <x v="21"/>
    <n v="7"/>
    <n v="0"/>
    <x v="1"/>
    <s v="No"/>
    <x v="1"/>
    <n v="161076.92000000001"/>
    <x v="1"/>
    <n v="0.11259072130611671"/>
    <s v="No"/>
    <n v="0"/>
    <n v="0"/>
    <x v="1"/>
    <x v="1"/>
    <x v="1"/>
    <x v="1"/>
    <x v="1"/>
    <n v="1"/>
  </r>
  <r>
    <n v="694"/>
    <x v="2"/>
    <x v="0"/>
    <x v="3"/>
    <n v="3"/>
    <n v="156864.20000000001"/>
    <x v="0"/>
    <s v="No"/>
    <x v="0"/>
    <n v="88890.75"/>
    <x v="1"/>
    <n v="0.242999695702806"/>
    <s v="No"/>
    <n v="0"/>
    <n v="0"/>
    <x v="0"/>
    <x v="0"/>
    <x v="3"/>
    <x v="0"/>
    <x v="3"/>
    <n v="1"/>
  </r>
  <r>
    <n v="710"/>
    <x v="2"/>
    <x v="0"/>
    <x v="1"/>
    <n v="1"/>
    <n v="0"/>
    <x v="0"/>
    <s v="Yes"/>
    <x v="1"/>
    <n v="36154.660000000003"/>
    <x v="1"/>
    <n v="7.9880657140066647E-2"/>
    <s v="No"/>
    <n v="0"/>
    <n v="0"/>
    <x v="1"/>
    <x v="0"/>
    <x v="1"/>
    <x v="2"/>
    <x v="2"/>
    <n v="1"/>
  </r>
  <r>
    <n v="682"/>
    <x v="0"/>
    <x v="1"/>
    <x v="32"/>
    <n v="10"/>
    <n v="128039.01"/>
    <x v="1"/>
    <s v="Yes"/>
    <x v="1"/>
    <n v="102260.16"/>
    <x v="1"/>
    <n v="0.23606666219476591"/>
    <s v="No"/>
    <n v="0"/>
    <n v="0"/>
    <x v="0"/>
    <x v="0"/>
    <x v="0"/>
    <x v="0"/>
    <x v="0"/>
    <n v="1"/>
  </r>
  <r>
    <n v="817"/>
    <x v="1"/>
    <x v="0"/>
    <x v="50"/>
    <n v="3"/>
    <n v="114327.59"/>
    <x v="0"/>
    <s v="Yes"/>
    <x v="1"/>
    <n v="42831.11"/>
    <x v="1"/>
    <n v="0.37583804958746059"/>
    <s v="No"/>
    <n v="0"/>
    <n v="0"/>
    <x v="0"/>
    <x v="3"/>
    <x v="0"/>
    <x v="3"/>
    <x v="2"/>
    <n v="1"/>
  </r>
  <r>
    <n v="682"/>
    <x v="1"/>
    <x v="0"/>
    <x v="61"/>
    <n v="6"/>
    <n v="122029.15"/>
    <x v="1"/>
    <s v="Yes"/>
    <x v="1"/>
    <n v="50783.88"/>
    <x v="1"/>
    <n v="0.79522487000844722"/>
    <s v="Yes"/>
    <n v="0"/>
    <n v="1"/>
    <x v="2"/>
    <x v="4"/>
    <x v="0"/>
    <x v="0"/>
    <x v="3"/>
    <n v="0"/>
  </r>
  <r>
    <n v="670"/>
    <x v="2"/>
    <x v="1"/>
    <x v="49"/>
    <n v="2"/>
    <n v="95507.12"/>
    <x v="1"/>
    <s v="Yes"/>
    <x v="1"/>
    <n v="63213.31"/>
    <x v="1"/>
    <n v="0.29809847983894988"/>
    <s v="No"/>
    <n v="0"/>
    <n v="0"/>
    <x v="0"/>
    <x v="3"/>
    <x v="2"/>
    <x v="0"/>
    <x v="3"/>
    <n v="1"/>
  </r>
  <r>
    <n v="505"/>
    <x v="1"/>
    <x v="0"/>
    <x v="12"/>
    <n v="6"/>
    <n v="127146.68"/>
    <x v="1"/>
    <s v="No"/>
    <x v="0"/>
    <n v="137565.87"/>
    <x v="1"/>
    <n v="0.46292106784602932"/>
    <s v="No"/>
    <n v="0"/>
    <n v="0"/>
    <x v="0"/>
    <x v="0"/>
    <x v="0"/>
    <x v="1"/>
    <x v="0"/>
    <n v="1"/>
  </r>
  <r>
    <n v="592"/>
    <x v="2"/>
    <x v="0"/>
    <x v="28"/>
    <n v="1"/>
    <n v="126477.42"/>
    <x v="1"/>
    <s v="No"/>
    <x v="0"/>
    <n v="179718.17"/>
    <x v="1"/>
    <n v="0.19870640807198511"/>
    <s v="No"/>
    <n v="0"/>
    <n v="0"/>
    <x v="1"/>
    <x v="1"/>
    <x v="0"/>
    <x v="1"/>
    <x v="1"/>
    <n v="1"/>
  </r>
  <r>
    <n v="546"/>
    <x v="2"/>
    <x v="1"/>
    <x v="35"/>
    <n v="8"/>
    <n v="0"/>
    <x v="1"/>
    <s v="Yes"/>
    <x v="1"/>
    <n v="66408.009999999995"/>
    <x v="0"/>
    <n v="0.160711171186285"/>
    <s v="No"/>
    <n v="1"/>
    <n v="0"/>
    <x v="1"/>
    <x v="0"/>
    <x v="1"/>
    <x v="1"/>
    <x v="3"/>
    <n v="0"/>
  </r>
  <r>
    <n v="772"/>
    <x v="0"/>
    <x v="1"/>
    <x v="10"/>
    <n v="4"/>
    <n v="122486.11"/>
    <x v="0"/>
    <s v="Yes"/>
    <x v="1"/>
    <n v="140709.25"/>
    <x v="1"/>
    <n v="0.1162567665451746"/>
    <s v="No"/>
    <n v="0"/>
    <n v="0"/>
    <x v="1"/>
    <x v="1"/>
    <x v="0"/>
    <x v="2"/>
    <x v="0"/>
    <n v="1"/>
  </r>
  <r>
    <n v="679"/>
    <x v="0"/>
    <x v="0"/>
    <x v="50"/>
    <n v="9"/>
    <n v="109327.65"/>
    <x v="1"/>
    <s v="Yes"/>
    <x v="1"/>
    <n v="3829.13"/>
    <x v="1"/>
    <n v="0.22941894390618531"/>
    <s v="No"/>
    <n v="0"/>
    <n v="0"/>
    <x v="0"/>
    <x v="3"/>
    <x v="0"/>
    <x v="0"/>
    <x v="2"/>
    <n v="1"/>
  </r>
  <r>
    <n v="515"/>
    <x v="2"/>
    <x v="0"/>
    <x v="21"/>
    <n v="0"/>
    <n v="109542.29"/>
    <x v="1"/>
    <s v="Yes"/>
    <x v="1"/>
    <n v="166370.81"/>
    <x v="1"/>
    <n v="9.9861010365118394E-2"/>
    <s v="No"/>
    <n v="0"/>
    <n v="0"/>
    <x v="1"/>
    <x v="1"/>
    <x v="0"/>
    <x v="1"/>
    <x v="1"/>
    <n v="1"/>
  </r>
  <r>
    <n v="643"/>
    <x v="1"/>
    <x v="0"/>
    <x v="6"/>
    <n v="2"/>
    <n v="127841.52"/>
    <x v="1"/>
    <s v="Yes"/>
    <x v="0"/>
    <n v="172363.41"/>
    <x v="1"/>
    <n v="0.41972328733631092"/>
    <s v="No"/>
    <n v="0"/>
    <n v="0"/>
    <x v="0"/>
    <x v="0"/>
    <x v="0"/>
    <x v="0"/>
    <x v="1"/>
    <n v="1"/>
  </r>
  <r>
    <n v="617"/>
    <x v="2"/>
    <x v="1"/>
    <x v="23"/>
    <n v="4"/>
    <n v="137295.19"/>
    <x v="0"/>
    <s v="Yes"/>
    <x v="1"/>
    <n v="91195.12"/>
    <x v="1"/>
    <n v="4.4843549136615472E-2"/>
    <s v="No"/>
    <n v="0"/>
    <n v="0"/>
    <x v="1"/>
    <x v="2"/>
    <x v="0"/>
    <x v="0"/>
    <x v="3"/>
    <n v="1"/>
  </r>
  <r>
    <n v="828"/>
    <x v="1"/>
    <x v="1"/>
    <x v="36"/>
    <n v="7"/>
    <n v="144351.85999999999"/>
    <x v="1"/>
    <s v="Yes"/>
    <x v="0"/>
    <n v="116613.26"/>
    <x v="1"/>
    <n v="0.23581811458831431"/>
    <s v="No"/>
    <n v="0"/>
    <n v="0"/>
    <x v="0"/>
    <x v="2"/>
    <x v="0"/>
    <x v="3"/>
    <x v="0"/>
    <n v="1"/>
  </r>
  <r>
    <n v="776"/>
    <x v="0"/>
    <x v="0"/>
    <x v="22"/>
    <n v="8"/>
    <n v="106365.29"/>
    <x v="1"/>
    <s v="Yes"/>
    <x v="1"/>
    <n v="148527.56"/>
    <x v="1"/>
    <n v="5.2773566296447187E-2"/>
    <s v="No"/>
    <n v="0"/>
    <n v="0"/>
    <x v="1"/>
    <x v="1"/>
    <x v="0"/>
    <x v="2"/>
    <x v="0"/>
    <n v="1"/>
  </r>
  <r>
    <n v="616"/>
    <x v="1"/>
    <x v="1"/>
    <x v="1"/>
    <n v="4"/>
    <n v="122793.96"/>
    <x v="1"/>
    <s v="Yes"/>
    <x v="1"/>
    <n v="62002.04"/>
    <x v="1"/>
    <n v="0.33938417658220549"/>
    <s v="No"/>
    <n v="0"/>
    <n v="0"/>
    <x v="0"/>
    <x v="0"/>
    <x v="0"/>
    <x v="0"/>
    <x v="3"/>
    <n v="1"/>
  </r>
  <r>
    <n v="553"/>
    <x v="2"/>
    <x v="1"/>
    <x v="18"/>
    <n v="4"/>
    <n v="0"/>
    <x v="0"/>
    <s v="Yes"/>
    <x v="1"/>
    <n v="89087.4"/>
    <x v="1"/>
    <n v="5.450304984865173E-2"/>
    <s v="No"/>
    <n v="0"/>
    <n v="0"/>
    <x v="1"/>
    <x v="1"/>
    <x v="1"/>
    <x v="1"/>
    <x v="3"/>
    <n v="1"/>
  </r>
  <r>
    <n v="554"/>
    <x v="1"/>
    <x v="0"/>
    <x v="27"/>
    <n v="4"/>
    <n v="121365.39"/>
    <x v="1"/>
    <s v="Yes"/>
    <x v="1"/>
    <n v="8742.36"/>
    <x v="1"/>
    <n v="6.850028323419903E-2"/>
    <s v="No"/>
    <n v="0"/>
    <n v="0"/>
    <x v="1"/>
    <x v="2"/>
    <x v="0"/>
    <x v="1"/>
    <x v="2"/>
    <n v="1"/>
  </r>
  <r>
    <n v="452"/>
    <x v="2"/>
    <x v="1"/>
    <x v="22"/>
    <n v="7"/>
    <n v="0"/>
    <x v="0"/>
    <s v="Yes"/>
    <x v="0"/>
    <n v="164241.67000000001"/>
    <x v="1"/>
    <n v="0.1954456350279242"/>
    <s v="No"/>
    <n v="0"/>
    <n v="0"/>
    <x v="1"/>
    <x v="1"/>
    <x v="1"/>
    <x v="4"/>
    <x v="1"/>
    <n v="1"/>
  </r>
  <r>
    <n v="554"/>
    <x v="2"/>
    <x v="1"/>
    <x v="0"/>
    <n v="6"/>
    <n v="92436.86"/>
    <x v="1"/>
    <s v="Yes"/>
    <x v="0"/>
    <n v="126033.9"/>
    <x v="1"/>
    <n v="0.38270418404949769"/>
    <s v="No"/>
    <n v="0"/>
    <n v="0"/>
    <x v="0"/>
    <x v="0"/>
    <x v="2"/>
    <x v="1"/>
    <x v="0"/>
    <n v="1"/>
  </r>
  <r>
    <n v="796"/>
    <x v="1"/>
    <x v="1"/>
    <x v="42"/>
    <n v="9"/>
    <n v="167194.35999999999"/>
    <x v="1"/>
    <s v="Yes"/>
    <x v="1"/>
    <n v="62808.93"/>
    <x v="0"/>
    <n v="0.43631839372702602"/>
    <s v="No"/>
    <n v="1"/>
    <n v="0"/>
    <x v="0"/>
    <x v="3"/>
    <x v="3"/>
    <x v="2"/>
    <x v="3"/>
    <n v="0"/>
  </r>
  <r>
    <n v="656"/>
    <x v="0"/>
    <x v="0"/>
    <x v="5"/>
    <n v="4"/>
    <n v="0"/>
    <x v="0"/>
    <s v="Yes"/>
    <x v="0"/>
    <n v="116706"/>
    <x v="1"/>
    <n v="0.10151458018588561"/>
    <s v="No"/>
    <n v="0"/>
    <n v="0"/>
    <x v="1"/>
    <x v="1"/>
    <x v="1"/>
    <x v="0"/>
    <x v="0"/>
    <n v="1"/>
  </r>
  <r>
    <n v="501"/>
    <x v="2"/>
    <x v="1"/>
    <x v="4"/>
    <n v="8"/>
    <n v="0"/>
    <x v="0"/>
    <s v="Yes"/>
    <x v="0"/>
    <n v="112664.24"/>
    <x v="1"/>
    <n v="0.12547953264489639"/>
    <s v="No"/>
    <n v="0"/>
    <n v="0"/>
    <x v="1"/>
    <x v="2"/>
    <x v="1"/>
    <x v="1"/>
    <x v="0"/>
    <n v="1"/>
  </r>
  <r>
    <n v="684"/>
    <x v="1"/>
    <x v="1"/>
    <x v="16"/>
    <n v="3"/>
    <n v="102955.14"/>
    <x v="0"/>
    <s v="Yes"/>
    <x v="0"/>
    <n v="154137.32999999999"/>
    <x v="1"/>
    <n v="0.59074544305126597"/>
    <s v="Yes"/>
    <n v="0"/>
    <n v="1"/>
    <x v="2"/>
    <x v="0"/>
    <x v="0"/>
    <x v="0"/>
    <x v="1"/>
    <n v="0"/>
  </r>
  <r>
    <n v="606"/>
    <x v="0"/>
    <x v="0"/>
    <x v="2"/>
    <n v="7"/>
    <n v="128578.52"/>
    <x v="1"/>
    <s v="Yes"/>
    <x v="1"/>
    <n v="193878.51"/>
    <x v="1"/>
    <n v="7.979611287318529E-2"/>
    <s v="No"/>
    <n v="0"/>
    <n v="0"/>
    <x v="1"/>
    <x v="1"/>
    <x v="0"/>
    <x v="0"/>
    <x v="1"/>
    <n v="1"/>
  </r>
  <r>
    <n v="660"/>
    <x v="2"/>
    <x v="1"/>
    <x v="2"/>
    <n v="5"/>
    <n v="110570.78"/>
    <x v="0"/>
    <s v="Yes"/>
    <x v="0"/>
    <n v="195906.59"/>
    <x v="1"/>
    <n v="0.27028770406234209"/>
    <s v="No"/>
    <n v="0"/>
    <n v="0"/>
    <x v="0"/>
    <x v="1"/>
    <x v="0"/>
    <x v="0"/>
    <x v="1"/>
    <n v="1"/>
  </r>
  <r>
    <n v="850"/>
    <x v="2"/>
    <x v="1"/>
    <x v="5"/>
    <n v="3"/>
    <n v="0"/>
    <x v="0"/>
    <s v="Yes"/>
    <x v="1"/>
    <n v="11159.19"/>
    <x v="1"/>
    <n v="5.0455066812157931E-2"/>
    <s v="No"/>
    <n v="0"/>
    <n v="0"/>
    <x v="1"/>
    <x v="1"/>
    <x v="1"/>
    <x v="3"/>
    <x v="2"/>
    <n v="1"/>
  </r>
  <r>
    <n v="712"/>
    <x v="0"/>
    <x v="1"/>
    <x v="0"/>
    <n v="2"/>
    <n v="0"/>
    <x v="0"/>
    <s v="No"/>
    <x v="0"/>
    <n v="45738.94"/>
    <x v="1"/>
    <n v="0.30453476587105538"/>
    <s v="No"/>
    <n v="0"/>
    <n v="0"/>
    <x v="0"/>
    <x v="0"/>
    <x v="1"/>
    <x v="2"/>
    <x v="2"/>
    <n v="1"/>
  </r>
  <r>
    <n v="707"/>
    <x v="2"/>
    <x v="0"/>
    <x v="3"/>
    <n v="2"/>
    <n v="16893.59"/>
    <x v="1"/>
    <s v="Yes"/>
    <x v="1"/>
    <n v="77502.559999999998"/>
    <x v="1"/>
    <n v="7.4942753456795616E-2"/>
    <s v="No"/>
    <n v="0"/>
    <n v="0"/>
    <x v="1"/>
    <x v="0"/>
    <x v="4"/>
    <x v="2"/>
    <x v="3"/>
    <n v="1"/>
  </r>
  <r>
    <n v="636"/>
    <x v="1"/>
    <x v="1"/>
    <x v="17"/>
    <n v="2"/>
    <n v="115265.14"/>
    <x v="1"/>
    <s v="No"/>
    <x v="0"/>
    <n v="191627.85"/>
    <x v="1"/>
    <n v="0.32670974529774149"/>
    <s v="No"/>
    <n v="0"/>
    <n v="0"/>
    <x v="0"/>
    <x v="2"/>
    <x v="0"/>
    <x v="0"/>
    <x v="1"/>
    <n v="1"/>
  </r>
  <r>
    <n v="739"/>
    <x v="0"/>
    <x v="0"/>
    <x v="18"/>
    <n v="1"/>
    <n v="0"/>
    <x v="0"/>
    <s v="Yes"/>
    <x v="1"/>
    <n v="58469.75"/>
    <x v="1"/>
    <n v="3.0797428862912542E-2"/>
    <s v="No"/>
    <n v="0"/>
    <n v="0"/>
    <x v="1"/>
    <x v="1"/>
    <x v="1"/>
    <x v="2"/>
    <x v="3"/>
    <n v="1"/>
  </r>
  <r>
    <n v="767"/>
    <x v="1"/>
    <x v="0"/>
    <x v="34"/>
    <n v="2"/>
    <n v="139542.82"/>
    <x v="1"/>
    <s v="No"/>
    <x v="1"/>
    <n v="28038.28"/>
    <x v="1"/>
    <n v="5.4696521326668808E-2"/>
    <s v="No"/>
    <n v="0"/>
    <n v="0"/>
    <x v="1"/>
    <x v="2"/>
    <x v="0"/>
    <x v="2"/>
    <x v="2"/>
    <n v="1"/>
  </r>
  <r>
    <n v="714"/>
    <x v="2"/>
    <x v="0"/>
    <x v="11"/>
    <n v="9"/>
    <n v="148466.93"/>
    <x v="0"/>
    <s v="No"/>
    <x v="1"/>
    <n v="151280.95999999999"/>
    <x v="1"/>
    <n v="6.2061011235571721E-2"/>
    <s v="No"/>
    <n v="0"/>
    <n v="0"/>
    <x v="1"/>
    <x v="1"/>
    <x v="0"/>
    <x v="2"/>
    <x v="1"/>
    <n v="1"/>
  </r>
  <r>
    <n v="633"/>
    <x v="2"/>
    <x v="1"/>
    <x v="3"/>
    <n v="1"/>
    <n v="0"/>
    <x v="0"/>
    <s v="Yes"/>
    <x v="0"/>
    <n v="56865.62"/>
    <x v="1"/>
    <n v="0.27613539446566249"/>
    <s v="No"/>
    <n v="0"/>
    <n v="0"/>
    <x v="0"/>
    <x v="0"/>
    <x v="1"/>
    <x v="0"/>
    <x v="3"/>
    <n v="1"/>
  </r>
  <r>
    <n v="712"/>
    <x v="0"/>
    <x v="1"/>
    <x v="62"/>
    <n v="5"/>
    <n v="108078.56"/>
    <x v="1"/>
    <s v="Yes"/>
    <x v="1"/>
    <n v="174118.93"/>
    <x v="1"/>
    <n v="0.73847807933581866"/>
    <s v="Yes"/>
    <n v="0"/>
    <n v="1"/>
    <x v="2"/>
    <x v="4"/>
    <x v="0"/>
    <x v="2"/>
    <x v="1"/>
    <n v="0"/>
  </r>
  <r>
    <n v="644"/>
    <x v="1"/>
    <x v="0"/>
    <x v="19"/>
    <n v="9"/>
    <n v="112746.54"/>
    <x v="0"/>
    <s v="No"/>
    <x v="0"/>
    <n v="141230.07"/>
    <x v="1"/>
    <n v="0.24805617911522659"/>
    <s v="No"/>
    <n v="0"/>
    <n v="0"/>
    <x v="0"/>
    <x v="1"/>
    <x v="0"/>
    <x v="0"/>
    <x v="0"/>
    <n v="1"/>
  </r>
  <r>
    <n v="427"/>
    <x v="2"/>
    <x v="0"/>
    <x v="11"/>
    <n v="5"/>
    <n v="0"/>
    <x v="0"/>
    <s v="Yes"/>
    <x v="1"/>
    <n v="121485.1"/>
    <x v="1"/>
    <n v="5.3585749731575247E-2"/>
    <s v="No"/>
    <n v="0"/>
    <n v="0"/>
    <x v="1"/>
    <x v="1"/>
    <x v="1"/>
    <x v="4"/>
    <x v="0"/>
    <n v="1"/>
  </r>
  <r>
    <n v="505"/>
    <x v="1"/>
    <x v="0"/>
    <x v="12"/>
    <n v="5"/>
    <n v="136855.94"/>
    <x v="0"/>
    <s v="Yes"/>
    <x v="0"/>
    <n v="171070.52"/>
    <x v="1"/>
    <n v="0.44504385502176669"/>
    <s v="No"/>
    <n v="0"/>
    <n v="0"/>
    <x v="0"/>
    <x v="0"/>
    <x v="0"/>
    <x v="1"/>
    <x v="1"/>
    <n v="1"/>
  </r>
  <r>
    <n v="595"/>
    <x v="1"/>
    <x v="1"/>
    <x v="1"/>
    <n v="9"/>
    <n v="106000.12"/>
    <x v="1"/>
    <s v="No"/>
    <x v="0"/>
    <n v="191448.95999999999"/>
    <x v="0"/>
    <n v="0.59881666485303253"/>
    <s v="Yes"/>
    <n v="1"/>
    <n v="1"/>
    <x v="2"/>
    <x v="0"/>
    <x v="0"/>
    <x v="1"/>
    <x v="1"/>
    <n v="1"/>
  </r>
  <r>
    <n v="714"/>
    <x v="0"/>
    <x v="0"/>
    <x v="0"/>
    <n v="7"/>
    <n v="0"/>
    <x v="1"/>
    <s v="No"/>
    <x v="1"/>
    <n v="6923.11"/>
    <x v="1"/>
    <n v="7.7160745694975899E-2"/>
    <s v="No"/>
    <n v="0"/>
    <n v="0"/>
    <x v="1"/>
    <x v="0"/>
    <x v="1"/>
    <x v="2"/>
    <x v="2"/>
    <n v="1"/>
  </r>
  <r>
    <n v="847"/>
    <x v="0"/>
    <x v="1"/>
    <x v="11"/>
    <n v="9"/>
    <n v="112712.17"/>
    <x v="1"/>
    <s v="Yes"/>
    <x v="0"/>
    <n v="116097.26"/>
    <x v="1"/>
    <n v="0.2363422228741982"/>
    <s v="No"/>
    <n v="0"/>
    <n v="0"/>
    <x v="0"/>
    <x v="1"/>
    <x v="0"/>
    <x v="3"/>
    <x v="0"/>
    <n v="1"/>
  </r>
  <r>
    <n v="700"/>
    <x v="2"/>
    <x v="0"/>
    <x v="11"/>
    <n v="3"/>
    <n v="77608.460000000006"/>
    <x v="0"/>
    <s v="Yes"/>
    <x v="1"/>
    <n v="175373.46"/>
    <x v="1"/>
    <n v="5.7892429998233658E-2"/>
    <s v="No"/>
    <n v="0"/>
    <n v="0"/>
    <x v="1"/>
    <x v="1"/>
    <x v="2"/>
    <x v="0"/>
    <x v="1"/>
    <n v="1"/>
  </r>
  <r>
    <n v="721"/>
    <x v="0"/>
    <x v="1"/>
    <x v="16"/>
    <n v="7"/>
    <n v="137933.39000000001"/>
    <x v="1"/>
    <s v="Yes"/>
    <x v="1"/>
    <n v="67976.570000000007"/>
    <x v="1"/>
    <n v="0.19286305806389059"/>
    <s v="No"/>
    <n v="0"/>
    <n v="0"/>
    <x v="1"/>
    <x v="0"/>
    <x v="0"/>
    <x v="2"/>
    <x v="3"/>
    <n v="1"/>
  </r>
  <r>
    <n v="508"/>
    <x v="2"/>
    <x v="1"/>
    <x v="2"/>
    <n v="3"/>
    <n v="166328.65"/>
    <x v="0"/>
    <s v="No"/>
    <x v="1"/>
    <n v="22614.19"/>
    <x v="1"/>
    <n v="0.13488415760541231"/>
    <s v="No"/>
    <n v="0"/>
    <n v="0"/>
    <x v="1"/>
    <x v="1"/>
    <x v="3"/>
    <x v="1"/>
    <x v="2"/>
    <n v="1"/>
  </r>
  <r>
    <n v="850"/>
    <x v="2"/>
    <x v="1"/>
    <x v="45"/>
    <n v="10"/>
    <n v="98488.08"/>
    <x v="1"/>
    <s v="Yes"/>
    <x v="0"/>
    <n v="155879.57"/>
    <x v="0"/>
    <n v="0.52102267129493773"/>
    <s v="Yes"/>
    <n v="1"/>
    <n v="1"/>
    <x v="2"/>
    <x v="3"/>
    <x v="2"/>
    <x v="3"/>
    <x v="1"/>
    <n v="1"/>
  </r>
  <r>
    <n v="518"/>
    <x v="2"/>
    <x v="0"/>
    <x v="21"/>
    <n v="4"/>
    <n v="0"/>
    <x v="0"/>
    <s v="No"/>
    <x v="1"/>
    <n v="194416.58"/>
    <x v="1"/>
    <n v="6.7886675809174915E-2"/>
    <s v="No"/>
    <n v="0"/>
    <n v="0"/>
    <x v="1"/>
    <x v="1"/>
    <x v="1"/>
    <x v="1"/>
    <x v="1"/>
    <n v="1"/>
  </r>
  <r>
    <n v="700"/>
    <x v="0"/>
    <x v="0"/>
    <x v="35"/>
    <n v="4"/>
    <n v="0"/>
    <x v="1"/>
    <s v="Yes"/>
    <x v="0"/>
    <n v="121798.52"/>
    <x v="0"/>
    <n v="0.25566819755138498"/>
    <s v="No"/>
    <n v="1"/>
    <n v="0"/>
    <x v="0"/>
    <x v="0"/>
    <x v="1"/>
    <x v="0"/>
    <x v="0"/>
    <n v="0"/>
  </r>
  <r>
    <n v="850"/>
    <x v="1"/>
    <x v="0"/>
    <x v="25"/>
    <n v="2"/>
    <n v="128647.98"/>
    <x v="0"/>
    <s v="No"/>
    <x v="0"/>
    <n v="54416.18"/>
    <x v="1"/>
    <n v="0.21952192066210491"/>
    <s v="No"/>
    <n v="0"/>
    <n v="0"/>
    <x v="0"/>
    <x v="1"/>
    <x v="0"/>
    <x v="3"/>
    <x v="3"/>
    <n v="1"/>
  </r>
  <r>
    <n v="669"/>
    <x v="2"/>
    <x v="1"/>
    <x v="2"/>
    <n v="9"/>
    <n v="121858.98"/>
    <x v="1"/>
    <s v="Yes"/>
    <x v="0"/>
    <n v="130755.34"/>
    <x v="1"/>
    <n v="0.27246972706732181"/>
    <s v="No"/>
    <n v="0"/>
    <n v="0"/>
    <x v="0"/>
    <x v="1"/>
    <x v="0"/>
    <x v="0"/>
    <x v="0"/>
    <n v="1"/>
  </r>
  <r>
    <n v="585"/>
    <x v="0"/>
    <x v="0"/>
    <x v="28"/>
    <n v="10"/>
    <n v="0"/>
    <x v="0"/>
    <s v="Yes"/>
    <x v="1"/>
    <n v="180318.6"/>
    <x v="1"/>
    <n v="4.3840069955291779E-2"/>
    <s v="No"/>
    <n v="0"/>
    <n v="0"/>
    <x v="1"/>
    <x v="1"/>
    <x v="1"/>
    <x v="1"/>
    <x v="1"/>
    <n v="1"/>
  </r>
  <r>
    <n v="587"/>
    <x v="2"/>
    <x v="0"/>
    <x v="45"/>
    <n v="9"/>
    <n v="0"/>
    <x v="1"/>
    <s v="Yes"/>
    <x v="0"/>
    <n v="64593.07"/>
    <x v="1"/>
    <n v="0.36174554289922212"/>
    <s v="No"/>
    <n v="0"/>
    <n v="0"/>
    <x v="0"/>
    <x v="3"/>
    <x v="1"/>
    <x v="1"/>
    <x v="3"/>
    <n v="1"/>
  </r>
  <r>
    <n v="608"/>
    <x v="2"/>
    <x v="0"/>
    <x v="18"/>
    <n v="7"/>
    <n v="79962.92"/>
    <x v="0"/>
    <s v="Yes"/>
    <x v="0"/>
    <n v="60901.72"/>
    <x v="1"/>
    <n v="9.823213615285975E-2"/>
    <s v="No"/>
    <n v="0"/>
    <n v="0"/>
    <x v="1"/>
    <x v="1"/>
    <x v="2"/>
    <x v="0"/>
    <x v="3"/>
    <n v="1"/>
  </r>
  <r>
    <n v="760"/>
    <x v="1"/>
    <x v="0"/>
    <x v="19"/>
    <n v="6"/>
    <n v="121303.77"/>
    <x v="0"/>
    <s v="Yes"/>
    <x v="1"/>
    <n v="59325.21"/>
    <x v="1"/>
    <n v="9.3157385672210796E-2"/>
    <s v="No"/>
    <n v="0"/>
    <n v="0"/>
    <x v="1"/>
    <x v="1"/>
    <x v="0"/>
    <x v="2"/>
    <x v="3"/>
    <n v="1"/>
  </r>
  <r>
    <n v="569"/>
    <x v="0"/>
    <x v="0"/>
    <x v="12"/>
    <n v="8"/>
    <n v="161546.68"/>
    <x v="0"/>
    <s v="No"/>
    <x v="1"/>
    <n v="178187.28"/>
    <x v="1"/>
    <n v="0.1126397882075625"/>
    <s v="No"/>
    <n v="0"/>
    <n v="0"/>
    <x v="1"/>
    <x v="0"/>
    <x v="3"/>
    <x v="1"/>
    <x v="1"/>
    <n v="1"/>
  </r>
  <r>
    <n v="764"/>
    <x v="1"/>
    <x v="1"/>
    <x v="10"/>
    <n v="9"/>
    <n v="138341.51"/>
    <x v="1"/>
    <s v="Yes"/>
    <x v="0"/>
    <n v="50072.94"/>
    <x v="0"/>
    <n v="0.45315951314055031"/>
    <s v="No"/>
    <n v="1"/>
    <n v="0"/>
    <x v="0"/>
    <x v="1"/>
    <x v="0"/>
    <x v="2"/>
    <x v="3"/>
    <n v="0"/>
  </r>
  <r>
    <n v="663"/>
    <x v="0"/>
    <x v="0"/>
    <x v="24"/>
    <n v="4"/>
    <n v="0"/>
    <x v="2"/>
    <s v="Yes"/>
    <x v="0"/>
    <n v="101371.05"/>
    <x v="1"/>
    <n v="7.4500742303526435E-2"/>
    <s v="No"/>
    <n v="0"/>
    <n v="0"/>
    <x v="1"/>
    <x v="2"/>
    <x v="1"/>
    <x v="0"/>
    <x v="0"/>
    <n v="1"/>
  </r>
  <r>
    <n v="663"/>
    <x v="2"/>
    <x v="1"/>
    <x v="10"/>
    <n v="8"/>
    <n v="0"/>
    <x v="0"/>
    <s v="Yes"/>
    <x v="1"/>
    <n v="101168.9"/>
    <x v="1"/>
    <n v="8.2409045064744016E-2"/>
    <s v="No"/>
    <n v="0"/>
    <n v="0"/>
    <x v="1"/>
    <x v="1"/>
    <x v="1"/>
    <x v="0"/>
    <x v="0"/>
    <n v="1"/>
  </r>
  <r>
    <n v="804"/>
    <x v="2"/>
    <x v="1"/>
    <x v="60"/>
    <n v="8"/>
    <n v="0"/>
    <x v="0"/>
    <s v="No"/>
    <x v="1"/>
    <n v="147995.96"/>
    <x v="1"/>
    <n v="0.4796407860561761"/>
    <s v="No"/>
    <n v="0"/>
    <n v="0"/>
    <x v="0"/>
    <x v="4"/>
    <x v="1"/>
    <x v="3"/>
    <x v="0"/>
    <n v="1"/>
  </r>
  <r>
    <n v="493"/>
    <x v="2"/>
    <x v="0"/>
    <x v="2"/>
    <n v="3"/>
    <n v="134006.76999999999"/>
    <x v="1"/>
    <s v="Yes"/>
    <x v="0"/>
    <n v="89578.32"/>
    <x v="1"/>
    <n v="0.21745181274219791"/>
    <s v="No"/>
    <n v="0"/>
    <n v="0"/>
    <x v="0"/>
    <x v="1"/>
    <x v="0"/>
    <x v="4"/>
    <x v="3"/>
    <n v="1"/>
  </r>
  <r>
    <n v="777"/>
    <x v="1"/>
    <x v="1"/>
    <x v="11"/>
    <n v="10"/>
    <n v="121532.17"/>
    <x v="0"/>
    <s v="Yes"/>
    <x v="1"/>
    <n v="73464.88"/>
    <x v="1"/>
    <n v="0.169574777109083"/>
    <s v="No"/>
    <n v="0"/>
    <n v="0"/>
    <x v="1"/>
    <x v="1"/>
    <x v="0"/>
    <x v="2"/>
    <x v="3"/>
    <n v="1"/>
  </r>
  <r>
    <n v="749"/>
    <x v="1"/>
    <x v="0"/>
    <x v="15"/>
    <n v="4"/>
    <n v="94762.16"/>
    <x v="0"/>
    <s v="Yes"/>
    <x v="1"/>
    <n v="42241.54"/>
    <x v="1"/>
    <n v="3.9363648641753603E-2"/>
    <s v="No"/>
    <n v="0"/>
    <n v="0"/>
    <x v="1"/>
    <x v="2"/>
    <x v="2"/>
    <x v="2"/>
    <x v="2"/>
    <n v="1"/>
  </r>
  <r>
    <n v="625"/>
    <x v="2"/>
    <x v="1"/>
    <x v="2"/>
    <n v="7"/>
    <n v="0"/>
    <x v="1"/>
    <s v="Yes"/>
    <x v="0"/>
    <n v="164804.01999999999"/>
    <x v="1"/>
    <n v="0.2299004022365207"/>
    <s v="No"/>
    <n v="0"/>
    <n v="0"/>
    <x v="0"/>
    <x v="1"/>
    <x v="1"/>
    <x v="0"/>
    <x v="1"/>
    <n v="1"/>
  </r>
  <r>
    <n v="780"/>
    <x v="1"/>
    <x v="1"/>
    <x v="11"/>
    <n v="10"/>
    <n v="95196.26"/>
    <x v="1"/>
    <s v="Yes"/>
    <x v="0"/>
    <n v="126310.39"/>
    <x v="0"/>
    <n v="0.39271007987972451"/>
    <s v="No"/>
    <n v="1"/>
    <n v="0"/>
    <x v="0"/>
    <x v="1"/>
    <x v="2"/>
    <x v="2"/>
    <x v="0"/>
    <n v="0"/>
  </r>
  <r>
    <n v="665"/>
    <x v="2"/>
    <x v="1"/>
    <x v="0"/>
    <n v="7"/>
    <n v="0"/>
    <x v="0"/>
    <s v="Yes"/>
    <x v="1"/>
    <n v="66548.58"/>
    <x v="1"/>
    <n v="0.11495915181073151"/>
    <s v="No"/>
    <n v="0"/>
    <n v="0"/>
    <x v="1"/>
    <x v="0"/>
    <x v="1"/>
    <x v="0"/>
    <x v="3"/>
    <n v="1"/>
  </r>
  <r>
    <n v="588"/>
    <x v="1"/>
    <x v="0"/>
    <x v="5"/>
    <n v="9"/>
    <n v="150186.22"/>
    <x v="0"/>
    <s v="Yes"/>
    <x v="1"/>
    <n v="65611.009999999995"/>
    <x v="1"/>
    <n v="9.8715335548395344E-2"/>
    <s v="No"/>
    <n v="0"/>
    <n v="0"/>
    <x v="1"/>
    <x v="1"/>
    <x v="3"/>
    <x v="1"/>
    <x v="3"/>
    <n v="1"/>
  </r>
  <r>
    <n v="721"/>
    <x v="1"/>
    <x v="0"/>
    <x v="21"/>
    <n v="6"/>
    <n v="100275.88"/>
    <x v="1"/>
    <s v="Yes"/>
    <x v="0"/>
    <n v="138564.48000000001"/>
    <x v="0"/>
    <n v="0.34946108087855582"/>
    <s v="No"/>
    <n v="1"/>
    <n v="0"/>
    <x v="0"/>
    <x v="1"/>
    <x v="0"/>
    <x v="2"/>
    <x v="0"/>
    <n v="0"/>
  </r>
  <r>
    <n v="575"/>
    <x v="2"/>
    <x v="0"/>
    <x v="4"/>
    <n v="4"/>
    <n v="121823.4"/>
    <x v="0"/>
    <s v="Yes"/>
    <x v="1"/>
    <n v="50368.87"/>
    <x v="1"/>
    <n v="3.6612503183719551E-2"/>
    <s v="No"/>
    <n v="0"/>
    <n v="0"/>
    <x v="1"/>
    <x v="2"/>
    <x v="0"/>
    <x v="1"/>
    <x v="3"/>
    <n v="1"/>
  </r>
  <r>
    <n v="687"/>
    <x v="0"/>
    <x v="0"/>
    <x v="18"/>
    <n v="3"/>
    <n v="0"/>
    <x v="0"/>
    <s v="No"/>
    <x v="0"/>
    <n v="48228.1"/>
    <x v="1"/>
    <n v="8.8163595518435264E-2"/>
    <s v="No"/>
    <n v="0"/>
    <n v="0"/>
    <x v="1"/>
    <x v="1"/>
    <x v="1"/>
    <x v="0"/>
    <x v="2"/>
    <n v="1"/>
  </r>
  <r>
    <n v="822"/>
    <x v="2"/>
    <x v="0"/>
    <x v="25"/>
    <n v="8"/>
    <n v="116358"/>
    <x v="1"/>
    <s v="Yes"/>
    <x v="0"/>
    <n v="108798.36"/>
    <x v="1"/>
    <n v="0.1104414516245287"/>
    <s v="No"/>
    <n v="0"/>
    <n v="0"/>
    <x v="1"/>
    <x v="1"/>
    <x v="0"/>
    <x v="3"/>
    <x v="0"/>
    <n v="1"/>
  </r>
  <r>
    <n v="386"/>
    <x v="0"/>
    <x v="1"/>
    <x v="38"/>
    <n v="1"/>
    <n v="131955.07"/>
    <x v="1"/>
    <s v="Yes"/>
    <x v="1"/>
    <n v="62514.65"/>
    <x v="0"/>
    <n v="0.35859771255292272"/>
    <s v="No"/>
    <n v="1"/>
    <n v="0"/>
    <x v="0"/>
    <x v="3"/>
    <x v="0"/>
    <x v="4"/>
    <x v="3"/>
    <n v="0"/>
  </r>
  <r>
    <n v="613"/>
    <x v="0"/>
    <x v="0"/>
    <x v="63"/>
    <n v="5"/>
    <n v="0"/>
    <x v="1"/>
    <s v="Yes"/>
    <x v="1"/>
    <n v="176903.35"/>
    <x v="1"/>
    <n v="1.538274847491713E-2"/>
    <s v="No"/>
    <n v="0"/>
    <n v="0"/>
    <x v="1"/>
    <x v="2"/>
    <x v="1"/>
    <x v="0"/>
    <x v="1"/>
    <n v="1"/>
  </r>
  <r>
    <n v="672"/>
    <x v="2"/>
    <x v="0"/>
    <x v="10"/>
    <n v="2"/>
    <n v="0"/>
    <x v="0"/>
    <s v="Yes"/>
    <x v="0"/>
    <n v="87372.49"/>
    <x v="1"/>
    <n v="0.1464292417222012"/>
    <s v="No"/>
    <n v="0"/>
    <n v="0"/>
    <x v="1"/>
    <x v="1"/>
    <x v="1"/>
    <x v="0"/>
    <x v="3"/>
    <n v="1"/>
  </r>
  <r>
    <n v="714"/>
    <x v="2"/>
    <x v="1"/>
    <x v="21"/>
    <n v="0"/>
    <n v="0"/>
    <x v="0"/>
    <s v="Yes"/>
    <x v="0"/>
    <n v="62762.12"/>
    <x v="1"/>
    <n v="0.2414601191408266"/>
    <s v="No"/>
    <n v="0"/>
    <n v="0"/>
    <x v="0"/>
    <x v="1"/>
    <x v="1"/>
    <x v="2"/>
    <x v="3"/>
    <n v="1"/>
  </r>
  <r>
    <n v="783"/>
    <x v="2"/>
    <x v="1"/>
    <x v="59"/>
    <n v="5"/>
    <n v="121215.9"/>
    <x v="0"/>
    <s v="Yes"/>
    <x v="1"/>
    <n v="105206.48"/>
    <x v="1"/>
    <n v="0.58040249863419058"/>
    <s v="Yes"/>
    <n v="0"/>
    <n v="1"/>
    <x v="2"/>
    <x v="4"/>
    <x v="0"/>
    <x v="2"/>
    <x v="0"/>
    <n v="0"/>
  </r>
  <r>
    <n v="700"/>
    <x v="2"/>
    <x v="0"/>
    <x v="11"/>
    <n v="1"/>
    <n v="135179.49"/>
    <x v="1"/>
    <s v="Yes"/>
    <x v="0"/>
    <n v="160670.37"/>
    <x v="1"/>
    <n v="0.1953689924735289"/>
    <s v="No"/>
    <n v="0"/>
    <n v="0"/>
    <x v="1"/>
    <x v="1"/>
    <x v="0"/>
    <x v="0"/>
    <x v="1"/>
    <n v="1"/>
  </r>
  <r>
    <n v="744"/>
    <x v="0"/>
    <x v="0"/>
    <x v="18"/>
    <n v="0"/>
    <n v="117551.23"/>
    <x v="1"/>
    <s v="Yes"/>
    <x v="0"/>
    <n v="158958.9"/>
    <x v="1"/>
    <n v="0.1325785554423535"/>
    <s v="No"/>
    <n v="0"/>
    <n v="0"/>
    <x v="1"/>
    <x v="1"/>
    <x v="0"/>
    <x v="2"/>
    <x v="1"/>
    <n v="1"/>
  </r>
  <r>
    <n v="525"/>
    <x v="0"/>
    <x v="0"/>
    <x v="28"/>
    <n v="3"/>
    <n v="77910.23"/>
    <x v="1"/>
    <s v="Yes"/>
    <x v="0"/>
    <n v="67238.009999999995"/>
    <x v="1"/>
    <n v="0.17219011132280751"/>
    <s v="No"/>
    <n v="0"/>
    <n v="0"/>
    <x v="1"/>
    <x v="1"/>
    <x v="2"/>
    <x v="1"/>
    <x v="3"/>
    <n v="1"/>
  </r>
  <r>
    <n v="850"/>
    <x v="1"/>
    <x v="1"/>
    <x v="36"/>
    <n v="8"/>
    <n v="69385.17"/>
    <x v="0"/>
    <s v="Yes"/>
    <x v="0"/>
    <n v="87834.240000000005"/>
    <x v="1"/>
    <n v="0.17875961051894229"/>
    <s v="No"/>
    <n v="0"/>
    <n v="0"/>
    <x v="1"/>
    <x v="2"/>
    <x v="2"/>
    <x v="3"/>
    <x v="3"/>
    <n v="1"/>
  </r>
  <r>
    <n v="680"/>
    <x v="0"/>
    <x v="0"/>
    <x v="3"/>
    <n v="0"/>
    <n v="0"/>
    <x v="1"/>
    <s v="Yes"/>
    <x v="0"/>
    <n v="136377.21"/>
    <x v="1"/>
    <n v="0.2079349611475613"/>
    <s v="No"/>
    <n v="0"/>
    <n v="0"/>
    <x v="0"/>
    <x v="0"/>
    <x v="1"/>
    <x v="0"/>
    <x v="0"/>
    <n v="1"/>
  </r>
  <r>
    <n v="649"/>
    <x v="0"/>
    <x v="0"/>
    <x v="25"/>
    <n v="1"/>
    <n v="0"/>
    <x v="1"/>
    <s v="No"/>
    <x v="1"/>
    <n v="91167.19"/>
    <x v="0"/>
    <n v="4.0752898796076222E-2"/>
    <s v="No"/>
    <n v="1"/>
    <n v="0"/>
    <x v="1"/>
    <x v="1"/>
    <x v="1"/>
    <x v="0"/>
    <x v="3"/>
    <n v="0"/>
  </r>
  <r>
    <n v="789"/>
    <x v="2"/>
    <x v="0"/>
    <x v="18"/>
    <n v="4"/>
    <n v="175477.15"/>
    <x v="1"/>
    <s v="Yes"/>
    <x v="1"/>
    <n v="172832.9"/>
    <x v="1"/>
    <n v="4.9310439983645933E-2"/>
    <s v="No"/>
    <n v="0"/>
    <n v="0"/>
    <x v="1"/>
    <x v="1"/>
    <x v="3"/>
    <x v="2"/>
    <x v="1"/>
    <n v="1"/>
  </r>
  <r>
    <n v="658"/>
    <x v="2"/>
    <x v="0"/>
    <x v="10"/>
    <n v="7"/>
    <n v="0"/>
    <x v="0"/>
    <s v="Yes"/>
    <x v="0"/>
    <n v="48378.400000000001"/>
    <x v="1"/>
    <n v="0.1330855126996778"/>
    <s v="No"/>
    <n v="0"/>
    <n v="0"/>
    <x v="1"/>
    <x v="1"/>
    <x v="1"/>
    <x v="0"/>
    <x v="2"/>
    <n v="1"/>
  </r>
  <r>
    <n v="539"/>
    <x v="0"/>
    <x v="0"/>
    <x v="10"/>
    <n v="2"/>
    <n v="0"/>
    <x v="0"/>
    <s v="Yes"/>
    <x v="1"/>
    <n v="48189.94"/>
    <x v="1"/>
    <n v="6.0416684643038482E-2"/>
    <s v="No"/>
    <n v="0"/>
    <n v="0"/>
    <x v="1"/>
    <x v="1"/>
    <x v="1"/>
    <x v="1"/>
    <x v="2"/>
    <n v="1"/>
  </r>
  <r>
    <n v="673"/>
    <x v="2"/>
    <x v="0"/>
    <x v="6"/>
    <n v="5"/>
    <n v="0"/>
    <x v="1"/>
    <s v="Yes"/>
    <x v="1"/>
    <n v="65657.289999999994"/>
    <x v="1"/>
    <n v="6.4563736677620873E-2"/>
    <s v="No"/>
    <n v="0"/>
    <n v="0"/>
    <x v="1"/>
    <x v="0"/>
    <x v="1"/>
    <x v="0"/>
    <x v="3"/>
    <n v="1"/>
  </r>
  <r>
    <n v="712"/>
    <x v="2"/>
    <x v="0"/>
    <x v="5"/>
    <n v="3"/>
    <n v="153819.57999999999"/>
    <x v="1"/>
    <s v="Yes"/>
    <x v="0"/>
    <n v="79176.09"/>
    <x v="0"/>
    <n v="0.14721260261694119"/>
    <s v="No"/>
    <n v="1"/>
    <n v="0"/>
    <x v="1"/>
    <x v="1"/>
    <x v="3"/>
    <x v="2"/>
    <x v="3"/>
    <n v="0"/>
  </r>
  <r>
    <n v="642"/>
    <x v="2"/>
    <x v="0"/>
    <x v="59"/>
    <n v="1"/>
    <n v="160541"/>
    <x v="0"/>
    <s v="Yes"/>
    <x v="1"/>
    <n v="142223.94"/>
    <x v="1"/>
    <n v="0.51907936373129959"/>
    <s v="Yes"/>
    <n v="0"/>
    <n v="1"/>
    <x v="2"/>
    <x v="4"/>
    <x v="3"/>
    <x v="0"/>
    <x v="0"/>
    <n v="0"/>
  </r>
  <r>
    <n v="850"/>
    <x v="0"/>
    <x v="0"/>
    <x v="28"/>
    <n v="0"/>
    <n v="0"/>
    <x v="0"/>
    <s v="Yes"/>
    <x v="0"/>
    <n v="141242.57"/>
    <x v="1"/>
    <n v="0.1192069792916937"/>
    <s v="No"/>
    <n v="0"/>
    <n v="0"/>
    <x v="1"/>
    <x v="1"/>
    <x v="1"/>
    <x v="3"/>
    <x v="0"/>
    <n v="1"/>
  </r>
  <r>
    <n v="724"/>
    <x v="2"/>
    <x v="1"/>
    <x v="21"/>
    <n v="6"/>
    <n v="110054.45"/>
    <x v="1"/>
    <s v="Yes"/>
    <x v="1"/>
    <n v="86950.720000000001"/>
    <x v="1"/>
    <n v="0.12370256515570981"/>
    <s v="No"/>
    <n v="0"/>
    <n v="0"/>
    <x v="1"/>
    <x v="1"/>
    <x v="0"/>
    <x v="2"/>
    <x v="3"/>
    <n v="1"/>
  </r>
  <r>
    <n v="589"/>
    <x v="1"/>
    <x v="0"/>
    <x v="20"/>
    <n v="5"/>
    <n v="126111.61"/>
    <x v="1"/>
    <s v="No"/>
    <x v="1"/>
    <n v="133961.19"/>
    <x v="1"/>
    <n v="0.28668143109338168"/>
    <s v="No"/>
    <n v="0"/>
    <n v="0"/>
    <x v="0"/>
    <x v="0"/>
    <x v="0"/>
    <x v="1"/>
    <x v="0"/>
    <n v="1"/>
  </r>
  <r>
    <n v="723"/>
    <x v="2"/>
    <x v="1"/>
    <x v="21"/>
    <n v="7"/>
    <n v="142856.95000000001"/>
    <x v="0"/>
    <s v="No"/>
    <x v="0"/>
    <n v="38019.74"/>
    <x v="1"/>
    <n v="0.28888406931895472"/>
    <s v="No"/>
    <n v="0"/>
    <n v="0"/>
    <x v="0"/>
    <x v="1"/>
    <x v="0"/>
    <x v="2"/>
    <x v="2"/>
    <n v="1"/>
  </r>
  <r>
    <n v="531"/>
    <x v="1"/>
    <x v="1"/>
    <x v="54"/>
    <n v="2"/>
    <n v="175754.87"/>
    <x v="0"/>
    <s v="Yes"/>
    <x v="1"/>
    <n v="60721.4"/>
    <x v="1"/>
    <n v="0.70499304099703342"/>
    <s v="Yes"/>
    <n v="0"/>
    <n v="1"/>
    <x v="2"/>
    <x v="4"/>
    <x v="3"/>
    <x v="1"/>
    <x v="3"/>
    <n v="0"/>
  </r>
  <r>
    <n v="642"/>
    <x v="2"/>
    <x v="1"/>
    <x v="21"/>
    <n v="7"/>
    <n v="0"/>
    <x v="0"/>
    <s v="Yes"/>
    <x v="0"/>
    <n v="10712.82"/>
    <x v="1"/>
    <n v="0.22054760856554231"/>
    <s v="No"/>
    <n v="0"/>
    <n v="0"/>
    <x v="0"/>
    <x v="1"/>
    <x v="1"/>
    <x v="0"/>
    <x v="2"/>
    <n v="1"/>
  </r>
  <r>
    <n v="671"/>
    <x v="2"/>
    <x v="1"/>
    <x v="3"/>
    <n v="6"/>
    <n v="0"/>
    <x v="0"/>
    <s v="Yes"/>
    <x v="0"/>
    <n v="197202.48"/>
    <x v="1"/>
    <n v="0.26689271244290319"/>
    <s v="No"/>
    <n v="0"/>
    <n v="0"/>
    <x v="0"/>
    <x v="0"/>
    <x v="1"/>
    <x v="0"/>
    <x v="1"/>
    <n v="1"/>
  </r>
  <r>
    <n v="850"/>
    <x v="2"/>
    <x v="1"/>
    <x v="17"/>
    <n v="1"/>
    <n v="105245.34"/>
    <x v="1"/>
    <s v="No"/>
    <x v="1"/>
    <n v="74780.13"/>
    <x v="1"/>
    <n v="5.6194723632498292E-2"/>
    <s v="No"/>
    <n v="0"/>
    <n v="0"/>
    <x v="1"/>
    <x v="2"/>
    <x v="0"/>
    <x v="3"/>
    <x v="3"/>
    <n v="1"/>
  </r>
  <r>
    <n v="580"/>
    <x v="1"/>
    <x v="0"/>
    <x v="0"/>
    <n v="9"/>
    <n v="143391.07"/>
    <x v="1"/>
    <s v="No"/>
    <x v="0"/>
    <n v="146891.07"/>
    <x v="0"/>
    <n v="0.46541436242096768"/>
    <s v="No"/>
    <n v="1"/>
    <n v="0"/>
    <x v="0"/>
    <x v="0"/>
    <x v="0"/>
    <x v="1"/>
    <x v="0"/>
    <n v="0"/>
  </r>
  <r>
    <n v="507"/>
    <x v="2"/>
    <x v="1"/>
    <x v="22"/>
    <n v="2"/>
    <n v="0"/>
    <x v="0"/>
    <s v="Yes"/>
    <x v="0"/>
    <n v="97633.93"/>
    <x v="1"/>
    <n v="0.1991826236922907"/>
    <s v="No"/>
    <n v="0"/>
    <n v="0"/>
    <x v="1"/>
    <x v="1"/>
    <x v="1"/>
    <x v="1"/>
    <x v="3"/>
    <n v="1"/>
  </r>
  <r>
    <n v="696"/>
    <x v="2"/>
    <x v="1"/>
    <x v="36"/>
    <n v="8"/>
    <n v="126442.59"/>
    <x v="1"/>
    <s v="Yes"/>
    <x v="0"/>
    <n v="121904.44"/>
    <x v="1"/>
    <n v="0.12608619726122611"/>
    <s v="No"/>
    <n v="0"/>
    <n v="0"/>
    <x v="1"/>
    <x v="2"/>
    <x v="0"/>
    <x v="0"/>
    <x v="0"/>
    <n v="1"/>
  </r>
  <r>
    <n v="613"/>
    <x v="1"/>
    <x v="1"/>
    <x v="12"/>
    <n v="10"/>
    <n v="120481.69"/>
    <x v="1"/>
    <s v="No"/>
    <x v="0"/>
    <n v="94875.03"/>
    <x v="0"/>
    <n v="0.55077527972332041"/>
    <s v="Yes"/>
    <n v="1"/>
    <n v="1"/>
    <x v="2"/>
    <x v="0"/>
    <x v="0"/>
    <x v="0"/>
    <x v="3"/>
    <n v="1"/>
  </r>
  <r>
    <n v="701"/>
    <x v="0"/>
    <x v="0"/>
    <x v="17"/>
    <n v="1"/>
    <n v="103421.32"/>
    <x v="1"/>
    <s v="No"/>
    <x v="1"/>
    <n v="76304.73"/>
    <x v="1"/>
    <n v="3.8020628708502077E-2"/>
    <s v="No"/>
    <n v="0"/>
    <n v="0"/>
    <x v="1"/>
    <x v="2"/>
    <x v="0"/>
    <x v="2"/>
    <x v="3"/>
    <n v="1"/>
  </r>
  <r>
    <n v="665"/>
    <x v="2"/>
    <x v="0"/>
    <x v="17"/>
    <n v="8"/>
    <n v="191402.82"/>
    <x v="0"/>
    <s v="Yes"/>
    <x v="0"/>
    <n v="83238.399999999994"/>
    <x v="1"/>
    <n v="0.10002670161742221"/>
    <s v="No"/>
    <n v="0"/>
    <n v="0"/>
    <x v="1"/>
    <x v="2"/>
    <x v="3"/>
    <x v="0"/>
    <x v="3"/>
    <n v="1"/>
  </r>
  <r>
    <n v="726"/>
    <x v="1"/>
    <x v="0"/>
    <x v="32"/>
    <n v="9"/>
    <n v="94504.35"/>
    <x v="1"/>
    <s v="No"/>
    <x v="1"/>
    <n v="5078.8999999999996"/>
    <x v="1"/>
    <n v="0.25131793819692522"/>
    <s v="No"/>
    <n v="0"/>
    <n v="0"/>
    <x v="0"/>
    <x v="0"/>
    <x v="2"/>
    <x v="2"/>
    <x v="2"/>
    <n v="1"/>
  </r>
  <r>
    <n v="663"/>
    <x v="2"/>
    <x v="0"/>
    <x v="12"/>
    <n v="4"/>
    <n v="87624.03"/>
    <x v="0"/>
    <s v="Yes"/>
    <x v="0"/>
    <n v="149401.32999999999"/>
    <x v="1"/>
    <n v="0.22470562167193589"/>
    <s v="No"/>
    <n v="0"/>
    <n v="0"/>
    <x v="0"/>
    <x v="0"/>
    <x v="2"/>
    <x v="0"/>
    <x v="0"/>
    <n v="1"/>
  </r>
  <r>
    <n v="617"/>
    <x v="2"/>
    <x v="0"/>
    <x v="36"/>
    <n v="1"/>
    <n v="102585.88"/>
    <x v="0"/>
    <s v="Yes"/>
    <x v="1"/>
    <n v="115387.4"/>
    <x v="1"/>
    <n v="2.7943310114592321E-2"/>
    <s v="No"/>
    <n v="0"/>
    <n v="0"/>
    <x v="1"/>
    <x v="2"/>
    <x v="0"/>
    <x v="0"/>
    <x v="0"/>
    <n v="1"/>
  </r>
  <r>
    <n v="724"/>
    <x v="2"/>
    <x v="1"/>
    <x v="19"/>
    <n v="2"/>
    <n v="0"/>
    <x v="0"/>
    <s v="Yes"/>
    <x v="1"/>
    <n v="118863.38"/>
    <x v="1"/>
    <n v="6.3350402609509179E-2"/>
    <s v="No"/>
    <n v="0"/>
    <n v="0"/>
    <x v="1"/>
    <x v="1"/>
    <x v="1"/>
    <x v="2"/>
    <x v="0"/>
    <n v="1"/>
  </r>
  <r>
    <n v="765"/>
    <x v="1"/>
    <x v="1"/>
    <x v="19"/>
    <n v="8"/>
    <n v="136729.51"/>
    <x v="0"/>
    <s v="No"/>
    <x v="0"/>
    <n v="47058.21"/>
    <x v="1"/>
    <n v="0.35068148771298913"/>
    <s v="No"/>
    <n v="0"/>
    <n v="0"/>
    <x v="0"/>
    <x v="1"/>
    <x v="0"/>
    <x v="2"/>
    <x v="2"/>
    <n v="1"/>
  </r>
  <r>
    <n v="748"/>
    <x v="1"/>
    <x v="0"/>
    <x v="1"/>
    <n v="2"/>
    <n v="119852.01"/>
    <x v="1"/>
    <s v="No"/>
    <x v="0"/>
    <n v="73853.94"/>
    <x v="0"/>
    <n v="0.46400289985558929"/>
    <s v="No"/>
    <n v="1"/>
    <n v="0"/>
    <x v="0"/>
    <x v="0"/>
    <x v="0"/>
    <x v="2"/>
    <x v="3"/>
    <n v="0"/>
  </r>
  <r>
    <n v="771"/>
    <x v="0"/>
    <x v="1"/>
    <x v="6"/>
    <n v="5"/>
    <n v="0"/>
    <x v="0"/>
    <s v="No"/>
    <x v="1"/>
    <n v="92914.67"/>
    <x v="1"/>
    <n v="9.8726208799591139E-2"/>
    <s v="No"/>
    <n v="0"/>
    <n v="0"/>
    <x v="1"/>
    <x v="0"/>
    <x v="1"/>
    <x v="2"/>
    <x v="3"/>
    <n v="1"/>
  </r>
  <r>
    <n v="763"/>
    <x v="2"/>
    <x v="0"/>
    <x v="22"/>
    <n v="9"/>
    <n v="0"/>
    <x v="1"/>
    <s v="Yes"/>
    <x v="1"/>
    <n v="31372.91"/>
    <x v="1"/>
    <n v="3.633506319973407E-2"/>
    <s v="No"/>
    <n v="0"/>
    <n v="0"/>
    <x v="1"/>
    <x v="1"/>
    <x v="1"/>
    <x v="2"/>
    <x v="2"/>
    <n v="1"/>
  </r>
  <r>
    <n v="655"/>
    <x v="0"/>
    <x v="1"/>
    <x v="64"/>
    <n v="2"/>
    <n v="0"/>
    <x v="0"/>
    <s v="No"/>
    <x v="1"/>
    <n v="188435.38"/>
    <x v="1"/>
    <n v="0.67247524855709206"/>
    <s v="Yes"/>
    <n v="0"/>
    <n v="1"/>
    <x v="2"/>
    <x v="4"/>
    <x v="1"/>
    <x v="0"/>
    <x v="1"/>
    <n v="0"/>
  </r>
  <r>
    <n v="580"/>
    <x v="1"/>
    <x v="1"/>
    <x v="28"/>
    <n v="6"/>
    <n v="145387.32"/>
    <x v="0"/>
    <s v="Yes"/>
    <x v="1"/>
    <n v="169963.2"/>
    <x v="0"/>
    <n v="0.20894739294647391"/>
    <s v="No"/>
    <n v="1"/>
    <n v="0"/>
    <x v="0"/>
    <x v="1"/>
    <x v="0"/>
    <x v="1"/>
    <x v="1"/>
    <n v="0"/>
  </r>
  <r>
    <n v="712"/>
    <x v="2"/>
    <x v="0"/>
    <x v="22"/>
    <n v="7"/>
    <n v="124616.23"/>
    <x v="1"/>
    <s v="Yes"/>
    <x v="1"/>
    <n v="69320.97"/>
    <x v="1"/>
    <n v="5.4224807871895361E-2"/>
    <s v="No"/>
    <n v="0"/>
    <n v="0"/>
    <x v="1"/>
    <x v="1"/>
    <x v="0"/>
    <x v="2"/>
    <x v="3"/>
    <n v="1"/>
  </r>
  <r>
    <n v="680"/>
    <x v="2"/>
    <x v="0"/>
    <x v="18"/>
    <n v="9"/>
    <n v="0"/>
    <x v="0"/>
    <s v="Yes"/>
    <x v="0"/>
    <n v="36145.53"/>
    <x v="1"/>
    <n v="7.3949649458951952E-2"/>
    <s v="No"/>
    <n v="0"/>
    <n v="0"/>
    <x v="1"/>
    <x v="1"/>
    <x v="1"/>
    <x v="0"/>
    <x v="2"/>
    <n v="1"/>
  </r>
  <r>
    <n v="721"/>
    <x v="2"/>
    <x v="0"/>
    <x v="22"/>
    <n v="10"/>
    <n v="0"/>
    <x v="0"/>
    <s v="Yes"/>
    <x v="0"/>
    <n v="71594.259999999995"/>
    <x v="1"/>
    <n v="9.4497890695491124E-2"/>
    <s v="No"/>
    <n v="0"/>
    <n v="0"/>
    <x v="1"/>
    <x v="1"/>
    <x v="1"/>
    <x v="2"/>
    <x v="3"/>
    <n v="1"/>
  </r>
  <r>
    <n v="641"/>
    <x v="2"/>
    <x v="0"/>
    <x v="53"/>
    <n v="6"/>
    <n v="38340.019999999997"/>
    <x v="1"/>
    <s v="Yes"/>
    <x v="0"/>
    <n v="32607.77"/>
    <x v="0"/>
    <n v="0.56846404564071062"/>
    <s v="Yes"/>
    <n v="1"/>
    <n v="1"/>
    <x v="2"/>
    <x v="4"/>
    <x v="4"/>
    <x v="0"/>
    <x v="2"/>
    <n v="1"/>
  </r>
  <r>
    <n v="570"/>
    <x v="2"/>
    <x v="1"/>
    <x v="8"/>
    <n v="6"/>
    <n v="142105.35"/>
    <x v="1"/>
    <s v="Yes"/>
    <x v="1"/>
    <n v="45214.04"/>
    <x v="1"/>
    <n v="0.44086974366370391"/>
    <s v="No"/>
    <n v="0"/>
    <n v="0"/>
    <x v="0"/>
    <x v="4"/>
    <x v="0"/>
    <x v="1"/>
    <x v="2"/>
    <n v="1"/>
  </r>
  <r>
    <n v="717"/>
    <x v="2"/>
    <x v="0"/>
    <x v="22"/>
    <n v="4"/>
    <n v="0"/>
    <x v="1"/>
    <s v="Yes"/>
    <x v="1"/>
    <n v="167573.06"/>
    <x v="1"/>
    <n v="4.4320543604122027E-2"/>
    <s v="No"/>
    <n v="0"/>
    <n v="0"/>
    <x v="1"/>
    <x v="1"/>
    <x v="1"/>
    <x v="2"/>
    <x v="1"/>
    <n v="1"/>
  </r>
  <r>
    <n v="698"/>
    <x v="2"/>
    <x v="0"/>
    <x v="2"/>
    <n v="2"/>
    <n v="130015.24"/>
    <x v="1"/>
    <s v="Yes"/>
    <x v="1"/>
    <n v="41595.300000000003"/>
    <x v="1"/>
    <n v="7.3797064345411445E-2"/>
    <s v="No"/>
    <n v="0"/>
    <n v="0"/>
    <x v="1"/>
    <x v="1"/>
    <x v="0"/>
    <x v="0"/>
    <x v="2"/>
    <n v="1"/>
  </r>
  <r>
    <n v="691"/>
    <x v="2"/>
    <x v="0"/>
    <x v="19"/>
    <n v="8"/>
    <n v="133936.04"/>
    <x v="0"/>
    <s v="Yes"/>
    <x v="0"/>
    <n v="91359.79"/>
    <x v="1"/>
    <n v="0.1283790211145921"/>
    <s v="No"/>
    <n v="0"/>
    <n v="0"/>
    <x v="1"/>
    <x v="1"/>
    <x v="0"/>
    <x v="0"/>
    <x v="3"/>
    <n v="1"/>
  </r>
  <r>
    <n v="527"/>
    <x v="1"/>
    <x v="1"/>
    <x v="6"/>
    <n v="10"/>
    <n v="136733.24"/>
    <x v="1"/>
    <s v="Yes"/>
    <x v="1"/>
    <n v="57589.29"/>
    <x v="1"/>
    <n v="0.27180918091627893"/>
    <s v="No"/>
    <n v="0"/>
    <n v="0"/>
    <x v="0"/>
    <x v="0"/>
    <x v="0"/>
    <x v="1"/>
    <x v="3"/>
    <n v="1"/>
  </r>
  <r>
    <n v="614"/>
    <x v="0"/>
    <x v="0"/>
    <x v="10"/>
    <n v="3"/>
    <n v="151914.93"/>
    <x v="1"/>
    <s v="No"/>
    <x v="0"/>
    <n v="56459.45"/>
    <x v="1"/>
    <n v="0.232931102921132"/>
    <s v="No"/>
    <n v="0"/>
    <n v="0"/>
    <x v="0"/>
    <x v="1"/>
    <x v="3"/>
    <x v="0"/>
    <x v="3"/>
    <n v="1"/>
  </r>
  <r>
    <n v="587"/>
    <x v="0"/>
    <x v="0"/>
    <x v="7"/>
    <n v="3"/>
    <n v="83739.320000000007"/>
    <x v="1"/>
    <s v="No"/>
    <x v="1"/>
    <n v="148798.45000000001"/>
    <x v="1"/>
    <n v="0.18240678605421609"/>
    <s v="No"/>
    <n v="0"/>
    <n v="0"/>
    <x v="1"/>
    <x v="3"/>
    <x v="2"/>
    <x v="1"/>
    <x v="0"/>
    <n v="1"/>
  </r>
  <r>
    <n v="733"/>
    <x v="2"/>
    <x v="1"/>
    <x v="0"/>
    <n v="6"/>
    <n v="168165.84"/>
    <x v="1"/>
    <s v="No"/>
    <x v="1"/>
    <n v="197193.49"/>
    <x v="1"/>
    <n v="0.19410101771915239"/>
    <s v="No"/>
    <n v="0"/>
    <n v="0"/>
    <x v="1"/>
    <x v="0"/>
    <x v="3"/>
    <x v="2"/>
    <x v="1"/>
    <n v="1"/>
  </r>
  <r>
    <n v="564"/>
    <x v="2"/>
    <x v="0"/>
    <x v="22"/>
    <n v="4"/>
    <n v="0"/>
    <x v="1"/>
    <s v="Yes"/>
    <x v="0"/>
    <n v="158937.54999999999"/>
    <x v="1"/>
    <n v="0.13238736923438271"/>
    <s v="No"/>
    <n v="0"/>
    <n v="0"/>
    <x v="1"/>
    <x v="1"/>
    <x v="1"/>
    <x v="1"/>
    <x v="1"/>
    <n v="1"/>
  </r>
  <r>
    <n v="771"/>
    <x v="0"/>
    <x v="1"/>
    <x v="47"/>
    <n v="2"/>
    <n v="0"/>
    <x v="1"/>
    <s v="Yes"/>
    <x v="1"/>
    <n v="25222.6"/>
    <x v="0"/>
    <n v="0.26723958311452373"/>
    <s v="No"/>
    <n v="1"/>
    <n v="0"/>
    <x v="0"/>
    <x v="3"/>
    <x v="1"/>
    <x v="2"/>
    <x v="2"/>
    <n v="0"/>
  </r>
  <r>
    <n v="676"/>
    <x v="1"/>
    <x v="0"/>
    <x v="17"/>
    <n v="1"/>
    <n v="69459.05"/>
    <x v="0"/>
    <s v="Yes"/>
    <x v="1"/>
    <n v="128461.29"/>
    <x v="1"/>
    <n v="6.5483325787284052E-2"/>
    <s v="No"/>
    <n v="0"/>
    <n v="0"/>
    <x v="1"/>
    <x v="2"/>
    <x v="2"/>
    <x v="0"/>
    <x v="0"/>
    <n v="1"/>
  </r>
  <r>
    <n v="565"/>
    <x v="2"/>
    <x v="0"/>
    <x v="19"/>
    <n v="6"/>
    <n v="0"/>
    <x v="1"/>
    <s v="Yes"/>
    <x v="1"/>
    <n v="63173.64"/>
    <x v="1"/>
    <n v="4.1577956396626987E-2"/>
    <s v="No"/>
    <n v="0"/>
    <n v="0"/>
    <x v="1"/>
    <x v="1"/>
    <x v="1"/>
    <x v="1"/>
    <x v="3"/>
    <n v="1"/>
  </r>
  <r>
    <n v="687"/>
    <x v="0"/>
    <x v="1"/>
    <x v="32"/>
    <n v="5"/>
    <n v="0"/>
    <x v="0"/>
    <s v="Yes"/>
    <x v="0"/>
    <n v="110230.39999999999"/>
    <x v="1"/>
    <n v="0.39651086915331613"/>
    <s v="No"/>
    <n v="0"/>
    <n v="0"/>
    <x v="0"/>
    <x v="0"/>
    <x v="1"/>
    <x v="0"/>
    <x v="0"/>
    <n v="1"/>
  </r>
  <r>
    <n v="686"/>
    <x v="0"/>
    <x v="0"/>
    <x v="15"/>
    <n v="8"/>
    <n v="0"/>
    <x v="0"/>
    <s v="No"/>
    <x v="0"/>
    <n v="142331.85"/>
    <x v="1"/>
    <n v="4.531244443283769E-2"/>
    <s v="No"/>
    <n v="0"/>
    <n v="0"/>
    <x v="1"/>
    <x v="2"/>
    <x v="1"/>
    <x v="0"/>
    <x v="0"/>
    <n v="1"/>
  </r>
  <r>
    <n v="816"/>
    <x v="1"/>
    <x v="1"/>
    <x v="36"/>
    <n v="2"/>
    <n v="150355.35"/>
    <x v="0"/>
    <s v="Yes"/>
    <x v="1"/>
    <n v="35770.839999999997"/>
    <x v="1"/>
    <n v="9.1817246085409879E-2"/>
    <s v="No"/>
    <n v="0"/>
    <n v="0"/>
    <x v="1"/>
    <x v="2"/>
    <x v="3"/>
    <x v="3"/>
    <x v="2"/>
    <n v="1"/>
  </r>
  <r>
    <n v="597"/>
    <x v="0"/>
    <x v="0"/>
    <x v="22"/>
    <n v="9"/>
    <n v="0"/>
    <x v="2"/>
    <s v="No"/>
    <x v="1"/>
    <n v="73181.39"/>
    <x v="0"/>
    <n v="3.639577551558168E-2"/>
    <s v="No"/>
    <n v="1"/>
    <n v="0"/>
    <x v="1"/>
    <x v="1"/>
    <x v="1"/>
    <x v="1"/>
    <x v="3"/>
    <n v="0"/>
  </r>
  <r>
    <n v="579"/>
    <x v="1"/>
    <x v="1"/>
    <x v="32"/>
    <n v="5"/>
    <n v="117721.02"/>
    <x v="1"/>
    <s v="No"/>
    <x v="1"/>
    <n v="192146.63"/>
    <x v="0"/>
    <n v="0.45057014047091642"/>
    <s v="No"/>
    <n v="1"/>
    <n v="0"/>
    <x v="0"/>
    <x v="0"/>
    <x v="0"/>
    <x v="1"/>
    <x v="1"/>
    <n v="0"/>
  </r>
  <r>
    <n v="759"/>
    <x v="2"/>
    <x v="1"/>
    <x v="18"/>
    <n v="1"/>
    <n v="109848.6"/>
    <x v="1"/>
    <s v="Yes"/>
    <x v="1"/>
    <n v="42012.55"/>
    <x v="1"/>
    <n v="7.0782456260537627E-2"/>
    <s v="No"/>
    <n v="0"/>
    <n v="0"/>
    <x v="1"/>
    <x v="1"/>
    <x v="0"/>
    <x v="2"/>
    <x v="2"/>
    <n v="1"/>
  </r>
  <r>
    <n v="512"/>
    <x v="0"/>
    <x v="1"/>
    <x v="16"/>
    <n v="3"/>
    <n v="0"/>
    <x v="0"/>
    <s v="Yes"/>
    <x v="1"/>
    <n v="56408.14"/>
    <x v="1"/>
    <n v="0.15772635891743539"/>
    <s v="No"/>
    <n v="0"/>
    <n v="0"/>
    <x v="1"/>
    <x v="0"/>
    <x v="1"/>
    <x v="1"/>
    <x v="3"/>
    <n v="1"/>
  </r>
  <r>
    <n v="520"/>
    <x v="2"/>
    <x v="1"/>
    <x v="4"/>
    <n v="8"/>
    <n v="95947.76"/>
    <x v="1"/>
    <s v="Yes"/>
    <x v="0"/>
    <n v="4696.4399999999996"/>
    <x v="1"/>
    <n v="0.15938580793576729"/>
    <s v="No"/>
    <n v="0"/>
    <n v="0"/>
    <x v="1"/>
    <x v="2"/>
    <x v="2"/>
    <x v="1"/>
    <x v="2"/>
    <n v="1"/>
  </r>
  <r>
    <n v="785"/>
    <x v="0"/>
    <x v="0"/>
    <x v="6"/>
    <n v="7"/>
    <n v="0"/>
    <x v="0"/>
    <s v="Yes"/>
    <x v="1"/>
    <n v="199108.88"/>
    <x v="1"/>
    <n v="5.8359544316738073E-2"/>
    <s v="No"/>
    <n v="0"/>
    <n v="0"/>
    <x v="1"/>
    <x v="0"/>
    <x v="1"/>
    <x v="2"/>
    <x v="1"/>
    <n v="1"/>
  </r>
  <r>
    <n v="670"/>
    <x v="2"/>
    <x v="0"/>
    <x v="2"/>
    <n v="10"/>
    <n v="89416.99"/>
    <x v="1"/>
    <s v="No"/>
    <x v="0"/>
    <n v="144275.39000000001"/>
    <x v="1"/>
    <n v="0.16876770877383551"/>
    <s v="No"/>
    <n v="0"/>
    <n v="0"/>
    <x v="1"/>
    <x v="1"/>
    <x v="2"/>
    <x v="0"/>
    <x v="0"/>
    <n v="1"/>
  </r>
  <r>
    <n v="681"/>
    <x v="1"/>
    <x v="1"/>
    <x v="0"/>
    <n v="3"/>
    <n v="105206.7"/>
    <x v="0"/>
    <s v="Yes"/>
    <x v="1"/>
    <n v="163558.35999999999"/>
    <x v="1"/>
    <n v="0.29783649085678099"/>
    <s v="No"/>
    <n v="0"/>
    <n v="0"/>
    <x v="0"/>
    <x v="0"/>
    <x v="0"/>
    <x v="0"/>
    <x v="1"/>
    <n v="1"/>
  </r>
  <r>
    <n v="621"/>
    <x v="0"/>
    <x v="1"/>
    <x v="11"/>
    <n v="9"/>
    <n v="83061.259999999995"/>
    <x v="0"/>
    <s v="Yes"/>
    <x v="0"/>
    <n v="9170.5400000000009"/>
    <x v="1"/>
    <n v="0.22155010327793101"/>
    <s v="No"/>
    <n v="0"/>
    <n v="0"/>
    <x v="0"/>
    <x v="1"/>
    <x v="2"/>
    <x v="0"/>
    <x v="2"/>
    <n v="1"/>
  </r>
  <r>
    <n v="632"/>
    <x v="2"/>
    <x v="0"/>
    <x v="21"/>
    <n v="5"/>
    <n v="147650.68"/>
    <x v="1"/>
    <s v="Yes"/>
    <x v="1"/>
    <n v="199674.83"/>
    <x v="1"/>
    <n v="9.4378420705192728E-2"/>
    <s v="No"/>
    <n v="0"/>
    <n v="0"/>
    <x v="1"/>
    <x v="1"/>
    <x v="0"/>
    <x v="0"/>
    <x v="1"/>
    <n v="1"/>
  </r>
  <r>
    <n v="477"/>
    <x v="1"/>
    <x v="1"/>
    <x v="23"/>
    <n v="2"/>
    <n v="95675.62"/>
    <x v="0"/>
    <s v="No"/>
    <x v="0"/>
    <n v="162699.70000000001"/>
    <x v="0"/>
    <n v="0.25358843619538513"/>
    <s v="No"/>
    <n v="1"/>
    <n v="0"/>
    <x v="0"/>
    <x v="2"/>
    <x v="2"/>
    <x v="4"/>
    <x v="1"/>
    <n v="0"/>
  </r>
  <r>
    <n v="675"/>
    <x v="1"/>
    <x v="0"/>
    <x v="3"/>
    <n v="2"/>
    <n v="92616.639999999999"/>
    <x v="0"/>
    <s v="Yes"/>
    <x v="0"/>
    <n v="8567.18"/>
    <x v="1"/>
    <n v="0.36386752462482819"/>
    <s v="No"/>
    <n v="0"/>
    <n v="0"/>
    <x v="0"/>
    <x v="0"/>
    <x v="2"/>
    <x v="0"/>
    <x v="2"/>
    <n v="1"/>
  </r>
  <r>
    <n v="616"/>
    <x v="0"/>
    <x v="1"/>
    <x v="28"/>
    <n v="6"/>
    <n v="0"/>
    <x v="1"/>
    <s v="Yes"/>
    <x v="1"/>
    <n v="12916.32"/>
    <x v="0"/>
    <n v="7.8185389609707293E-2"/>
    <s v="No"/>
    <n v="1"/>
    <n v="0"/>
    <x v="1"/>
    <x v="1"/>
    <x v="1"/>
    <x v="0"/>
    <x v="2"/>
    <n v="0"/>
  </r>
  <r>
    <n v="738"/>
    <x v="0"/>
    <x v="1"/>
    <x v="11"/>
    <n v="8"/>
    <n v="100565.94"/>
    <x v="1"/>
    <s v="Yes"/>
    <x v="1"/>
    <n v="128799.86"/>
    <x v="1"/>
    <n v="0.1004867498222219"/>
    <s v="No"/>
    <n v="0"/>
    <n v="0"/>
    <x v="1"/>
    <x v="1"/>
    <x v="0"/>
    <x v="2"/>
    <x v="0"/>
    <n v="1"/>
  </r>
  <r>
    <n v="616"/>
    <x v="1"/>
    <x v="1"/>
    <x v="28"/>
    <n v="10"/>
    <n v="78249.53"/>
    <x v="1"/>
    <s v="Yes"/>
    <x v="0"/>
    <n v="136934.91"/>
    <x v="1"/>
    <n v="0.39308460516013088"/>
    <s v="No"/>
    <n v="0"/>
    <n v="0"/>
    <x v="0"/>
    <x v="1"/>
    <x v="2"/>
    <x v="0"/>
    <x v="0"/>
    <n v="1"/>
  </r>
  <r>
    <n v="663"/>
    <x v="2"/>
    <x v="1"/>
    <x v="29"/>
    <n v="9"/>
    <n v="0"/>
    <x v="0"/>
    <s v="Yes"/>
    <x v="0"/>
    <n v="150850.29"/>
    <x v="1"/>
    <n v="9.9741530713133797E-2"/>
    <s v="No"/>
    <n v="0"/>
    <n v="0"/>
    <x v="1"/>
    <x v="2"/>
    <x v="1"/>
    <x v="0"/>
    <x v="1"/>
    <n v="1"/>
  </r>
  <r>
    <n v="706"/>
    <x v="0"/>
    <x v="0"/>
    <x v="44"/>
    <n v="4"/>
    <n v="114386.85"/>
    <x v="1"/>
    <s v="Yes"/>
    <x v="1"/>
    <n v="28601.68"/>
    <x v="1"/>
    <n v="0.40988377817284333"/>
    <s v="No"/>
    <n v="0"/>
    <n v="0"/>
    <x v="0"/>
    <x v="4"/>
    <x v="0"/>
    <x v="2"/>
    <x v="2"/>
    <n v="1"/>
  </r>
  <r>
    <n v="630"/>
    <x v="2"/>
    <x v="0"/>
    <x v="5"/>
    <n v="9"/>
    <n v="0"/>
    <x v="0"/>
    <s v="Yes"/>
    <x v="0"/>
    <n v="64804.59"/>
    <x v="1"/>
    <n v="8.8756977380654772E-2"/>
    <s v="No"/>
    <n v="0"/>
    <n v="0"/>
    <x v="1"/>
    <x v="1"/>
    <x v="1"/>
    <x v="0"/>
    <x v="3"/>
    <n v="1"/>
  </r>
  <r>
    <n v="735"/>
    <x v="2"/>
    <x v="1"/>
    <x v="36"/>
    <n v="3"/>
    <n v="91718.8"/>
    <x v="1"/>
    <s v="No"/>
    <x v="0"/>
    <n v="28411.23"/>
    <x v="1"/>
    <n v="0.1219419150491402"/>
    <s v="No"/>
    <n v="0"/>
    <n v="0"/>
    <x v="1"/>
    <x v="2"/>
    <x v="2"/>
    <x v="2"/>
    <x v="2"/>
    <n v="1"/>
  </r>
  <r>
    <n v="722"/>
    <x v="0"/>
    <x v="1"/>
    <x v="32"/>
    <n v="4"/>
    <n v="132088.59"/>
    <x v="1"/>
    <s v="Yes"/>
    <x v="1"/>
    <n v="128262.14"/>
    <x v="1"/>
    <n v="0.25763641492463452"/>
    <s v="No"/>
    <n v="0"/>
    <n v="0"/>
    <x v="0"/>
    <x v="0"/>
    <x v="0"/>
    <x v="2"/>
    <x v="0"/>
    <n v="1"/>
  </r>
  <r>
    <n v="577"/>
    <x v="0"/>
    <x v="1"/>
    <x v="10"/>
    <n v="4"/>
    <n v="0"/>
    <x v="0"/>
    <s v="Yes"/>
    <x v="0"/>
    <n v="91366.42"/>
    <x v="1"/>
    <n v="0.2407523273415752"/>
    <s v="No"/>
    <n v="0"/>
    <n v="0"/>
    <x v="0"/>
    <x v="1"/>
    <x v="1"/>
    <x v="1"/>
    <x v="3"/>
    <n v="1"/>
  </r>
  <r>
    <n v="660"/>
    <x v="2"/>
    <x v="1"/>
    <x v="18"/>
    <n v="6"/>
    <n v="172325.67"/>
    <x v="1"/>
    <s v="No"/>
    <x v="1"/>
    <n v="45438.38"/>
    <x v="1"/>
    <n v="8.2483502666731004E-2"/>
    <s v="No"/>
    <n v="0"/>
    <n v="0"/>
    <x v="1"/>
    <x v="1"/>
    <x v="3"/>
    <x v="0"/>
    <x v="2"/>
    <n v="1"/>
  </r>
  <r>
    <n v="684"/>
    <x v="2"/>
    <x v="0"/>
    <x v="22"/>
    <n v="6"/>
    <n v="135871.5"/>
    <x v="1"/>
    <s v="Yes"/>
    <x v="1"/>
    <n v="87219.41"/>
    <x v="1"/>
    <n v="5.8386592659703362E-2"/>
    <s v="No"/>
    <n v="0"/>
    <n v="0"/>
    <x v="1"/>
    <x v="1"/>
    <x v="0"/>
    <x v="0"/>
    <x v="3"/>
    <n v="1"/>
  </r>
  <r>
    <n v="625"/>
    <x v="1"/>
    <x v="1"/>
    <x v="9"/>
    <n v="4"/>
    <n v="128504.76"/>
    <x v="1"/>
    <s v="Yes"/>
    <x v="0"/>
    <n v="126812.63"/>
    <x v="0"/>
    <n v="0.68235800576433181"/>
    <s v="Yes"/>
    <n v="1"/>
    <n v="1"/>
    <x v="2"/>
    <x v="0"/>
    <x v="0"/>
    <x v="0"/>
    <x v="0"/>
    <n v="1"/>
  </r>
  <r>
    <n v="585"/>
    <x v="2"/>
    <x v="0"/>
    <x v="28"/>
    <n v="7"/>
    <n v="0"/>
    <x v="0"/>
    <s v="Yes"/>
    <x v="0"/>
    <n v="94283.09"/>
    <x v="1"/>
    <n v="0.117149439779036"/>
    <s v="No"/>
    <n v="0"/>
    <n v="0"/>
    <x v="1"/>
    <x v="1"/>
    <x v="1"/>
    <x v="1"/>
    <x v="3"/>
    <n v="1"/>
  </r>
  <r>
    <n v="732"/>
    <x v="1"/>
    <x v="1"/>
    <x v="1"/>
    <n v="6"/>
    <n v="98792.4"/>
    <x v="1"/>
    <s v="Yes"/>
    <x v="0"/>
    <n v="81491.7"/>
    <x v="0"/>
    <n v="0.56282582807384063"/>
    <s v="Yes"/>
    <n v="1"/>
    <n v="1"/>
    <x v="2"/>
    <x v="0"/>
    <x v="2"/>
    <x v="2"/>
    <x v="3"/>
    <n v="1"/>
  </r>
  <r>
    <n v="628"/>
    <x v="1"/>
    <x v="0"/>
    <x v="21"/>
    <n v="5"/>
    <n v="181768.32000000001"/>
    <x v="0"/>
    <s v="Yes"/>
    <x v="1"/>
    <n v="129107.97"/>
    <x v="1"/>
    <n v="0.17875696699603191"/>
    <s v="No"/>
    <n v="0"/>
    <n v="0"/>
    <x v="1"/>
    <x v="1"/>
    <x v="3"/>
    <x v="0"/>
    <x v="0"/>
    <n v="1"/>
  </r>
  <r>
    <n v="655"/>
    <x v="2"/>
    <x v="1"/>
    <x v="37"/>
    <n v="3"/>
    <n v="0"/>
    <x v="0"/>
    <s v="Yes"/>
    <x v="1"/>
    <n v="86981.45"/>
    <x v="1"/>
    <n v="0.31871988686074648"/>
    <s v="No"/>
    <n v="0"/>
    <n v="0"/>
    <x v="0"/>
    <x v="3"/>
    <x v="1"/>
    <x v="0"/>
    <x v="3"/>
    <n v="1"/>
  </r>
  <r>
    <n v="537"/>
    <x v="2"/>
    <x v="0"/>
    <x v="35"/>
    <n v="10"/>
    <n v="0"/>
    <x v="0"/>
    <s v="No"/>
    <x v="1"/>
    <n v="25482.62"/>
    <x v="1"/>
    <n v="8.8825750376757953E-2"/>
    <s v="No"/>
    <n v="0"/>
    <n v="0"/>
    <x v="1"/>
    <x v="0"/>
    <x v="1"/>
    <x v="1"/>
    <x v="2"/>
    <n v="1"/>
  </r>
  <r>
    <n v="507"/>
    <x v="2"/>
    <x v="1"/>
    <x v="5"/>
    <n v="1"/>
    <n v="113452.66"/>
    <x v="1"/>
    <s v="No"/>
    <x v="0"/>
    <n v="142911.99"/>
    <x v="1"/>
    <n v="0.2564681310783275"/>
    <s v="No"/>
    <n v="0"/>
    <n v="0"/>
    <x v="0"/>
    <x v="1"/>
    <x v="0"/>
    <x v="1"/>
    <x v="0"/>
    <n v="1"/>
  </r>
  <r>
    <n v="535"/>
    <x v="1"/>
    <x v="0"/>
    <x v="2"/>
    <n v="8"/>
    <n v="127475.24"/>
    <x v="1"/>
    <s v="No"/>
    <x v="0"/>
    <n v="60775.76"/>
    <x v="0"/>
    <n v="0.34955178339799692"/>
    <s v="No"/>
    <n v="1"/>
    <n v="0"/>
    <x v="0"/>
    <x v="1"/>
    <x v="0"/>
    <x v="1"/>
    <x v="3"/>
    <n v="0"/>
  </r>
  <r>
    <n v="488"/>
    <x v="2"/>
    <x v="0"/>
    <x v="12"/>
    <n v="10"/>
    <n v="112751.13"/>
    <x v="1"/>
    <s v="Yes"/>
    <x v="1"/>
    <n v="28332"/>
    <x v="1"/>
    <n v="9.7537727926061982E-2"/>
    <s v="No"/>
    <n v="0"/>
    <n v="0"/>
    <x v="1"/>
    <x v="0"/>
    <x v="0"/>
    <x v="4"/>
    <x v="2"/>
    <n v="1"/>
  </r>
  <r>
    <n v="829"/>
    <x v="2"/>
    <x v="1"/>
    <x v="15"/>
    <n v="7"/>
    <n v="150126.44"/>
    <x v="1"/>
    <s v="Yes"/>
    <x v="0"/>
    <n v="152107.93"/>
    <x v="0"/>
    <n v="0.1041439773578402"/>
    <s v="No"/>
    <n v="1"/>
    <n v="0"/>
    <x v="1"/>
    <x v="2"/>
    <x v="3"/>
    <x v="3"/>
    <x v="1"/>
    <n v="0"/>
  </r>
  <r>
    <n v="581"/>
    <x v="2"/>
    <x v="0"/>
    <x v="18"/>
    <n v="3"/>
    <n v="0"/>
    <x v="0"/>
    <s v="No"/>
    <x v="0"/>
    <n v="89040.61"/>
    <x v="1"/>
    <n v="9.2921820597146515E-2"/>
    <s v="No"/>
    <n v="0"/>
    <n v="0"/>
    <x v="1"/>
    <x v="1"/>
    <x v="1"/>
    <x v="1"/>
    <x v="3"/>
    <n v="1"/>
  </r>
  <r>
    <n v="653"/>
    <x v="2"/>
    <x v="0"/>
    <x v="2"/>
    <n v="8"/>
    <n v="119315.75"/>
    <x v="1"/>
    <s v="Yes"/>
    <x v="0"/>
    <n v="150468.35"/>
    <x v="1"/>
    <n v="0.1832773863006083"/>
    <s v="No"/>
    <n v="0"/>
    <n v="0"/>
    <x v="1"/>
    <x v="1"/>
    <x v="0"/>
    <x v="0"/>
    <x v="1"/>
    <n v="1"/>
  </r>
  <r>
    <n v="749"/>
    <x v="0"/>
    <x v="1"/>
    <x v="12"/>
    <n v="1"/>
    <n v="124209.02"/>
    <x v="1"/>
    <s v="Yes"/>
    <x v="1"/>
    <n v="167179.48000000001"/>
    <x v="1"/>
    <n v="0.17737705750742849"/>
    <s v="No"/>
    <n v="0"/>
    <n v="0"/>
    <x v="1"/>
    <x v="0"/>
    <x v="0"/>
    <x v="2"/>
    <x v="1"/>
    <n v="1"/>
  </r>
  <r>
    <n v="645"/>
    <x v="2"/>
    <x v="1"/>
    <x v="1"/>
    <n v="8"/>
    <n v="85325.93"/>
    <x v="1"/>
    <s v="No"/>
    <x v="0"/>
    <n v="22558.74"/>
    <x v="1"/>
    <n v="0.36568393796072468"/>
    <s v="No"/>
    <n v="0"/>
    <n v="0"/>
    <x v="0"/>
    <x v="0"/>
    <x v="2"/>
    <x v="0"/>
    <x v="2"/>
    <n v="1"/>
  </r>
  <r>
    <n v="645"/>
    <x v="2"/>
    <x v="0"/>
    <x v="21"/>
    <n v="6"/>
    <n v="131411.24"/>
    <x v="1"/>
    <s v="Yes"/>
    <x v="1"/>
    <n v="194656.11"/>
    <x v="1"/>
    <n v="8.8265934318970979E-2"/>
    <s v="No"/>
    <n v="0"/>
    <n v="0"/>
    <x v="1"/>
    <x v="1"/>
    <x v="0"/>
    <x v="0"/>
    <x v="1"/>
    <n v="1"/>
  </r>
  <r>
    <n v="752"/>
    <x v="0"/>
    <x v="1"/>
    <x v="28"/>
    <n v="3"/>
    <n v="0"/>
    <x v="0"/>
    <s v="Yes"/>
    <x v="1"/>
    <n v="48505.1"/>
    <x v="1"/>
    <n v="7.006088579875773E-2"/>
    <s v="No"/>
    <n v="0"/>
    <n v="0"/>
    <x v="1"/>
    <x v="1"/>
    <x v="1"/>
    <x v="2"/>
    <x v="2"/>
    <n v="1"/>
  </r>
  <r>
    <n v="681"/>
    <x v="1"/>
    <x v="1"/>
    <x v="0"/>
    <n v="4"/>
    <n v="91115.76"/>
    <x v="0"/>
    <s v="No"/>
    <x v="0"/>
    <n v="24208.84"/>
    <x v="0"/>
    <n v="0.53250106553441479"/>
    <s v="Yes"/>
    <n v="1"/>
    <n v="1"/>
    <x v="2"/>
    <x v="0"/>
    <x v="2"/>
    <x v="0"/>
    <x v="2"/>
    <n v="1"/>
  </r>
  <r>
    <n v="679"/>
    <x v="1"/>
    <x v="1"/>
    <x v="11"/>
    <n v="8"/>
    <n v="77373.87"/>
    <x v="0"/>
    <s v="No"/>
    <x v="1"/>
    <n v="174873.09"/>
    <x v="1"/>
    <n v="0.1814253488783725"/>
    <s v="No"/>
    <n v="0"/>
    <n v="0"/>
    <x v="1"/>
    <x v="1"/>
    <x v="2"/>
    <x v="0"/>
    <x v="1"/>
    <n v="1"/>
  </r>
  <r>
    <n v="726"/>
    <x v="2"/>
    <x v="1"/>
    <x v="19"/>
    <n v="0"/>
    <n v="185734.75"/>
    <x v="1"/>
    <s v="Yes"/>
    <x v="1"/>
    <n v="102036.82"/>
    <x v="1"/>
    <n v="0.1110702948598952"/>
    <s v="No"/>
    <n v="0"/>
    <n v="0"/>
    <x v="1"/>
    <x v="1"/>
    <x v="3"/>
    <x v="2"/>
    <x v="0"/>
    <n v="1"/>
  </r>
  <r>
    <n v="520"/>
    <x v="2"/>
    <x v="0"/>
    <x v="24"/>
    <n v="3"/>
    <n v="143396.54"/>
    <x v="0"/>
    <s v="Yes"/>
    <x v="1"/>
    <n v="898.51"/>
    <x v="1"/>
    <n v="4.2697810310981847E-2"/>
    <s v="No"/>
    <n v="0"/>
    <n v="0"/>
    <x v="1"/>
    <x v="2"/>
    <x v="0"/>
    <x v="1"/>
    <x v="2"/>
    <n v="1"/>
  </r>
  <r>
    <n v="623"/>
    <x v="0"/>
    <x v="0"/>
    <x v="0"/>
    <n v="1"/>
    <n v="83325.77"/>
    <x v="1"/>
    <s v="No"/>
    <x v="1"/>
    <n v="80828.78"/>
    <x v="1"/>
    <n v="0.1148098774600653"/>
    <s v="No"/>
    <n v="0"/>
    <n v="0"/>
    <x v="1"/>
    <x v="0"/>
    <x v="2"/>
    <x v="0"/>
    <x v="3"/>
    <n v="1"/>
  </r>
  <r>
    <n v="593"/>
    <x v="1"/>
    <x v="1"/>
    <x v="10"/>
    <n v="8"/>
    <n v="151391.67999999999"/>
    <x v="1"/>
    <s v="Yes"/>
    <x v="0"/>
    <n v="27274.6"/>
    <x v="0"/>
    <n v="0.49283317971850288"/>
    <s v="No"/>
    <n v="1"/>
    <n v="0"/>
    <x v="0"/>
    <x v="1"/>
    <x v="3"/>
    <x v="1"/>
    <x v="2"/>
    <n v="0"/>
  </r>
  <r>
    <n v="636"/>
    <x v="1"/>
    <x v="0"/>
    <x v="28"/>
    <n v="6"/>
    <n v="96643.32"/>
    <x v="1"/>
    <s v="No"/>
    <x v="0"/>
    <n v="182059.28"/>
    <x v="1"/>
    <n v="0.30759213602004121"/>
    <s v="No"/>
    <n v="0"/>
    <n v="0"/>
    <x v="0"/>
    <x v="1"/>
    <x v="2"/>
    <x v="0"/>
    <x v="1"/>
    <n v="1"/>
  </r>
  <r>
    <n v="669"/>
    <x v="0"/>
    <x v="1"/>
    <x v="5"/>
    <n v="8"/>
    <n v="0"/>
    <x v="0"/>
    <s v="No"/>
    <x v="1"/>
    <n v="128538.05"/>
    <x v="1"/>
    <n v="5.8843985644942198E-2"/>
    <s v="No"/>
    <n v="0"/>
    <n v="0"/>
    <x v="1"/>
    <x v="1"/>
    <x v="1"/>
    <x v="0"/>
    <x v="0"/>
    <n v="1"/>
  </r>
  <r>
    <n v="588"/>
    <x v="2"/>
    <x v="0"/>
    <x v="21"/>
    <n v="5"/>
    <n v="0"/>
    <x v="0"/>
    <s v="No"/>
    <x v="0"/>
    <n v="100727.67999999999"/>
    <x v="1"/>
    <n v="0.16105285392456389"/>
    <s v="No"/>
    <n v="0"/>
    <n v="0"/>
    <x v="1"/>
    <x v="1"/>
    <x v="1"/>
    <x v="1"/>
    <x v="0"/>
    <n v="1"/>
  </r>
  <r>
    <n v="763"/>
    <x v="0"/>
    <x v="1"/>
    <x v="25"/>
    <n v="8"/>
    <n v="0"/>
    <x v="0"/>
    <s v="Yes"/>
    <x v="0"/>
    <n v="16725.53"/>
    <x v="1"/>
    <n v="0.12828652666571949"/>
    <s v="No"/>
    <n v="0"/>
    <n v="0"/>
    <x v="1"/>
    <x v="1"/>
    <x v="1"/>
    <x v="2"/>
    <x v="2"/>
    <n v="1"/>
  </r>
  <r>
    <n v="554"/>
    <x v="0"/>
    <x v="1"/>
    <x v="1"/>
    <n v="4"/>
    <n v="0"/>
    <x v="0"/>
    <s v="Yes"/>
    <x v="1"/>
    <n v="193412.05"/>
    <x v="1"/>
    <n v="0.15168426594111639"/>
    <s v="No"/>
    <n v="0"/>
    <n v="0"/>
    <x v="1"/>
    <x v="0"/>
    <x v="1"/>
    <x v="1"/>
    <x v="1"/>
    <n v="1"/>
  </r>
  <r>
    <n v="699"/>
    <x v="2"/>
    <x v="0"/>
    <x v="11"/>
    <n v="10"/>
    <n v="0"/>
    <x v="0"/>
    <s v="No"/>
    <x v="0"/>
    <n v="83263.039999999994"/>
    <x v="1"/>
    <n v="0.1132512943119765"/>
    <s v="No"/>
    <n v="0"/>
    <n v="0"/>
    <x v="1"/>
    <x v="1"/>
    <x v="1"/>
    <x v="0"/>
    <x v="3"/>
    <n v="1"/>
  </r>
  <r>
    <n v="625"/>
    <x v="2"/>
    <x v="1"/>
    <x v="1"/>
    <n v="3"/>
    <n v="0"/>
    <x v="1"/>
    <s v="Yes"/>
    <x v="1"/>
    <n v="184474.15"/>
    <x v="0"/>
    <n v="0.1556926847502369"/>
    <s v="No"/>
    <n v="1"/>
    <n v="0"/>
    <x v="1"/>
    <x v="0"/>
    <x v="1"/>
    <x v="0"/>
    <x v="1"/>
    <n v="0"/>
  </r>
  <r>
    <n v="599"/>
    <x v="2"/>
    <x v="0"/>
    <x v="24"/>
    <n v="9"/>
    <n v="105443.68"/>
    <x v="1"/>
    <s v="Yes"/>
    <x v="1"/>
    <n v="121124.53"/>
    <x v="1"/>
    <n v="3.8758219194165361E-2"/>
    <s v="No"/>
    <n v="0"/>
    <n v="0"/>
    <x v="1"/>
    <x v="2"/>
    <x v="0"/>
    <x v="1"/>
    <x v="0"/>
    <n v="1"/>
  </r>
  <r>
    <n v="584"/>
    <x v="0"/>
    <x v="1"/>
    <x v="32"/>
    <n v="1"/>
    <n v="0"/>
    <x v="1"/>
    <s v="No"/>
    <x v="1"/>
    <n v="152567.75"/>
    <x v="0"/>
    <n v="0.23148960508077371"/>
    <s v="No"/>
    <n v="1"/>
    <n v="0"/>
    <x v="0"/>
    <x v="0"/>
    <x v="1"/>
    <x v="1"/>
    <x v="1"/>
    <n v="0"/>
  </r>
  <r>
    <n v="526"/>
    <x v="0"/>
    <x v="0"/>
    <x v="2"/>
    <n v="2"/>
    <n v="0"/>
    <x v="0"/>
    <s v="No"/>
    <x v="0"/>
    <n v="58010.98"/>
    <x v="1"/>
    <n v="0.15688517026168211"/>
    <s v="No"/>
    <n v="0"/>
    <n v="0"/>
    <x v="1"/>
    <x v="1"/>
    <x v="1"/>
    <x v="1"/>
    <x v="3"/>
    <n v="1"/>
  </r>
  <r>
    <n v="618"/>
    <x v="1"/>
    <x v="1"/>
    <x v="21"/>
    <n v="1"/>
    <n v="133245.51999999999"/>
    <x v="0"/>
    <s v="Yes"/>
    <x v="1"/>
    <n v="54495.82"/>
    <x v="1"/>
    <n v="0.2575485716973982"/>
    <s v="No"/>
    <n v="0"/>
    <n v="0"/>
    <x v="0"/>
    <x v="1"/>
    <x v="0"/>
    <x v="0"/>
    <x v="3"/>
    <n v="1"/>
  </r>
  <r>
    <n v="546"/>
    <x v="2"/>
    <x v="0"/>
    <x v="4"/>
    <n v="5"/>
    <n v="0"/>
    <x v="1"/>
    <s v="Yes"/>
    <x v="1"/>
    <n v="94823.95"/>
    <x v="1"/>
    <n v="3.0559773134459529E-2"/>
    <s v="No"/>
    <n v="0"/>
    <n v="0"/>
    <x v="1"/>
    <x v="2"/>
    <x v="1"/>
    <x v="1"/>
    <x v="3"/>
    <n v="1"/>
  </r>
  <r>
    <n v="653"/>
    <x v="0"/>
    <x v="0"/>
    <x v="22"/>
    <n v="9"/>
    <n v="0"/>
    <x v="0"/>
    <s v="Yes"/>
    <x v="1"/>
    <n v="45956.05"/>
    <x v="1"/>
    <n v="3.7010783182877219E-2"/>
    <s v="No"/>
    <n v="0"/>
    <n v="0"/>
    <x v="1"/>
    <x v="1"/>
    <x v="1"/>
    <x v="0"/>
    <x v="2"/>
    <n v="1"/>
  </r>
  <r>
    <n v="684"/>
    <x v="1"/>
    <x v="0"/>
    <x v="11"/>
    <n v="4"/>
    <n v="138476.41"/>
    <x v="0"/>
    <s v="Yes"/>
    <x v="1"/>
    <n v="52367.29"/>
    <x v="1"/>
    <n v="0.12776215431582369"/>
    <s v="No"/>
    <n v="0"/>
    <n v="0"/>
    <x v="1"/>
    <x v="1"/>
    <x v="0"/>
    <x v="0"/>
    <x v="3"/>
    <n v="1"/>
  </r>
  <r>
    <n v="656"/>
    <x v="1"/>
    <x v="1"/>
    <x v="9"/>
    <n v="9"/>
    <n v="97092.87"/>
    <x v="1"/>
    <s v="Yes"/>
    <x v="0"/>
    <n v="74771.22"/>
    <x v="0"/>
    <n v="0.63034563083375195"/>
    <s v="Yes"/>
    <n v="1"/>
    <n v="1"/>
    <x v="2"/>
    <x v="0"/>
    <x v="2"/>
    <x v="0"/>
    <x v="3"/>
    <n v="1"/>
  </r>
  <r>
    <n v="850"/>
    <x v="2"/>
    <x v="1"/>
    <x v="22"/>
    <n v="6"/>
    <n v="81684.97"/>
    <x v="1"/>
    <s v="Yes"/>
    <x v="0"/>
    <n v="824"/>
    <x v="1"/>
    <n v="0.1904835755863972"/>
    <s v="No"/>
    <n v="0"/>
    <n v="0"/>
    <x v="1"/>
    <x v="1"/>
    <x v="2"/>
    <x v="3"/>
    <x v="2"/>
    <n v="1"/>
  </r>
  <r>
    <n v="676"/>
    <x v="2"/>
    <x v="1"/>
    <x v="9"/>
    <n v="1"/>
    <n v="0"/>
    <x v="1"/>
    <s v="Yes"/>
    <x v="0"/>
    <n v="79342.31"/>
    <x v="0"/>
    <n v="0.41111812677817627"/>
    <s v="No"/>
    <n v="1"/>
    <n v="0"/>
    <x v="0"/>
    <x v="0"/>
    <x v="1"/>
    <x v="0"/>
    <x v="3"/>
    <n v="0"/>
  </r>
  <r>
    <n v="710"/>
    <x v="2"/>
    <x v="0"/>
    <x v="13"/>
    <n v="4"/>
    <n v="109130.96"/>
    <x v="0"/>
    <s v="Yes"/>
    <x v="1"/>
    <n v="56191.99"/>
    <x v="1"/>
    <n v="1.8251045979687731E-2"/>
    <s v="No"/>
    <n v="0"/>
    <n v="0"/>
    <x v="1"/>
    <x v="2"/>
    <x v="0"/>
    <x v="2"/>
    <x v="3"/>
    <n v="1"/>
  </r>
  <r>
    <n v="509"/>
    <x v="0"/>
    <x v="0"/>
    <x v="4"/>
    <n v="1"/>
    <n v="0"/>
    <x v="0"/>
    <s v="Yes"/>
    <x v="0"/>
    <n v="69113.14"/>
    <x v="1"/>
    <n v="8.7705968964589709E-2"/>
    <s v="No"/>
    <n v="0"/>
    <n v="0"/>
    <x v="1"/>
    <x v="2"/>
    <x v="1"/>
    <x v="1"/>
    <x v="3"/>
    <n v="1"/>
  </r>
  <r>
    <n v="665"/>
    <x v="2"/>
    <x v="0"/>
    <x v="7"/>
    <n v="2"/>
    <n v="0"/>
    <x v="1"/>
    <s v="No"/>
    <x v="0"/>
    <n v="53353.36"/>
    <x v="1"/>
    <n v="0.32009609009482731"/>
    <s v="No"/>
    <n v="0"/>
    <n v="0"/>
    <x v="0"/>
    <x v="3"/>
    <x v="1"/>
    <x v="0"/>
    <x v="3"/>
    <n v="1"/>
  </r>
  <r>
    <n v="631"/>
    <x v="1"/>
    <x v="1"/>
    <x v="15"/>
    <n v="6"/>
    <n v="139129.92000000001"/>
    <x v="1"/>
    <s v="Yes"/>
    <x v="1"/>
    <n v="63747.51"/>
    <x v="1"/>
    <n v="8.5135938335786837E-2"/>
    <s v="No"/>
    <n v="0"/>
    <n v="0"/>
    <x v="1"/>
    <x v="2"/>
    <x v="0"/>
    <x v="0"/>
    <x v="3"/>
    <n v="1"/>
  </r>
  <r>
    <n v="544"/>
    <x v="0"/>
    <x v="0"/>
    <x v="15"/>
    <n v="3"/>
    <n v="66483.320000000007"/>
    <x v="1"/>
    <s v="No"/>
    <x v="1"/>
    <n v="110317.39"/>
    <x v="1"/>
    <n v="2.4544673238439531E-2"/>
    <s v="No"/>
    <n v="0"/>
    <n v="0"/>
    <x v="1"/>
    <x v="2"/>
    <x v="2"/>
    <x v="1"/>
    <x v="0"/>
    <n v="1"/>
  </r>
  <r>
    <n v="481"/>
    <x v="2"/>
    <x v="1"/>
    <x v="19"/>
    <n v="5"/>
    <n v="0"/>
    <x v="0"/>
    <s v="Yes"/>
    <x v="1"/>
    <n v="125253.46"/>
    <x v="1"/>
    <n v="7.0359450829441866E-2"/>
    <s v="No"/>
    <n v="0"/>
    <n v="0"/>
    <x v="1"/>
    <x v="1"/>
    <x v="1"/>
    <x v="4"/>
    <x v="0"/>
    <n v="1"/>
  </r>
  <r>
    <n v="721"/>
    <x v="0"/>
    <x v="0"/>
    <x v="2"/>
    <n v="7"/>
    <n v="0"/>
    <x v="1"/>
    <s v="No"/>
    <x v="1"/>
    <n v="53534.8"/>
    <x v="1"/>
    <n v="5.1941838902623563E-2"/>
    <s v="No"/>
    <n v="0"/>
    <n v="0"/>
    <x v="1"/>
    <x v="1"/>
    <x v="1"/>
    <x v="2"/>
    <x v="3"/>
    <n v="1"/>
  </r>
  <r>
    <n v="729"/>
    <x v="2"/>
    <x v="1"/>
    <x v="25"/>
    <n v="9"/>
    <n v="0"/>
    <x v="0"/>
    <s v="No"/>
    <x v="0"/>
    <n v="150803.44"/>
    <x v="1"/>
    <n v="0.1366213638261386"/>
    <s v="No"/>
    <n v="0"/>
    <n v="0"/>
    <x v="1"/>
    <x v="1"/>
    <x v="1"/>
    <x v="2"/>
    <x v="1"/>
    <n v="1"/>
  </r>
  <r>
    <n v="632"/>
    <x v="2"/>
    <x v="0"/>
    <x v="12"/>
    <n v="2"/>
    <n v="100013.51"/>
    <x v="1"/>
    <s v="Yes"/>
    <x v="0"/>
    <n v="24275.32"/>
    <x v="1"/>
    <n v="0.2475546762445055"/>
    <s v="No"/>
    <n v="0"/>
    <n v="0"/>
    <x v="0"/>
    <x v="0"/>
    <x v="0"/>
    <x v="0"/>
    <x v="2"/>
    <n v="1"/>
  </r>
  <r>
    <n v="658"/>
    <x v="0"/>
    <x v="0"/>
    <x v="13"/>
    <n v="7"/>
    <n v="0"/>
    <x v="0"/>
    <s v="No"/>
    <x v="1"/>
    <n v="154279.87"/>
    <x v="1"/>
    <n v="1.5280118646845231E-2"/>
    <s v="No"/>
    <n v="0"/>
    <n v="0"/>
    <x v="1"/>
    <x v="2"/>
    <x v="1"/>
    <x v="0"/>
    <x v="1"/>
    <n v="1"/>
  </r>
  <r>
    <n v="683"/>
    <x v="2"/>
    <x v="0"/>
    <x v="6"/>
    <n v="6"/>
    <n v="95696.52"/>
    <x v="0"/>
    <s v="Yes"/>
    <x v="1"/>
    <n v="184366.14"/>
    <x v="1"/>
    <n v="7.6615778630055781E-2"/>
    <s v="No"/>
    <n v="0"/>
    <n v="0"/>
    <x v="1"/>
    <x v="0"/>
    <x v="2"/>
    <x v="0"/>
    <x v="1"/>
    <n v="1"/>
  </r>
  <r>
    <n v="552"/>
    <x v="1"/>
    <x v="0"/>
    <x v="2"/>
    <n v="10"/>
    <n v="132271.12"/>
    <x v="0"/>
    <s v="Yes"/>
    <x v="1"/>
    <n v="46562.02"/>
    <x v="1"/>
    <n v="0.13083809607592131"/>
    <s v="No"/>
    <n v="0"/>
    <n v="0"/>
    <x v="1"/>
    <x v="1"/>
    <x v="0"/>
    <x v="1"/>
    <x v="2"/>
    <n v="1"/>
  </r>
  <r>
    <n v="602"/>
    <x v="2"/>
    <x v="1"/>
    <x v="4"/>
    <n v="3"/>
    <n v="88814.399999999994"/>
    <x v="0"/>
    <s v="Yes"/>
    <x v="1"/>
    <n v="62487.97"/>
    <x v="1"/>
    <n v="5.7309587086246103E-2"/>
    <s v="No"/>
    <n v="0"/>
    <n v="0"/>
    <x v="1"/>
    <x v="2"/>
    <x v="2"/>
    <x v="0"/>
    <x v="3"/>
    <n v="1"/>
  </r>
  <r>
    <n v="443"/>
    <x v="2"/>
    <x v="1"/>
    <x v="49"/>
    <n v="3"/>
    <n v="138547.97"/>
    <x v="1"/>
    <s v="Yes"/>
    <x v="1"/>
    <n v="70196.23"/>
    <x v="0"/>
    <n v="0.35353436282170192"/>
    <s v="No"/>
    <n v="1"/>
    <n v="0"/>
    <x v="0"/>
    <x v="3"/>
    <x v="0"/>
    <x v="4"/>
    <x v="3"/>
    <n v="0"/>
  </r>
  <r>
    <n v="588"/>
    <x v="1"/>
    <x v="0"/>
    <x v="22"/>
    <n v="3"/>
    <n v="104356.38"/>
    <x v="1"/>
    <s v="Yes"/>
    <x v="0"/>
    <n v="94498.82"/>
    <x v="1"/>
    <n v="0.29859238969559171"/>
    <s v="No"/>
    <n v="0"/>
    <n v="0"/>
    <x v="0"/>
    <x v="1"/>
    <x v="0"/>
    <x v="1"/>
    <x v="3"/>
    <n v="1"/>
  </r>
  <r>
    <n v="738"/>
    <x v="1"/>
    <x v="0"/>
    <x v="11"/>
    <n v="7"/>
    <n v="140950.92000000001"/>
    <x v="0"/>
    <s v="Yes"/>
    <x v="0"/>
    <n v="195333.98"/>
    <x v="1"/>
    <n v="0.30124539459002031"/>
    <s v="No"/>
    <n v="0"/>
    <n v="0"/>
    <x v="0"/>
    <x v="1"/>
    <x v="0"/>
    <x v="2"/>
    <x v="1"/>
    <n v="1"/>
  </r>
  <r>
    <n v="639"/>
    <x v="2"/>
    <x v="1"/>
    <x v="29"/>
    <n v="2"/>
    <n v="0"/>
    <x v="0"/>
    <s v="No"/>
    <x v="0"/>
    <n v="125244.18"/>
    <x v="1"/>
    <n v="0.11638869498109861"/>
    <s v="No"/>
    <n v="0"/>
    <n v="0"/>
    <x v="1"/>
    <x v="2"/>
    <x v="1"/>
    <x v="0"/>
    <x v="0"/>
    <n v="1"/>
  </r>
  <r>
    <n v="570"/>
    <x v="2"/>
    <x v="1"/>
    <x v="4"/>
    <n v="4"/>
    <n v="153040.03"/>
    <x v="1"/>
    <s v="Yes"/>
    <x v="1"/>
    <n v="131363.57"/>
    <x v="0"/>
    <n v="7.6611780866146229E-2"/>
    <s v="No"/>
    <n v="1"/>
    <n v="0"/>
    <x v="1"/>
    <x v="2"/>
    <x v="3"/>
    <x v="1"/>
    <x v="0"/>
    <n v="0"/>
  </r>
  <r>
    <n v="749"/>
    <x v="0"/>
    <x v="1"/>
    <x v="16"/>
    <n v="9"/>
    <n v="66582.81"/>
    <x v="1"/>
    <s v="Yes"/>
    <x v="0"/>
    <n v="78753.119999999995"/>
    <x v="0"/>
    <n v="0.35904686552165699"/>
    <s v="No"/>
    <n v="1"/>
    <n v="0"/>
    <x v="0"/>
    <x v="0"/>
    <x v="2"/>
    <x v="2"/>
    <x v="3"/>
    <n v="0"/>
  </r>
  <r>
    <n v="691"/>
    <x v="2"/>
    <x v="1"/>
    <x v="5"/>
    <n v="6"/>
    <n v="0"/>
    <x v="0"/>
    <s v="Yes"/>
    <x v="1"/>
    <n v="100408.31"/>
    <x v="1"/>
    <n v="5.5501163484399429E-2"/>
    <s v="No"/>
    <n v="0"/>
    <n v="0"/>
    <x v="1"/>
    <x v="1"/>
    <x v="1"/>
    <x v="0"/>
    <x v="0"/>
    <n v="1"/>
  </r>
  <r>
    <n v="826"/>
    <x v="2"/>
    <x v="1"/>
    <x v="24"/>
    <n v="5"/>
    <n v="0"/>
    <x v="0"/>
    <s v="No"/>
    <x v="1"/>
    <n v="157397.57"/>
    <x v="1"/>
    <n v="4.453987020038775E-2"/>
    <s v="No"/>
    <n v="0"/>
    <n v="0"/>
    <x v="1"/>
    <x v="2"/>
    <x v="1"/>
    <x v="3"/>
    <x v="1"/>
    <n v="1"/>
  </r>
  <r>
    <n v="850"/>
    <x v="0"/>
    <x v="0"/>
    <x v="2"/>
    <n v="7"/>
    <n v="115378.94"/>
    <x v="1"/>
    <s v="No"/>
    <x v="1"/>
    <n v="162087.82"/>
    <x v="1"/>
    <n v="6.6992609907558245E-2"/>
    <s v="No"/>
    <n v="0"/>
    <n v="0"/>
    <x v="1"/>
    <x v="1"/>
    <x v="0"/>
    <x v="3"/>
    <x v="1"/>
    <n v="1"/>
  </r>
  <r>
    <n v="766"/>
    <x v="1"/>
    <x v="0"/>
    <x v="24"/>
    <n v="4"/>
    <n v="127786.28"/>
    <x v="0"/>
    <s v="Yes"/>
    <x v="1"/>
    <n v="28879.3"/>
    <x v="1"/>
    <n v="7.3341266174165753E-2"/>
    <s v="No"/>
    <n v="0"/>
    <n v="0"/>
    <x v="1"/>
    <x v="2"/>
    <x v="0"/>
    <x v="2"/>
    <x v="2"/>
    <n v="1"/>
  </r>
  <r>
    <n v="612"/>
    <x v="2"/>
    <x v="1"/>
    <x v="5"/>
    <n v="0"/>
    <n v="64900.32"/>
    <x v="0"/>
    <s v="Yes"/>
    <x v="0"/>
    <n v="102426.12"/>
    <x v="1"/>
    <n v="0.19755809229024651"/>
    <s v="No"/>
    <n v="0"/>
    <n v="0"/>
    <x v="1"/>
    <x v="1"/>
    <x v="2"/>
    <x v="0"/>
    <x v="0"/>
    <n v="1"/>
  </r>
  <r>
    <n v="721"/>
    <x v="2"/>
    <x v="0"/>
    <x v="6"/>
    <n v="7"/>
    <n v="0"/>
    <x v="0"/>
    <s v="No"/>
    <x v="1"/>
    <n v="61018.85"/>
    <x v="1"/>
    <n v="5.6244465660747409E-2"/>
    <s v="No"/>
    <n v="0"/>
    <n v="0"/>
    <x v="1"/>
    <x v="0"/>
    <x v="1"/>
    <x v="2"/>
    <x v="3"/>
    <n v="1"/>
  </r>
  <r>
    <n v="540"/>
    <x v="2"/>
    <x v="1"/>
    <x v="21"/>
    <n v="3"/>
    <n v="165298.12"/>
    <x v="1"/>
    <s v="No"/>
    <x v="1"/>
    <n v="199862.75"/>
    <x v="1"/>
    <n v="0.17762686106190709"/>
    <s v="No"/>
    <n v="0"/>
    <n v="0"/>
    <x v="1"/>
    <x v="1"/>
    <x v="3"/>
    <x v="1"/>
    <x v="1"/>
    <n v="1"/>
  </r>
  <r>
    <n v="796"/>
    <x v="0"/>
    <x v="0"/>
    <x v="25"/>
    <n v="5"/>
    <n v="102773.15"/>
    <x v="0"/>
    <s v="No"/>
    <x v="1"/>
    <n v="117832.88"/>
    <x v="1"/>
    <n v="4.0626084685036243E-2"/>
    <s v="No"/>
    <n v="0"/>
    <n v="0"/>
    <x v="1"/>
    <x v="1"/>
    <x v="0"/>
    <x v="2"/>
    <x v="0"/>
    <n v="1"/>
  </r>
  <r>
    <n v="579"/>
    <x v="1"/>
    <x v="0"/>
    <x v="3"/>
    <n v="0"/>
    <n v="144386.32"/>
    <x v="1"/>
    <s v="Yes"/>
    <x v="1"/>
    <n v="22497.1"/>
    <x v="0"/>
    <n v="0.2146932301403289"/>
    <s v="No"/>
    <n v="1"/>
    <n v="0"/>
    <x v="0"/>
    <x v="0"/>
    <x v="0"/>
    <x v="1"/>
    <x v="2"/>
    <n v="0"/>
  </r>
  <r>
    <n v="470"/>
    <x v="2"/>
    <x v="0"/>
    <x v="22"/>
    <n v="1"/>
    <n v="96473.59"/>
    <x v="1"/>
    <s v="No"/>
    <x v="0"/>
    <n v="5962.3"/>
    <x v="1"/>
    <n v="0.17380398644273351"/>
    <s v="No"/>
    <n v="0"/>
    <n v="0"/>
    <x v="1"/>
    <x v="1"/>
    <x v="2"/>
    <x v="4"/>
    <x v="2"/>
    <n v="1"/>
  </r>
  <r>
    <n v="548"/>
    <x v="1"/>
    <x v="0"/>
    <x v="9"/>
    <n v="9"/>
    <n v="108437.89"/>
    <x v="1"/>
    <s v="No"/>
    <x v="0"/>
    <n v="127022.87"/>
    <x v="0"/>
    <n v="0.53788953489644498"/>
    <s v="Yes"/>
    <n v="1"/>
    <n v="1"/>
    <x v="2"/>
    <x v="0"/>
    <x v="0"/>
    <x v="1"/>
    <x v="0"/>
    <n v="1"/>
  </r>
  <r>
    <n v="672"/>
    <x v="2"/>
    <x v="0"/>
    <x v="11"/>
    <n v="5"/>
    <n v="153195.59"/>
    <x v="1"/>
    <s v="Yes"/>
    <x v="1"/>
    <n v="162763.01"/>
    <x v="1"/>
    <n v="7.4656909487849629E-2"/>
    <s v="No"/>
    <n v="0"/>
    <n v="0"/>
    <x v="1"/>
    <x v="1"/>
    <x v="3"/>
    <x v="0"/>
    <x v="1"/>
    <n v="1"/>
  </r>
  <r>
    <n v="705"/>
    <x v="0"/>
    <x v="0"/>
    <x v="5"/>
    <n v="7"/>
    <n v="68423.89"/>
    <x v="1"/>
    <s v="Yes"/>
    <x v="1"/>
    <n v="64872.55"/>
    <x v="1"/>
    <n v="4.2626803148115178E-2"/>
    <s v="No"/>
    <n v="0"/>
    <n v="0"/>
    <x v="1"/>
    <x v="1"/>
    <x v="2"/>
    <x v="2"/>
    <x v="3"/>
    <n v="1"/>
  </r>
  <r>
    <n v="758"/>
    <x v="2"/>
    <x v="1"/>
    <x v="25"/>
    <n v="2"/>
    <n v="84378.9"/>
    <x v="1"/>
    <s v="Yes"/>
    <x v="1"/>
    <n v="75396.429999999993"/>
    <x v="1"/>
    <n v="7.1281512839063588E-2"/>
    <s v="No"/>
    <n v="0"/>
    <n v="0"/>
    <x v="1"/>
    <x v="1"/>
    <x v="2"/>
    <x v="2"/>
    <x v="3"/>
    <n v="1"/>
  </r>
  <r>
    <n v="644"/>
    <x v="0"/>
    <x v="0"/>
    <x v="17"/>
    <n v="0"/>
    <n v="0"/>
    <x v="0"/>
    <s v="Yes"/>
    <x v="0"/>
    <n v="119419.37"/>
    <x v="1"/>
    <n v="7.8601868580214382E-2"/>
    <s v="No"/>
    <n v="0"/>
    <n v="0"/>
    <x v="1"/>
    <x v="2"/>
    <x v="1"/>
    <x v="0"/>
    <x v="0"/>
    <n v="1"/>
  </r>
  <r>
    <n v="775"/>
    <x v="2"/>
    <x v="1"/>
    <x v="24"/>
    <n v="5"/>
    <n v="0"/>
    <x v="1"/>
    <s v="Yes"/>
    <x v="0"/>
    <n v="193880.6"/>
    <x v="0"/>
    <n v="0.1360109667886959"/>
    <s v="No"/>
    <n v="1"/>
    <n v="0"/>
    <x v="1"/>
    <x v="2"/>
    <x v="1"/>
    <x v="2"/>
    <x v="1"/>
    <n v="0"/>
  </r>
  <r>
    <n v="521"/>
    <x v="0"/>
    <x v="1"/>
    <x v="15"/>
    <n v="10"/>
    <n v="0"/>
    <x v="1"/>
    <s v="Yes"/>
    <x v="1"/>
    <n v="101311.95"/>
    <x v="1"/>
    <n v="3.0263263154134658E-2"/>
    <s v="No"/>
    <n v="0"/>
    <n v="0"/>
    <x v="1"/>
    <x v="2"/>
    <x v="1"/>
    <x v="1"/>
    <x v="0"/>
    <n v="1"/>
  </r>
  <r>
    <n v="757"/>
    <x v="2"/>
    <x v="0"/>
    <x v="17"/>
    <n v="3"/>
    <n v="75381.149999999994"/>
    <x v="1"/>
    <s v="Yes"/>
    <x v="1"/>
    <n v="199727.72"/>
    <x v="1"/>
    <n v="3.2816089776775199E-2"/>
    <s v="No"/>
    <n v="0"/>
    <n v="0"/>
    <x v="1"/>
    <x v="2"/>
    <x v="2"/>
    <x v="2"/>
    <x v="1"/>
    <n v="1"/>
  </r>
  <r>
    <n v="759"/>
    <x v="0"/>
    <x v="0"/>
    <x v="2"/>
    <n v="1"/>
    <n v="0"/>
    <x v="0"/>
    <s v="Yes"/>
    <x v="0"/>
    <n v="20778.39"/>
    <x v="1"/>
    <n v="0.13283082321497469"/>
    <s v="No"/>
    <n v="0"/>
    <n v="0"/>
    <x v="1"/>
    <x v="1"/>
    <x v="1"/>
    <x v="2"/>
    <x v="2"/>
    <n v="1"/>
  </r>
  <r>
    <n v="520"/>
    <x v="1"/>
    <x v="1"/>
    <x v="1"/>
    <n v="1"/>
    <n v="123086.39"/>
    <x v="1"/>
    <s v="Yes"/>
    <x v="1"/>
    <n v="41042.400000000001"/>
    <x v="0"/>
    <n v="0.36559029813793648"/>
    <s v="No"/>
    <n v="1"/>
    <n v="0"/>
    <x v="0"/>
    <x v="0"/>
    <x v="0"/>
    <x v="1"/>
    <x v="2"/>
    <n v="0"/>
  </r>
  <r>
    <n v="738"/>
    <x v="2"/>
    <x v="1"/>
    <x v="27"/>
    <n v="3"/>
    <n v="0"/>
    <x v="0"/>
    <s v="Yes"/>
    <x v="0"/>
    <n v="67484.160000000003"/>
    <x v="1"/>
    <n v="9.5010829652071416E-2"/>
    <s v="No"/>
    <n v="0"/>
    <n v="0"/>
    <x v="1"/>
    <x v="2"/>
    <x v="1"/>
    <x v="2"/>
    <x v="3"/>
    <n v="1"/>
  </r>
  <r>
    <n v="535"/>
    <x v="0"/>
    <x v="0"/>
    <x v="20"/>
    <n v="9"/>
    <n v="109472.47"/>
    <x v="1"/>
    <s v="Yes"/>
    <x v="0"/>
    <n v="157358.43"/>
    <x v="0"/>
    <n v="0.33722308341260609"/>
    <s v="No"/>
    <n v="1"/>
    <n v="0"/>
    <x v="0"/>
    <x v="0"/>
    <x v="0"/>
    <x v="1"/>
    <x v="1"/>
    <n v="0"/>
  </r>
  <r>
    <n v="850"/>
    <x v="1"/>
    <x v="0"/>
    <x v="0"/>
    <n v="3"/>
    <n v="140393.65"/>
    <x v="0"/>
    <s v="No"/>
    <x v="1"/>
    <n v="186285.52"/>
    <x v="1"/>
    <n v="0.20005165841447931"/>
    <s v="No"/>
    <n v="0"/>
    <n v="0"/>
    <x v="0"/>
    <x v="0"/>
    <x v="0"/>
    <x v="3"/>
    <x v="1"/>
    <n v="1"/>
  </r>
  <r>
    <n v="452"/>
    <x v="1"/>
    <x v="0"/>
    <x v="42"/>
    <n v="1"/>
    <n v="98443.14"/>
    <x v="0"/>
    <s v="No"/>
    <x v="0"/>
    <n v="92033.98"/>
    <x v="1"/>
    <n v="0.61052111441366375"/>
    <s v="Yes"/>
    <n v="0"/>
    <n v="1"/>
    <x v="2"/>
    <x v="3"/>
    <x v="2"/>
    <x v="4"/>
    <x v="3"/>
    <n v="0"/>
  </r>
  <r>
    <n v="479"/>
    <x v="1"/>
    <x v="1"/>
    <x v="34"/>
    <n v="9"/>
    <n v="123575.51"/>
    <x v="1"/>
    <s v="No"/>
    <x v="1"/>
    <n v="95148.28"/>
    <x v="1"/>
    <n v="9.5764761703338447E-2"/>
    <s v="No"/>
    <n v="0"/>
    <n v="0"/>
    <x v="1"/>
    <x v="2"/>
    <x v="0"/>
    <x v="4"/>
    <x v="3"/>
    <n v="1"/>
  </r>
  <r>
    <n v="762"/>
    <x v="2"/>
    <x v="0"/>
    <x v="18"/>
    <n v="7"/>
    <n v="117687.35"/>
    <x v="1"/>
    <s v="Yes"/>
    <x v="1"/>
    <n v="159344.43"/>
    <x v="1"/>
    <n v="4.0814479389280338E-2"/>
    <s v="No"/>
    <n v="0"/>
    <n v="0"/>
    <x v="1"/>
    <x v="1"/>
    <x v="0"/>
    <x v="2"/>
    <x v="1"/>
    <n v="1"/>
  </r>
  <r>
    <n v="676"/>
    <x v="2"/>
    <x v="1"/>
    <x v="6"/>
    <n v="4"/>
    <n v="101457.14"/>
    <x v="1"/>
    <s v="Yes"/>
    <x v="1"/>
    <n v="79101.67"/>
    <x v="1"/>
    <n v="0.13732365061231611"/>
    <s v="No"/>
    <n v="0"/>
    <n v="0"/>
    <x v="1"/>
    <x v="0"/>
    <x v="0"/>
    <x v="0"/>
    <x v="3"/>
    <n v="1"/>
  </r>
  <r>
    <n v="629"/>
    <x v="0"/>
    <x v="0"/>
    <x v="22"/>
    <n v="4"/>
    <n v="174588.79999999999"/>
    <x v="0"/>
    <s v="No"/>
    <x v="1"/>
    <n v="158420.14000000001"/>
    <x v="1"/>
    <n v="6.9419135783341829E-2"/>
    <s v="No"/>
    <n v="0"/>
    <n v="0"/>
    <x v="1"/>
    <x v="1"/>
    <x v="3"/>
    <x v="0"/>
    <x v="1"/>
    <n v="1"/>
  </r>
  <r>
    <n v="471"/>
    <x v="1"/>
    <x v="1"/>
    <x v="28"/>
    <n v="5"/>
    <n v="90063.74"/>
    <x v="0"/>
    <s v="Yes"/>
    <x v="1"/>
    <n v="96366.7"/>
    <x v="1"/>
    <n v="0.19456862550004861"/>
    <s v="No"/>
    <n v="0"/>
    <n v="0"/>
    <x v="1"/>
    <x v="1"/>
    <x v="2"/>
    <x v="4"/>
    <x v="3"/>
    <n v="1"/>
  </r>
  <r>
    <n v="811"/>
    <x v="2"/>
    <x v="1"/>
    <x v="1"/>
    <n v="5"/>
    <n v="0"/>
    <x v="0"/>
    <s v="Yes"/>
    <x v="1"/>
    <n v="146123.19"/>
    <x v="1"/>
    <n v="0.1208879819167573"/>
    <s v="No"/>
    <n v="0"/>
    <n v="0"/>
    <x v="1"/>
    <x v="0"/>
    <x v="1"/>
    <x v="3"/>
    <x v="0"/>
    <n v="1"/>
  </r>
  <r>
    <n v="687"/>
    <x v="2"/>
    <x v="1"/>
    <x v="23"/>
    <n v="3"/>
    <n v="110495.27"/>
    <x v="1"/>
    <s v="Yes"/>
    <x v="0"/>
    <n v="158615.41"/>
    <x v="1"/>
    <n v="0.12723476354677449"/>
    <s v="No"/>
    <n v="0"/>
    <n v="0"/>
    <x v="1"/>
    <x v="2"/>
    <x v="0"/>
    <x v="0"/>
    <x v="1"/>
    <n v="1"/>
  </r>
  <r>
    <n v="548"/>
    <x v="2"/>
    <x v="1"/>
    <x v="6"/>
    <n v="4"/>
    <n v="82596.800000000003"/>
    <x v="1"/>
    <s v="No"/>
    <x v="1"/>
    <n v="55672.09"/>
    <x v="1"/>
    <n v="0.14444423795258141"/>
    <s v="No"/>
    <n v="0"/>
    <n v="0"/>
    <x v="1"/>
    <x v="0"/>
    <x v="2"/>
    <x v="1"/>
    <x v="3"/>
    <n v="1"/>
  </r>
  <r>
    <n v="609"/>
    <x v="1"/>
    <x v="0"/>
    <x v="18"/>
    <n v="9"/>
    <n v="103837.75"/>
    <x v="1"/>
    <s v="Yes"/>
    <x v="1"/>
    <n v="150218.10999999999"/>
    <x v="1"/>
    <n v="8.7601006120956018E-2"/>
    <s v="No"/>
    <n v="0"/>
    <n v="0"/>
    <x v="1"/>
    <x v="1"/>
    <x v="0"/>
    <x v="0"/>
    <x v="1"/>
    <n v="1"/>
  </r>
  <r>
    <n v="526"/>
    <x v="2"/>
    <x v="0"/>
    <x v="42"/>
    <n v="8"/>
    <n v="93590.47"/>
    <x v="1"/>
    <s v="No"/>
    <x v="1"/>
    <n v="21228.71"/>
    <x v="0"/>
    <n v="0.17262977221251541"/>
    <s v="No"/>
    <n v="1"/>
    <n v="0"/>
    <x v="1"/>
    <x v="3"/>
    <x v="2"/>
    <x v="1"/>
    <x v="2"/>
    <n v="0"/>
  </r>
  <r>
    <n v="545"/>
    <x v="2"/>
    <x v="0"/>
    <x v="27"/>
    <n v="7"/>
    <n v="0"/>
    <x v="0"/>
    <s v="No"/>
    <x v="1"/>
    <n v="156598.23000000001"/>
    <x v="1"/>
    <n v="2.2871358839557501E-2"/>
    <s v="No"/>
    <n v="0"/>
    <n v="0"/>
    <x v="1"/>
    <x v="2"/>
    <x v="1"/>
    <x v="1"/>
    <x v="1"/>
    <n v="1"/>
  </r>
  <r>
    <n v="642"/>
    <x v="1"/>
    <x v="0"/>
    <x v="6"/>
    <n v="4"/>
    <n v="157777.57999999999"/>
    <x v="1"/>
    <s v="Yes"/>
    <x v="0"/>
    <n v="67484.600000000006"/>
    <x v="1"/>
    <n v="0.41486689149414657"/>
    <s v="No"/>
    <n v="0"/>
    <n v="0"/>
    <x v="0"/>
    <x v="0"/>
    <x v="3"/>
    <x v="0"/>
    <x v="3"/>
    <n v="1"/>
  </r>
  <r>
    <n v="617"/>
    <x v="2"/>
    <x v="1"/>
    <x v="19"/>
    <n v="0"/>
    <n v="131244.65"/>
    <x v="0"/>
    <s v="Yes"/>
    <x v="0"/>
    <n v="183229.02"/>
    <x v="1"/>
    <n v="0.24713752213160781"/>
    <s v="No"/>
    <n v="0"/>
    <n v="0"/>
    <x v="0"/>
    <x v="1"/>
    <x v="0"/>
    <x v="0"/>
    <x v="1"/>
    <n v="1"/>
  </r>
  <r>
    <n v="648"/>
    <x v="2"/>
    <x v="0"/>
    <x v="34"/>
    <n v="9"/>
    <n v="168372.52"/>
    <x v="1"/>
    <s v="Yes"/>
    <x v="0"/>
    <n v="134676.72"/>
    <x v="1"/>
    <n v="7.5703253256355782E-2"/>
    <s v="No"/>
    <n v="0"/>
    <n v="0"/>
    <x v="1"/>
    <x v="2"/>
    <x v="3"/>
    <x v="0"/>
    <x v="0"/>
    <n v="1"/>
  </r>
  <r>
    <n v="627"/>
    <x v="2"/>
    <x v="1"/>
    <x v="0"/>
    <n v="5"/>
    <n v="0"/>
    <x v="0"/>
    <s v="Yes"/>
    <x v="0"/>
    <n v="82969.61"/>
    <x v="0"/>
    <n v="0.29398259914426539"/>
    <s v="No"/>
    <n v="1"/>
    <n v="0"/>
    <x v="0"/>
    <x v="0"/>
    <x v="1"/>
    <x v="0"/>
    <x v="3"/>
    <n v="0"/>
  </r>
  <r>
    <n v="465"/>
    <x v="0"/>
    <x v="1"/>
    <x v="5"/>
    <n v="6"/>
    <n v="0"/>
    <x v="0"/>
    <s v="Yes"/>
    <x v="1"/>
    <n v="95500.98"/>
    <x v="1"/>
    <n v="6.6477190894272883E-2"/>
    <s v="No"/>
    <n v="0"/>
    <n v="0"/>
    <x v="1"/>
    <x v="1"/>
    <x v="1"/>
    <x v="4"/>
    <x v="3"/>
    <n v="1"/>
  </r>
  <r>
    <n v="687"/>
    <x v="2"/>
    <x v="1"/>
    <x v="19"/>
    <n v="9"/>
    <n v="125474.44"/>
    <x v="1"/>
    <s v="Yes"/>
    <x v="0"/>
    <n v="198929.84"/>
    <x v="1"/>
    <n v="0.22390551750081761"/>
    <s v="No"/>
    <n v="0"/>
    <n v="0"/>
    <x v="0"/>
    <x v="1"/>
    <x v="0"/>
    <x v="0"/>
    <x v="1"/>
    <n v="1"/>
  </r>
  <r>
    <n v="699"/>
    <x v="0"/>
    <x v="1"/>
    <x v="36"/>
    <n v="8"/>
    <n v="0"/>
    <x v="0"/>
    <s v="Yes"/>
    <x v="1"/>
    <n v="52404.47"/>
    <x v="1"/>
    <n v="3.047963451731894E-2"/>
    <s v="No"/>
    <n v="0"/>
    <n v="0"/>
    <x v="1"/>
    <x v="2"/>
    <x v="1"/>
    <x v="0"/>
    <x v="3"/>
    <n v="1"/>
  </r>
  <r>
    <n v="779"/>
    <x v="1"/>
    <x v="1"/>
    <x v="23"/>
    <n v="10"/>
    <n v="122200.31"/>
    <x v="0"/>
    <s v="Yes"/>
    <x v="0"/>
    <n v="43705.56"/>
    <x v="1"/>
    <n v="0.18588240985940441"/>
    <s v="No"/>
    <n v="0"/>
    <n v="0"/>
    <x v="1"/>
    <x v="2"/>
    <x v="0"/>
    <x v="2"/>
    <x v="2"/>
    <n v="1"/>
  </r>
  <r>
    <n v="794"/>
    <x v="0"/>
    <x v="0"/>
    <x v="5"/>
    <n v="8"/>
    <n v="0"/>
    <x v="0"/>
    <s v="No"/>
    <x v="0"/>
    <n v="91340.02"/>
    <x v="1"/>
    <n v="8.8090359783874583E-2"/>
    <s v="No"/>
    <n v="0"/>
    <n v="0"/>
    <x v="1"/>
    <x v="1"/>
    <x v="1"/>
    <x v="2"/>
    <x v="3"/>
    <n v="1"/>
  </r>
  <r>
    <n v="756"/>
    <x v="1"/>
    <x v="1"/>
    <x v="27"/>
    <n v="5"/>
    <n v="155143.51999999999"/>
    <x v="1"/>
    <s v="No"/>
    <x v="1"/>
    <n v="135034.57"/>
    <x v="0"/>
    <n v="0.1159140063872602"/>
    <s v="No"/>
    <n v="1"/>
    <n v="0"/>
    <x v="1"/>
    <x v="2"/>
    <x v="3"/>
    <x v="2"/>
    <x v="0"/>
    <n v="0"/>
  </r>
  <r>
    <n v="709"/>
    <x v="2"/>
    <x v="1"/>
    <x v="25"/>
    <n v="2"/>
    <n v="87814.89"/>
    <x v="1"/>
    <s v="Yes"/>
    <x v="0"/>
    <n v="138578.37"/>
    <x v="1"/>
    <n v="0.19795514995284819"/>
    <s v="No"/>
    <n v="0"/>
    <n v="0"/>
    <x v="1"/>
    <x v="1"/>
    <x v="2"/>
    <x v="2"/>
    <x v="0"/>
    <n v="1"/>
  </r>
  <r>
    <n v="503"/>
    <x v="0"/>
    <x v="0"/>
    <x v="18"/>
    <n v="4"/>
    <n v="0"/>
    <x v="0"/>
    <s v="Yes"/>
    <x v="1"/>
    <n v="21645.06"/>
    <x v="1"/>
    <n v="3.3387401280776739E-2"/>
    <s v="No"/>
    <n v="0"/>
    <n v="0"/>
    <x v="1"/>
    <x v="1"/>
    <x v="1"/>
    <x v="1"/>
    <x v="2"/>
    <n v="1"/>
  </r>
  <r>
    <n v="579"/>
    <x v="0"/>
    <x v="0"/>
    <x v="11"/>
    <n v="4"/>
    <n v="0"/>
    <x v="0"/>
    <s v="Yes"/>
    <x v="1"/>
    <n v="32246.63"/>
    <x v="1"/>
    <n v="4.8876562706800138E-2"/>
    <s v="No"/>
    <n v="0"/>
    <n v="0"/>
    <x v="1"/>
    <x v="1"/>
    <x v="1"/>
    <x v="1"/>
    <x v="2"/>
    <n v="1"/>
  </r>
  <r>
    <n v="704"/>
    <x v="2"/>
    <x v="0"/>
    <x v="28"/>
    <n v="3"/>
    <n v="114370.41"/>
    <x v="1"/>
    <s v="No"/>
    <x v="1"/>
    <n v="66810.48"/>
    <x v="1"/>
    <n v="6.3213980724237021E-2"/>
    <s v="No"/>
    <n v="0"/>
    <n v="0"/>
    <x v="1"/>
    <x v="1"/>
    <x v="0"/>
    <x v="2"/>
    <x v="3"/>
    <n v="1"/>
  </r>
  <r>
    <n v="714"/>
    <x v="1"/>
    <x v="0"/>
    <x v="10"/>
    <n v="3"/>
    <n v="149887.49"/>
    <x v="0"/>
    <s v="Yes"/>
    <x v="0"/>
    <n v="63846.36"/>
    <x v="1"/>
    <n v="0.34343505464923152"/>
    <s v="No"/>
    <n v="0"/>
    <n v="0"/>
    <x v="0"/>
    <x v="1"/>
    <x v="0"/>
    <x v="2"/>
    <x v="3"/>
    <n v="1"/>
  </r>
  <r>
    <n v="592"/>
    <x v="2"/>
    <x v="0"/>
    <x v="29"/>
    <n v="3"/>
    <n v="0"/>
    <x v="0"/>
    <s v="Yes"/>
    <x v="1"/>
    <n v="19645.650000000001"/>
    <x v="1"/>
    <n v="2.3135869016958591E-2"/>
    <s v="No"/>
    <n v="0"/>
    <n v="0"/>
    <x v="1"/>
    <x v="2"/>
    <x v="1"/>
    <x v="1"/>
    <x v="2"/>
    <n v="1"/>
  </r>
  <r>
    <n v="689"/>
    <x v="1"/>
    <x v="1"/>
    <x v="17"/>
    <n v="2"/>
    <n v="64808.32"/>
    <x v="0"/>
    <s v="No"/>
    <x v="0"/>
    <n v="78591.149999999994"/>
    <x v="1"/>
    <n v="0.25780218670997618"/>
    <s v="No"/>
    <n v="0"/>
    <n v="0"/>
    <x v="0"/>
    <x v="2"/>
    <x v="2"/>
    <x v="0"/>
    <x v="3"/>
    <n v="1"/>
  </r>
  <r>
    <n v="581"/>
    <x v="1"/>
    <x v="1"/>
    <x v="49"/>
    <n v="2"/>
    <n v="152508.99"/>
    <x v="1"/>
    <s v="Yes"/>
    <x v="0"/>
    <n v="187597.98"/>
    <x v="0"/>
    <n v="0.7859788004820053"/>
    <s v="Yes"/>
    <n v="1"/>
    <n v="1"/>
    <x v="2"/>
    <x v="3"/>
    <x v="3"/>
    <x v="1"/>
    <x v="1"/>
    <n v="1"/>
  </r>
  <r>
    <n v="690"/>
    <x v="2"/>
    <x v="1"/>
    <x v="21"/>
    <n v="9"/>
    <n v="77641.990000000005"/>
    <x v="1"/>
    <s v="No"/>
    <x v="0"/>
    <n v="189051.59"/>
    <x v="0"/>
    <n v="0.28936857018585449"/>
    <s v="No"/>
    <n v="1"/>
    <n v="0"/>
    <x v="0"/>
    <x v="1"/>
    <x v="2"/>
    <x v="0"/>
    <x v="1"/>
    <n v="0"/>
  </r>
  <r>
    <n v="479"/>
    <x v="2"/>
    <x v="0"/>
    <x v="35"/>
    <n v="1"/>
    <n v="0"/>
    <x v="1"/>
    <s v="Yes"/>
    <x v="0"/>
    <n v="95270.83"/>
    <x v="1"/>
    <n v="0.28710125088072108"/>
    <s v="No"/>
    <n v="0"/>
    <n v="0"/>
    <x v="0"/>
    <x v="0"/>
    <x v="1"/>
    <x v="4"/>
    <x v="3"/>
    <n v="1"/>
  </r>
  <r>
    <n v="693"/>
    <x v="2"/>
    <x v="0"/>
    <x v="18"/>
    <n v="2"/>
    <n v="0"/>
    <x v="0"/>
    <s v="Yes"/>
    <x v="1"/>
    <n v="107759.31"/>
    <x v="1"/>
    <n v="3.083361753714383E-2"/>
    <s v="No"/>
    <n v="0"/>
    <n v="0"/>
    <x v="1"/>
    <x v="1"/>
    <x v="1"/>
    <x v="0"/>
    <x v="0"/>
    <n v="1"/>
  </r>
  <r>
    <n v="707"/>
    <x v="0"/>
    <x v="0"/>
    <x v="12"/>
    <n v="10"/>
    <n v="0"/>
    <x v="0"/>
    <s v="Yes"/>
    <x v="0"/>
    <n v="118368.2"/>
    <x v="1"/>
    <n v="0.16886651488195409"/>
    <s v="No"/>
    <n v="0"/>
    <n v="0"/>
    <x v="1"/>
    <x v="0"/>
    <x v="1"/>
    <x v="2"/>
    <x v="0"/>
    <n v="1"/>
  </r>
  <r>
    <n v="777"/>
    <x v="2"/>
    <x v="0"/>
    <x v="10"/>
    <n v="8"/>
    <n v="0"/>
    <x v="0"/>
    <s v="Yes"/>
    <x v="1"/>
    <n v="18613.52"/>
    <x v="1"/>
    <n v="4.3828947976903683E-2"/>
    <s v="No"/>
    <n v="0"/>
    <n v="0"/>
    <x v="1"/>
    <x v="1"/>
    <x v="1"/>
    <x v="2"/>
    <x v="2"/>
    <n v="1"/>
  </r>
  <r>
    <n v="762"/>
    <x v="1"/>
    <x v="0"/>
    <x v="16"/>
    <n v="6"/>
    <n v="123571.77"/>
    <x v="2"/>
    <s v="No"/>
    <x v="1"/>
    <n v="57014.17"/>
    <x v="0"/>
    <n v="0.18908638318804619"/>
    <s v="No"/>
    <n v="1"/>
    <n v="0"/>
    <x v="1"/>
    <x v="0"/>
    <x v="0"/>
    <x v="2"/>
    <x v="3"/>
    <n v="0"/>
  </r>
  <r>
    <n v="592"/>
    <x v="2"/>
    <x v="0"/>
    <x v="60"/>
    <n v="4"/>
    <n v="0"/>
    <x v="0"/>
    <s v="No"/>
    <x v="1"/>
    <n v="17013.54"/>
    <x v="1"/>
    <n v="0.38312334453393038"/>
    <s v="No"/>
    <n v="0"/>
    <n v="0"/>
    <x v="0"/>
    <x v="4"/>
    <x v="1"/>
    <x v="1"/>
    <x v="2"/>
    <n v="1"/>
  </r>
  <r>
    <n v="631"/>
    <x v="1"/>
    <x v="0"/>
    <x v="20"/>
    <n v="1"/>
    <n v="106396.48"/>
    <x v="1"/>
    <s v="Yes"/>
    <x v="1"/>
    <n v="150661.42000000001"/>
    <x v="0"/>
    <n v="0.28182009793148999"/>
    <s v="No"/>
    <n v="1"/>
    <n v="0"/>
    <x v="0"/>
    <x v="0"/>
    <x v="0"/>
    <x v="0"/>
    <x v="1"/>
    <n v="0"/>
  </r>
  <r>
    <n v="850"/>
    <x v="2"/>
    <x v="0"/>
    <x v="19"/>
    <n v="2"/>
    <n v="72079.710000000006"/>
    <x v="1"/>
    <s v="Yes"/>
    <x v="1"/>
    <n v="115767.93"/>
    <x v="1"/>
    <n v="4.5666879274915077E-2"/>
    <s v="No"/>
    <n v="0"/>
    <n v="0"/>
    <x v="1"/>
    <x v="1"/>
    <x v="2"/>
    <x v="3"/>
    <x v="0"/>
    <n v="1"/>
  </r>
  <r>
    <n v="630"/>
    <x v="2"/>
    <x v="1"/>
    <x v="17"/>
    <n v="1"/>
    <n v="0"/>
    <x v="0"/>
    <s v="Yes"/>
    <x v="1"/>
    <n v="133267.78"/>
    <x v="1"/>
    <n v="4.5448512641899343E-2"/>
    <s v="No"/>
    <n v="0"/>
    <n v="0"/>
    <x v="1"/>
    <x v="2"/>
    <x v="1"/>
    <x v="0"/>
    <x v="0"/>
    <n v="1"/>
  </r>
  <r>
    <n v="558"/>
    <x v="2"/>
    <x v="0"/>
    <x v="29"/>
    <n v="1"/>
    <n v="152283.39000000001"/>
    <x v="1"/>
    <s v="Yes"/>
    <x v="0"/>
    <n v="183271.15"/>
    <x v="1"/>
    <n v="0.11918817020625069"/>
    <s v="No"/>
    <n v="0"/>
    <n v="0"/>
    <x v="1"/>
    <x v="2"/>
    <x v="3"/>
    <x v="1"/>
    <x v="1"/>
    <n v="1"/>
  </r>
  <r>
    <n v="682"/>
    <x v="2"/>
    <x v="1"/>
    <x v="11"/>
    <n v="8"/>
    <n v="148580.12"/>
    <x v="1"/>
    <s v="Yes"/>
    <x v="0"/>
    <n v="35179.18"/>
    <x v="1"/>
    <n v="0.26317124518508339"/>
    <s v="No"/>
    <n v="0"/>
    <n v="0"/>
    <x v="0"/>
    <x v="1"/>
    <x v="0"/>
    <x v="0"/>
    <x v="2"/>
    <n v="1"/>
  </r>
  <r>
    <n v="578"/>
    <x v="1"/>
    <x v="0"/>
    <x v="11"/>
    <n v="1"/>
    <n v="135650.88"/>
    <x v="1"/>
    <s v="Yes"/>
    <x v="0"/>
    <n v="199428.19"/>
    <x v="1"/>
    <n v="0.37291987267067511"/>
    <s v="No"/>
    <n v="0"/>
    <n v="0"/>
    <x v="0"/>
    <x v="1"/>
    <x v="0"/>
    <x v="1"/>
    <x v="1"/>
    <n v="1"/>
  </r>
  <r>
    <n v="708"/>
    <x v="0"/>
    <x v="1"/>
    <x v="22"/>
    <n v="8"/>
    <n v="122570.69"/>
    <x v="1"/>
    <s v="No"/>
    <x v="0"/>
    <n v="199005.88"/>
    <x v="1"/>
    <n v="0.2496174093774175"/>
    <s v="No"/>
    <n v="0"/>
    <n v="0"/>
    <x v="0"/>
    <x v="1"/>
    <x v="0"/>
    <x v="2"/>
    <x v="1"/>
    <n v="1"/>
  </r>
  <r>
    <n v="445"/>
    <x v="2"/>
    <x v="0"/>
    <x v="11"/>
    <n v="3"/>
    <n v="0"/>
    <x v="0"/>
    <s v="Yes"/>
    <x v="1"/>
    <n v="180012.39"/>
    <x v="1"/>
    <n v="5.6703802183719253E-2"/>
    <s v="No"/>
    <n v="0"/>
    <n v="0"/>
    <x v="1"/>
    <x v="1"/>
    <x v="1"/>
    <x v="4"/>
    <x v="1"/>
    <n v="1"/>
  </r>
  <r>
    <n v="537"/>
    <x v="0"/>
    <x v="1"/>
    <x v="5"/>
    <n v="7"/>
    <n v="136082"/>
    <x v="1"/>
    <s v="Yes"/>
    <x v="0"/>
    <n v="62746.54"/>
    <x v="1"/>
    <n v="0.23435285090969729"/>
    <s v="No"/>
    <n v="0"/>
    <n v="0"/>
    <x v="0"/>
    <x v="1"/>
    <x v="0"/>
    <x v="1"/>
    <x v="3"/>
    <n v="1"/>
  </r>
  <r>
    <n v="511"/>
    <x v="2"/>
    <x v="1"/>
    <x v="16"/>
    <n v="1"/>
    <n v="0"/>
    <x v="1"/>
    <s v="Yes"/>
    <x v="1"/>
    <n v="115779.48"/>
    <x v="0"/>
    <n v="0.1770342222792165"/>
    <s v="No"/>
    <n v="1"/>
    <n v="0"/>
    <x v="1"/>
    <x v="0"/>
    <x v="1"/>
    <x v="1"/>
    <x v="0"/>
    <n v="0"/>
  </r>
  <r>
    <n v="743"/>
    <x v="0"/>
    <x v="0"/>
    <x v="12"/>
    <n v="2"/>
    <n v="161807.18"/>
    <x v="0"/>
    <s v="No"/>
    <x v="1"/>
    <n v="93228.86"/>
    <x v="0"/>
    <n v="0.10787326284511729"/>
    <s v="No"/>
    <n v="1"/>
    <n v="0"/>
    <x v="1"/>
    <x v="0"/>
    <x v="3"/>
    <x v="2"/>
    <x v="3"/>
    <n v="0"/>
  </r>
  <r>
    <n v="532"/>
    <x v="1"/>
    <x v="0"/>
    <x v="42"/>
    <n v="3"/>
    <n v="110791.97"/>
    <x v="1"/>
    <s v="Yes"/>
    <x v="0"/>
    <n v="148704.76999999999"/>
    <x v="0"/>
    <n v="0.62002403371937742"/>
    <s v="Yes"/>
    <n v="1"/>
    <n v="1"/>
    <x v="2"/>
    <x v="3"/>
    <x v="0"/>
    <x v="1"/>
    <x v="0"/>
    <n v="1"/>
  </r>
  <r>
    <n v="554"/>
    <x v="1"/>
    <x v="1"/>
    <x v="49"/>
    <n v="6"/>
    <n v="108755"/>
    <x v="1"/>
    <s v="Yes"/>
    <x v="0"/>
    <n v="40914.32"/>
    <x v="0"/>
    <n v="0.73980007952736537"/>
    <s v="Yes"/>
    <n v="1"/>
    <n v="1"/>
    <x v="2"/>
    <x v="3"/>
    <x v="0"/>
    <x v="1"/>
    <x v="2"/>
    <n v="1"/>
  </r>
  <r>
    <n v="604"/>
    <x v="0"/>
    <x v="1"/>
    <x v="19"/>
    <n v="3"/>
    <n v="0"/>
    <x v="0"/>
    <s v="Yes"/>
    <x v="0"/>
    <n v="38587.699999999997"/>
    <x v="1"/>
    <n v="0.1755260072722685"/>
    <s v="No"/>
    <n v="0"/>
    <n v="0"/>
    <x v="1"/>
    <x v="1"/>
    <x v="1"/>
    <x v="0"/>
    <x v="2"/>
    <n v="1"/>
  </r>
  <r>
    <n v="850"/>
    <x v="1"/>
    <x v="1"/>
    <x v="22"/>
    <n v="7"/>
    <n v="114285.2"/>
    <x v="1"/>
    <s v="No"/>
    <x v="1"/>
    <n v="129660.59"/>
    <x v="1"/>
    <n v="0.17089117731522391"/>
    <s v="No"/>
    <n v="0"/>
    <n v="0"/>
    <x v="1"/>
    <x v="1"/>
    <x v="0"/>
    <x v="3"/>
    <x v="0"/>
    <n v="1"/>
  </r>
  <r>
    <n v="633"/>
    <x v="0"/>
    <x v="0"/>
    <x v="52"/>
    <n v="4"/>
    <n v="114552.6"/>
    <x v="1"/>
    <s v="Yes"/>
    <x v="0"/>
    <n v="73856.28"/>
    <x v="0"/>
    <n v="0.60628986997875911"/>
    <s v="Yes"/>
    <n v="1"/>
    <n v="1"/>
    <x v="2"/>
    <x v="4"/>
    <x v="0"/>
    <x v="0"/>
    <x v="3"/>
    <n v="1"/>
  </r>
  <r>
    <n v="494"/>
    <x v="2"/>
    <x v="1"/>
    <x v="5"/>
    <n v="1"/>
    <n v="137853"/>
    <x v="1"/>
    <s v="No"/>
    <x v="1"/>
    <n v="90273.85"/>
    <x v="1"/>
    <n v="0.1079857594476336"/>
    <s v="No"/>
    <n v="0"/>
    <n v="0"/>
    <x v="1"/>
    <x v="1"/>
    <x v="0"/>
    <x v="4"/>
    <x v="3"/>
    <n v="1"/>
  </r>
  <r>
    <n v="557"/>
    <x v="0"/>
    <x v="0"/>
    <x v="3"/>
    <n v="4"/>
    <n v="0"/>
    <x v="0"/>
    <s v="No"/>
    <x v="1"/>
    <n v="86642.38"/>
    <x v="1"/>
    <n v="7.4433341637813247E-2"/>
    <s v="No"/>
    <n v="0"/>
    <n v="0"/>
    <x v="1"/>
    <x v="0"/>
    <x v="1"/>
    <x v="1"/>
    <x v="3"/>
    <n v="1"/>
  </r>
  <r>
    <n v="726"/>
    <x v="1"/>
    <x v="1"/>
    <x v="5"/>
    <n v="7"/>
    <n v="99046.31"/>
    <x v="0"/>
    <s v="Yes"/>
    <x v="1"/>
    <n v="56053.06"/>
    <x v="1"/>
    <n v="0.1349404673871652"/>
    <s v="No"/>
    <n v="0"/>
    <n v="0"/>
    <x v="1"/>
    <x v="1"/>
    <x v="2"/>
    <x v="2"/>
    <x v="3"/>
    <n v="1"/>
  </r>
  <r>
    <n v="844"/>
    <x v="2"/>
    <x v="1"/>
    <x v="6"/>
    <n v="10"/>
    <n v="76319.64"/>
    <x v="1"/>
    <s v="Yes"/>
    <x v="1"/>
    <n v="141175.18"/>
    <x v="0"/>
    <n v="0.1087901763593451"/>
    <s v="No"/>
    <n v="1"/>
    <n v="0"/>
    <x v="1"/>
    <x v="0"/>
    <x v="2"/>
    <x v="3"/>
    <x v="0"/>
    <n v="0"/>
  </r>
  <r>
    <n v="450"/>
    <x v="2"/>
    <x v="0"/>
    <x v="4"/>
    <n v="7"/>
    <n v="117199.8"/>
    <x v="1"/>
    <s v="Yes"/>
    <x v="1"/>
    <n v="43480.63"/>
    <x v="1"/>
    <n v="4.0890222433309642E-2"/>
    <s v="No"/>
    <n v="0"/>
    <n v="0"/>
    <x v="1"/>
    <x v="2"/>
    <x v="0"/>
    <x v="4"/>
    <x v="2"/>
    <n v="1"/>
  </r>
  <r>
    <n v="738"/>
    <x v="1"/>
    <x v="1"/>
    <x v="26"/>
    <n v="9"/>
    <n v="148384.64000000001"/>
    <x v="1"/>
    <s v="No"/>
    <x v="0"/>
    <n v="155047.10999999999"/>
    <x v="0"/>
    <n v="0.78226890346579647"/>
    <s v="Yes"/>
    <n v="1"/>
    <n v="1"/>
    <x v="2"/>
    <x v="3"/>
    <x v="0"/>
    <x v="2"/>
    <x v="1"/>
    <n v="1"/>
  </r>
  <r>
    <n v="735"/>
    <x v="2"/>
    <x v="0"/>
    <x v="32"/>
    <n v="2"/>
    <n v="0"/>
    <x v="0"/>
    <s v="No"/>
    <x v="1"/>
    <n v="147075.69"/>
    <x v="1"/>
    <n v="0.11744731997278191"/>
    <s v="No"/>
    <n v="0"/>
    <n v="0"/>
    <x v="1"/>
    <x v="0"/>
    <x v="1"/>
    <x v="2"/>
    <x v="0"/>
    <n v="1"/>
  </r>
  <r>
    <n v="536"/>
    <x v="1"/>
    <x v="1"/>
    <x v="22"/>
    <n v="4"/>
    <n v="121520.36"/>
    <x v="1"/>
    <s v="No"/>
    <x v="0"/>
    <n v="77178.42"/>
    <x v="1"/>
    <n v="0.44440220264399038"/>
    <s v="No"/>
    <n v="0"/>
    <n v="0"/>
    <x v="0"/>
    <x v="1"/>
    <x v="0"/>
    <x v="1"/>
    <x v="3"/>
    <n v="1"/>
  </r>
  <r>
    <n v="730"/>
    <x v="0"/>
    <x v="1"/>
    <x v="12"/>
    <n v="1"/>
    <n v="103960.38"/>
    <x v="1"/>
    <s v="Yes"/>
    <x v="1"/>
    <n v="193650.16"/>
    <x v="1"/>
    <n v="0.17382801809315601"/>
    <s v="No"/>
    <n v="0"/>
    <n v="0"/>
    <x v="1"/>
    <x v="0"/>
    <x v="0"/>
    <x v="2"/>
    <x v="1"/>
    <n v="1"/>
  </r>
  <r>
    <n v="627"/>
    <x v="0"/>
    <x v="1"/>
    <x v="45"/>
    <n v="6"/>
    <n v="0"/>
    <x v="1"/>
    <s v="No"/>
    <x v="0"/>
    <n v="91943.94"/>
    <x v="0"/>
    <n v="0.52430257021221505"/>
    <s v="Yes"/>
    <n v="1"/>
    <n v="1"/>
    <x v="2"/>
    <x v="3"/>
    <x v="1"/>
    <x v="0"/>
    <x v="3"/>
    <n v="1"/>
  </r>
  <r>
    <n v="647"/>
    <x v="2"/>
    <x v="0"/>
    <x v="12"/>
    <n v="9"/>
    <n v="0"/>
    <x v="0"/>
    <s v="Yes"/>
    <x v="1"/>
    <n v="78488.39"/>
    <x v="1"/>
    <n v="6.39865654388109E-2"/>
    <s v="No"/>
    <n v="0"/>
    <n v="0"/>
    <x v="1"/>
    <x v="0"/>
    <x v="1"/>
    <x v="0"/>
    <x v="3"/>
    <n v="1"/>
  </r>
  <r>
    <n v="416"/>
    <x v="1"/>
    <x v="1"/>
    <x v="36"/>
    <n v="0"/>
    <n v="97738.97"/>
    <x v="0"/>
    <s v="Yes"/>
    <x v="1"/>
    <n v="160523.32999999999"/>
    <x v="1"/>
    <n v="0.1148922860394672"/>
    <s v="No"/>
    <n v="0"/>
    <n v="0"/>
    <x v="1"/>
    <x v="2"/>
    <x v="2"/>
    <x v="4"/>
    <x v="1"/>
    <n v="1"/>
  </r>
  <r>
    <n v="678"/>
    <x v="0"/>
    <x v="1"/>
    <x v="21"/>
    <n v="4"/>
    <n v="113794.22"/>
    <x v="1"/>
    <s v="Yes"/>
    <x v="0"/>
    <n v="16618.759999999998"/>
    <x v="1"/>
    <n v="0.31264793199609392"/>
    <s v="No"/>
    <n v="0"/>
    <n v="0"/>
    <x v="0"/>
    <x v="1"/>
    <x v="0"/>
    <x v="0"/>
    <x v="2"/>
    <n v="1"/>
  </r>
  <r>
    <n v="743"/>
    <x v="0"/>
    <x v="1"/>
    <x v="20"/>
    <n v="5"/>
    <n v="118207.69"/>
    <x v="0"/>
    <s v="No"/>
    <x v="0"/>
    <n v="186489.14"/>
    <x v="0"/>
    <n v="0.44385451981040608"/>
    <s v="No"/>
    <n v="1"/>
    <n v="0"/>
    <x v="0"/>
    <x v="0"/>
    <x v="0"/>
    <x v="2"/>
    <x v="1"/>
    <n v="0"/>
  </r>
  <r>
    <n v="683"/>
    <x v="1"/>
    <x v="0"/>
    <x v="55"/>
    <n v="9"/>
    <n v="124730.26"/>
    <x v="1"/>
    <s v="Yes"/>
    <x v="1"/>
    <n v="51999.5"/>
    <x v="1"/>
    <n v="0.67092963990825127"/>
    <s v="Yes"/>
    <n v="0"/>
    <n v="1"/>
    <x v="2"/>
    <x v="4"/>
    <x v="0"/>
    <x v="0"/>
    <x v="3"/>
    <n v="0"/>
  </r>
  <r>
    <n v="663"/>
    <x v="0"/>
    <x v="0"/>
    <x v="42"/>
    <n v="0"/>
    <n v="136298.65"/>
    <x v="1"/>
    <s v="Yes"/>
    <x v="0"/>
    <n v="144593.29999999999"/>
    <x v="0"/>
    <n v="0.44327939207213612"/>
    <s v="No"/>
    <n v="1"/>
    <n v="0"/>
    <x v="0"/>
    <x v="3"/>
    <x v="0"/>
    <x v="0"/>
    <x v="0"/>
    <n v="0"/>
  </r>
  <r>
    <n v="503"/>
    <x v="2"/>
    <x v="0"/>
    <x v="2"/>
    <n v="1"/>
    <n v="0"/>
    <x v="0"/>
    <s v="Yes"/>
    <x v="1"/>
    <n v="95153.24"/>
    <x v="1"/>
    <n v="5.8107200620203282E-2"/>
    <s v="No"/>
    <n v="0"/>
    <n v="0"/>
    <x v="1"/>
    <x v="1"/>
    <x v="1"/>
    <x v="1"/>
    <x v="3"/>
    <n v="1"/>
  </r>
  <r>
    <n v="692"/>
    <x v="2"/>
    <x v="0"/>
    <x v="5"/>
    <n v="9"/>
    <n v="0"/>
    <x v="1"/>
    <s v="Yes"/>
    <x v="0"/>
    <n v="113505.93"/>
    <x v="0"/>
    <n v="9.6130908721970901E-2"/>
    <s v="No"/>
    <n v="1"/>
    <n v="0"/>
    <x v="1"/>
    <x v="1"/>
    <x v="1"/>
    <x v="0"/>
    <x v="0"/>
    <n v="0"/>
  </r>
  <r>
    <n v="679"/>
    <x v="2"/>
    <x v="0"/>
    <x v="11"/>
    <n v="7"/>
    <n v="74260.03"/>
    <x v="1"/>
    <s v="Yes"/>
    <x v="0"/>
    <n v="194617.98"/>
    <x v="1"/>
    <n v="0.1599528484090838"/>
    <s v="No"/>
    <n v="0"/>
    <n v="0"/>
    <x v="1"/>
    <x v="1"/>
    <x v="2"/>
    <x v="0"/>
    <x v="1"/>
    <n v="1"/>
  </r>
  <r>
    <n v="594"/>
    <x v="2"/>
    <x v="0"/>
    <x v="28"/>
    <n v="6"/>
    <n v="153880.15"/>
    <x v="1"/>
    <s v="No"/>
    <x v="0"/>
    <n v="135431.72"/>
    <x v="1"/>
    <n v="0.1902360034898487"/>
    <s v="No"/>
    <n v="0"/>
    <n v="0"/>
    <x v="1"/>
    <x v="1"/>
    <x v="3"/>
    <x v="1"/>
    <x v="0"/>
    <n v="1"/>
  </r>
  <r>
    <n v="611"/>
    <x v="0"/>
    <x v="1"/>
    <x v="17"/>
    <n v="3"/>
    <n v="96381.68"/>
    <x v="0"/>
    <s v="Yes"/>
    <x v="0"/>
    <n v="181419.29"/>
    <x v="1"/>
    <n v="0.15895127845322141"/>
    <s v="No"/>
    <n v="0"/>
    <n v="0"/>
    <x v="1"/>
    <x v="2"/>
    <x v="2"/>
    <x v="0"/>
    <x v="1"/>
    <n v="1"/>
  </r>
  <r>
    <n v="741"/>
    <x v="1"/>
    <x v="1"/>
    <x v="28"/>
    <n v="0"/>
    <n v="127675.39"/>
    <x v="0"/>
    <s v="Yes"/>
    <x v="0"/>
    <n v="74260.160000000003"/>
    <x v="1"/>
    <n v="0.41736437000673138"/>
    <s v="No"/>
    <n v="0"/>
    <n v="0"/>
    <x v="0"/>
    <x v="1"/>
    <x v="0"/>
    <x v="2"/>
    <x v="3"/>
    <n v="1"/>
  </r>
  <r>
    <n v="676"/>
    <x v="0"/>
    <x v="1"/>
    <x v="24"/>
    <n v="5"/>
    <n v="0"/>
    <x v="0"/>
    <s v="No"/>
    <x v="0"/>
    <n v="179066.58"/>
    <x v="1"/>
    <n v="0.13924850253209339"/>
    <s v="No"/>
    <n v="0"/>
    <n v="0"/>
    <x v="1"/>
    <x v="2"/>
    <x v="1"/>
    <x v="0"/>
    <x v="1"/>
    <n v="1"/>
  </r>
  <r>
    <n v="729"/>
    <x v="0"/>
    <x v="0"/>
    <x v="0"/>
    <n v="4"/>
    <n v="107726.93"/>
    <x v="0"/>
    <s v="Yes"/>
    <x v="0"/>
    <n v="153064.87"/>
    <x v="1"/>
    <n v="0.24646117501536441"/>
    <s v="No"/>
    <n v="0"/>
    <n v="0"/>
    <x v="0"/>
    <x v="0"/>
    <x v="0"/>
    <x v="2"/>
    <x v="1"/>
    <n v="1"/>
  </r>
  <r>
    <n v="683"/>
    <x v="2"/>
    <x v="1"/>
    <x v="5"/>
    <n v="9"/>
    <n v="0"/>
    <x v="0"/>
    <s v="Yes"/>
    <x v="1"/>
    <n v="38784.42"/>
    <x v="1"/>
    <n v="5.1049926840407697E-2"/>
    <s v="No"/>
    <n v="0"/>
    <n v="0"/>
    <x v="1"/>
    <x v="1"/>
    <x v="1"/>
    <x v="0"/>
    <x v="2"/>
    <n v="1"/>
  </r>
  <r>
    <n v="689"/>
    <x v="0"/>
    <x v="1"/>
    <x v="52"/>
    <n v="1"/>
    <n v="0"/>
    <x v="0"/>
    <s v="Yes"/>
    <x v="1"/>
    <n v="186526.12"/>
    <x v="1"/>
    <n v="0.39471661990216828"/>
    <s v="No"/>
    <n v="0"/>
    <n v="0"/>
    <x v="0"/>
    <x v="4"/>
    <x v="1"/>
    <x v="0"/>
    <x v="1"/>
    <n v="1"/>
  </r>
  <r>
    <n v="674"/>
    <x v="2"/>
    <x v="1"/>
    <x v="3"/>
    <n v="9"/>
    <n v="0"/>
    <x v="0"/>
    <s v="Yes"/>
    <x v="0"/>
    <n v="4292.72"/>
    <x v="1"/>
    <n v="0.235085718823596"/>
    <s v="No"/>
    <n v="0"/>
    <n v="0"/>
    <x v="0"/>
    <x v="0"/>
    <x v="1"/>
    <x v="0"/>
    <x v="2"/>
    <n v="1"/>
  </r>
  <r>
    <n v="615"/>
    <x v="1"/>
    <x v="1"/>
    <x v="5"/>
    <n v="3"/>
    <n v="137657.25"/>
    <x v="0"/>
    <s v="Yes"/>
    <x v="1"/>
    <n v="171657.57"/>
    <x v="1"/>
    <n v="0.17694030841348349"/>
    <s v="No"/>
    <n v="0"/>
    <n v="0"/>
    <x v="1"/>
    <x v="1"/>
    <x v="0"/>
    <x v="0"/>
    <x v="1"/>
    <n v="1"/>
  </r>
  <r>
    <n v="415"/>
    <x v="0"/>
    <x v="0"/>
    <x v="38"/>
    <n v="5"/>
    <n v="167259.44"/>
    <x v="1"/>
    <s v="Yes"/>
    <x v="1"/>
    <n v="22357.25"/>
    <x v="1"/>
    <n v="0.23882673717183101"/>
    <s v="No"/>
    <n v="0"/>
    <n v="0"/>
    <x v="0"/>
    <x v="3"/>
    <x v="3"/>
    <x v="4"/>
    <x v="2"/>
    <n v="1"/>
  </r>
  <r>
    <n v="700"/>
    <x v="2"/>
    <x v="0"/>
    <x v="27"/>
    <n v="4"/>
    <n v="119009.57"/>
    <x v="1"/>
    <s v="Yes"/>
    <x v="0"/>
    <n v="141926.43"/>
    <x v="1"/>
    <n v="8.7769614348643721E-2"/>
    <s v="No"/>
    <n v="0"/>
    <n v="0"/>
    <x v="1"/>
    <x v="2"/>
    <x v="0"/>
    <x v="0"/>
    <x v="0"/>
    <n v="1"/>
  </r>
  <r>
    <n v="619"/>
    <x v="0"/>
    <x v="1"/>
    <x v="18"/>
    <n v="3"/>
    <n v="141751.82"/>
    <x v="1"/>
    <s v="No"/>
    <x v="1"/>
    <n v="61531.86"/>
    <x v="1"/>
    <n v="8.6816754416056977E-2"/>
    <s v="No"/>
    <n v="0"/>
    <n v="0"/>
    <x v="1"/>
    <x v="1"/>
    <x v="0"/>
    <x v="0"/>
    <x v="3"/>
    <n v="1"/>
  </r>
  <r>
    <n v="693"/>
    <x v="1"/>
    <x v="0"/>
    <x v="1"/>
    <n v="2"/>
    <n v="116546.59"/>
    <x v="0"/>
    <s v="No"/>
    <x v="0"/>
    <n v="23140.28"/>
    <x v="0"/>
    <n v="0.43863320808968281"/>
    <s v="No"/>
    <n v="1"/>
    <n v="0"/>
    <x v="0"/>
    <x v="0"/>
    <x v="0"/>
    <x v="0"/>
    <x v="2"/>
    <n v="0"/>
  </r>
  <r>
    <n v="711"/>
    <x v="2"/>
    <x v="1"/>
    <x v="4"/>
    <n v="9"/>
    <n v="0"/>
    <x v="0"/>
    <s v="No"/>
    <x v="1"/>
    <n v="3234.8"/>
    <x v="1"/>
    <n v="3.8214184971111662E-2"/>
    <s v="No"/>
    <n v="0"/>
    <n v="0"/>
    <x v="1"/>
    <x v="2"/>
    <x v="1"/>
    <x v="2"/>
    <x v="2"/>
    <n v="1"/>
  </r>
  <r>
    <n v="606"/>
    <x v="2"/>
    <x v="0"/>
    <x v="18"/>
    <n v="10"/>
    <n v="0"/>
    <x v="0"/>
    <s v="Yes"/>
    <x v="0"/>
    <n v="195209.4"/>
    <x v="1"/>
    <n v="8.2632307820782416E-2"/>
    <s v="No"/>
    <n v="0"/>
    <n v="0"/>
    <x v="1"/>
    <x v="1"/>
    <x v="1"/>
    <x v="0"/>
    <x v="1"/>
    <n v="1"/>
  </r>
  <r>
    <n v="540"/>
    <x v="2"/>
    <x v="1"/>
    <x v="18"/>
    <n v="7"/>
    <n v="0"/>
    <x v="1"/>
    <s v="No"/>
    <x v="1"/>
    <n v="183051.6"/>
    <x v="0"/>
    <n v="6.2069472583071827E-2"/>
    <s v="No"/>
    <n v="1"/>
    <n v="0"/>
    <x v="1"/>
    <x v="1"/>
    <x v="1"/>
    <x v="1"/>
    <x v="1"/>
    <n v="0"/>
  </r>
  <r>
    <n v="619"/>
    <x v="1"/>
    <x v="0"/>
    <x v="6"/>
    <n v="3"/>
    <n v="147974.16"/>
    <x v="0"/>
    <s v="Yes"/>
    <x v="0"/>
    <n v="170518.83"/>
    <x v="1"/>
    <n v="0.40623669255831862"/>
    <s v="No"/>
    <n v="0"/>
    <n v="0"/>
    <x v="0"/>
    <x v="0"/>
    <x v="0"/>
    <x v="0"/>
    <x v="1"/>
    <n v="1"/>
  </r>
  <r>
    <n v="841"/>
    <x v="2"/>
    <x v="1"/>
    <x v="18"/>
    <n v="3"/>
    <n v="162701.65"/>
    <x v="0"/>
    <s v="Yes"/>
    <x v="1"/>
    <n v="126794.56"/>
    <x v="1"/>
    <n v="6.9767152175295014E-2"/>
    <s v="No"/>
    <n v="0"/>
    <n v="0"/>
    <x v="1"/>
    <x v="1"/>
    <x v="3"/>
    <x v="3"/>
    <x v="0"/>
    <n v="1"/>
  </r>
  <r>
    <n v="595"/>
    <x v="1"/>
    <x v="1"/>
    <x v="0"/>
    <n v="4"/>
    <n v="96553.52"/>
    <x v="0"/>
    <s v="Yes"/>
    <x v="0"/>
    <n v="143952.24"/>
    <x v="0"/>
    <n v="0.55936883987591546"/>
    <s v="Yes"/>
    <n v="1"/>
    <n v="1"/>
    <x v="2"/>
    <x v="0"/>
    <x v="2"/>
    <x v="1"/>
    <x v="0"/>
    <n v="1"/>
  </r>
  <r>
    <n v="669"/>
    <x v="2"/>
    <x v="0"/>
    <x v="32"/>
    <n v="9"/>
    <n v="201009.64"/>
    <x v="1"/>
    <s v="Yes"/>
    <x v="0"/>
    <n v="158032.5"/>
    <x v="0"/>
    <n v="0.39621029612907149"/>
    <s v="No"/>
    <n v="1"/>
    <n v="0"/>
    <x v="0"/>
    <x v="0"/>
    <x v="3"/>
    <x v="0"/>
    <x v="1"/>
    <n v="0"/>
  </r>
  <r>
    <n v="742"/>
    <x v="2"/>
    <x v="0"/>
    <x v="25"/>
    <n v="6"/>
    <n v="160485.16"/>
    <x v="1"/>
    <s v="Yes"/>
    <x v="0"/>
    <n v="29023.03"/>
    <x v="1"/>
    <n v="0.1276896925949377"/>
    <s v="No"/>
    <n v="0"/>
    <n v="0"/>
    <x v="1"/>
    <x v="1"/>
    <x v="3"/>
    <x v="2"/>
    <x v="2"/>
    <n v="1"/>
  </r>
  <r>
    <n v="850"/>
    <x v="1"/>
    <x v="0"/>
    <x v="3"/>
    <n v="6"/>
    <n v="84445.68"/>
    <x v="2"/>
    <s v="No"/>
    <x v="1"/>
    <n v="60021.34"/>
    <x v="0"/>
    <n v="0.12869139967614959"/>
    <s v="No"/>
    <n v="1"/>
    <n v="0"/>
    <x v="1"/>
    <x v="0"/>
    <x v="2"/>
    <x v="3"/>
    <x v="3"/>
    <n v="0"/>
  </r>
  <r>
    <n v="738"/>
    <x v="1"/>
    <x v="1"/>
    <x v="21"/>
    <n v="1"/>
    <n v="115409.18"/>
    <x v="0"/>
    <s v="No"/>
    <x v="0"/>
    <n v="180456.8"/>
    <x v="1"/>
    <n v="0.50112401896159287"/>
    <s v="Yes"/>
    <n v="0"/>
    <n v="1"/>
    <x v="2"/>
    <x v="1"/>
    <x v="0"/>
    <x v="2"/>
    <x v="1"/>
    <n v="0"/>
  </r>
  <r>
    <n v="628"/>
    <x v="2"/>
    <x v="1"/>
    <x v="32"/>
    <n v="4"/>
    <n v="143054.56"/>
    <x v="1"/>
    <s v="No"/>
    <x v="1"/>
    <n v="109608.81"/>
    <x v="0"/>
    <n v="0.2726070085583881"/>
    <s v="No"/>
    <n v="1"/>
    <n v="0"/>
    <x v="0"/>
    <x v="0"/>
    <x v="0"/>
    <x v="0"/>
    <x v="0"/>
    <n v="0"/>
  </r>
  <r>
    <n v="686"/>
    <x v="2"/>
    <x v="1"/>
    <x v="6"/>
    <n v="10"/>
    <n v="0"/>
    <x v="1"/>
    <s v="Yes"/>
    <x v="0"/>
    <n v="133086.45000000001"/>
    <x v="1"/>
    <n v="0.24857354791819081"/>
    <s v="No"/>
    <n v="0"/>
    <n v="0"/>
    <x v="0"/>
    <x v="0"/>
    <x v="1"/>
    <x v="0"/>
    <x v="0"/>
    <n v="1"/>
  </r>
  <r>
    <n v="671"/>
    <x v="0"/>
    <x v="1"/>
    <x v="18"/>
    <n v="4"/>
    <n v="0"/>
    <x v="0"/>
    <s v="No"/>
    <x v="1"/>
    <n v="79270.02"/>
    <x v="1"/>
    <n v="5.3656477955721413E-2"/>
    <s v="No"/>
    <n v="0"/>
    <n v="0"/>
    <x v="1"/>
    <x v="1"/>
    <x v="1"/>
    <x v="0"/>
    <x v="3"/>
    <n v="1"/>
  </r>
  <r>
    <n v="651"/>
    <x v="1"/>
    <x v="1"/>
    <x v="22"/>
    <n v="1"/>
    <n v="163700.78"/>
    <x v="2"/>
    <s v="Yes"/>
    <x v="1"/>
    <n v="29583.48"/>
    <x v="0"/>
    <n v="0.18389519907722809"/>
    <s v="No"/>
    <n v="1"/>
    <n v="0"/>
    <x v="1"/>
    <x v="1"/>
    <x v="3"/>
    <x v="0"/>
    <x v="2"/>
    <n v="0"/>
  </r>
  <r>
    <n v="464"/>
    <x v="2"/>
    <x v="0"/>
    <x v="2"/>
    <n v="3"/>
    <n v="116439.65"/>
    <x v="1"/>
    <s v="Yes"/>
    <x v="0"/>
    <n v="75574.48"/>
    <x v="1"/>
    <n v="0.21184067029618681"/>
    <s v="No"/>
    <n v="0"/>
    <n v="0"/>
    <x v="0"/>
    <x v="1"/>
    <x v="0"/>
    <x v="4"/>
    <x v="3"/>
    <n v="1"/>
  </r>
  <r>
    <n v="836"/>
    <x v="0"/>
    <x v="1"/>
    <x v="11"/>
    <n v="10"/>
    <n v="0"/>
    <x v="0"/>
    <s v="Yes"/>
    <x v="0"/>
    <n v="111324.41"/>
    <x v="1"/>
    <n v="0.1703118799970807"/>
    <s v="No"/>
    <n v="0"/>
    <n v="0"/>
    <x v="1"/>
    <x v="1"/>
    <x v="1"/>
    <x v="3"/>
    <x v="0"/>
    <n v="1"/>
  </r>
  <r>
    <n v="518"/>
    <x v="2"/>
    <x v="1"/>
    <x v="1"/>
    <n v="8"/>
    <n v="0"/>
    <x v="0"/>
    <s v="Yes"/>
    <x v="1"/>
    <n v="36193.07"/>
    <x v="1"/>
    <n v="0.12987519115381649"/>
    <s v="No"/>
    <n v="0"/>
    <n v="0"/>
    <x v="1"/>
    <x v="0"/>
    <x v="1"/>
    <x v="1"/>
    <x v="2"/>
    <n v="1"/>
  </r>
  <r>
    <n v="521"/>
    <x v="0"/>
    <x v="1"/>
    <x v="10"/>
    <n v="3"/>
    <n v="146408.68"/>
    <x v="1"/>
    <s v="No"/>
    <x v="0"/>
    <n v="72993.67"/>
    <x v="1"/>
    <n v="0.35778402474193921"/>
    <s v="No"/>
    <n v="0"/>
    <n v="0"/>
    <x v="0"/>
    <x v="1"/>
    <x v="0"/>
    <x v="1"/>
    <x v="3"/>
    <n v="1"/>
  </r>
  <r>
    <n v="697"/>
    <x v="2"/>
    <x v="1"/>
    <x v="1"/>
    <n v="1"/>
    <n v="0"/>
    <x v="0"/>
    <s v="Yes"/>
    <x v="0"/>
    <n v="46807.62"/>
    <x v="0"/>
    <n v="0.31181025867758633"/>
    <s v="No"/>
    <n v="1"/>
    <n v="0"/>
    <x v="0"/>
    <x v="0"/>
    <x v="1"/>
    <x v="0"/>
    <x v="2"/>
    <n v="0"/>
  </r>
  <r>
    <n v="709"/>
    <x v="2"/>
    <x v="1"/>
    <x v="1"/>
    <n v="3"/>
    <n v="104118.5"/>
    <x v="1"/>
    <s v="No"/>
    <x v="1"/>
    <n v="174032"/>
    <x v="1"/>
    <n v="0.18960744130074481"/>
    <s v="No"/>
    <n v="0"/>
    <n v="0"/>
    <x v="1"/>
    <x v="0"/>
    <x v="0"/>
    <x v="2"/>
    <x v="1"/>
    <n v="1"/>
  </r>
  <r>
    <n v="433"/>
    <x v="0"/>
    <x v="0"/>
    <x v="29"/>
    <n v="2"/>
    <n v="0"/>
    <x v="0"/>
    <s v="Yes"/>
    <x v="1"/>
    <n v="153698.65"/>
    <x v="1"/>
    <n v="2.9321542167776181E-2"/>
    <s v="No"/>
    <n v="0"/>
    <n v="0"/>
    <x v="1"/>
    <x v="2"/>
    <x v="1"/>
    <x v="4"/>
    <x v="1"/>
    <n v="1"/>
  </r>
  <r>
    <n v="656"/>
    <x v="2"/>
    <x v="1"/>
    <x v="24"/>
    <n v="4"/>
    <n v="74323.199999999997"/>
    <x v="1"/>
    <s v="Yes"/>
    <x v="1"/>
    <n v="22929.08"/>
    <x v="1"/>
    <n v="6.0680713696758759E-2"/>
    <s v="No"/>
    <n v="0"/>
    <n v="0"/>
    <x v="1"/>
    <x v="2"/>
    <x v="2"/>
    <x v="0"/>
    <x v="2"/>
    <n v="1"/>
  </r>
  <r>
    <n v="525"/>
    <x v="0"/>
    <x v="1"/>
    <x v="24"/>
    <n v="5"/>
    <n v="0"/>
    <x v="0"/>
    <s v="No"/>
    <x v="1"/>
    <n v="149195.44"/>
    <x v="1"/>
    <n v="5.6063007996674033E-2"/>
    <s v="No"/>
    <n v="0"/>
    <n v="0"/>
    <x v="1"/>
    <x v="2"/>
    <x v="1"/>
    <x v="1"/>
    <x v="0"/>
    <n v="1"/>
  </r>
  <r>
    <n v="577"/>
    <x v="2"/>
    <x v="1"/>
    <x v="25"/>
    <n v="1"/>
    <n v="0"/>
    <x v="0"/>
    <s v="Yes"/>
    <x v="0"/>
    <n v="9902.39"/>
    <x v="1"/>
    <n v="0.15562481688915741"/>
    <s v="No"/>
    <n v="0"/>
    <n v="0"/>
    <x v="1"/>
    <x v="1"/>
    <x v="1"/>
    <x v="1"/>
    <x v="2"/>
    <n v="1"/>
  </r>
  <r>
    <n v="581"/>
    <x v="1"/>
    <x v="0"/>
    <x v="2"/>
    <n v="1"/>
    <n v="133105.47"/>
    <x v="1"/>
    <s v="Yes"/>
    <x v="0"/>
    <n v="105732.9"/>
    <x v="0"/>
    <n v="0.37594119505365647"/>
    <s v="No"/>
    <n v="1"/>
    <n v="0"/>
    <x v="0"/>
    <x v="1"/>
    <x v="0"/>
    <x v="1"/>
    <x v="0"/>
    <n v="0"/>
  </r>
  <r>
    <n v="685"/>
    <x v="0"/>
    <x v="0"/>
    <x v="2"/>
    <n v="4"/>
    <n v="0"/>
    <x v="0"/>
    <s v="Yes"/>
    <x v="1"/>
    <n v="35884.910000000003"/>
    <x v="1"/>
    <n v="4.8999533676979692E-2"/>
    <s v="No"/>
    <n v="0"/>
    <n v="0"/>
    <x v="1"/>
    <x v="1"/>
    <x v="1"/>
    <x v="0"/>
    <x v="2"/>
    <n v="1"/>
  </r>
  <r>
    <n v="647"/>
    <x v="1"/>
    <x v="0"/>
    <x v="22"/>
    <n v="3"/>
    <n v="192407.97"/>
    <x v="1"/>
    <s v="Yes"/>
    <x v="1"/>
    <n v="40145.279999999999"/>
    <x v="1"/>
    <n v="0.14345052287403251"/>
    <s v="No"/>
    <n v="0"/>
    <n v="0"/>
    <x v="1"/>
    <x v="1"/>
    <x v="3"/>
    <x v="0"/>
    <x v="2"/>
    <n v="1"/>
  </r>
  <r>
    <n v="785"/>
    <x v="1"/>
    <x v="1"/>
    <x v="2"/>
    <n v="9"/>
    <n v="107199.75"/>
    <x v="1"/>
    <s v="No"/>
    <x v="0"/>
    <n v="146398.51"/>
    <x v="1"/>
    <n v="0.43264877586569211"/>
    <s v="No"/>
    <n v="0"/>
    <n v="0"/>
    <x v="0"/>
    <x v="1"/>
    <x v="0"/>
    <x v="2"/>
    <x v="0"/>
    <n v="1"/>
  </r>
  <r>
    <n v="823"/>
    <x v="2"/>
    <x v="0"/>
    <x v="11"/>
    <n v="5"/>
    <n v="164858.18"/>
    <x v="1"/>
    <s v="Yes"/>
    <x v="1"/>
    <n v="173516.71"/>
    <x v="1"/>
    <n v="7.0073598428209372E-2"/>
    <s v="No"/>
    <n v="0"/>
    <n v="0"/>
    <x v="1"/>
    <x v="1"/>
    <x v="3"/>
    <x v="3"/>
    <x v="1"/>
    <n v="1"/>
  </r>
  <r>
    <n v="687"/>
    <x v="1"/>
    <x v="0"/>
    <x v="2"/>
    <n v="4"/>
    <n v="117633.28"/>
    <x v="1"/>
    <s v="No"/>
    <x v="1"/>
    <n v="88396.6"/>
    <x v="1"/>
    <n v="0.1484241768037502"/>
    <s v="No"/>
    <n v="0"/>
    <n v="0"/>
    <x v="1"/>
    <x v="1"/>
    <x v="0"/>
    <x v="0"/>
    <x v="3"/>
    <n v="1"/>
  </r>
  <r>
    <n v="850"/>
    <x v="2"/>
    <x v="1"/>
    <x v="17"/>
    <n v="9"/>
    <n v="0"/>
    <x v="0"/>
    <s v="Yes"/>
    <x v="0"/>
    <n v="185821.41"/>
    <x v="1"/>
    <n v="9.6563398060233105E-2"/>
    <s v="No"/>
    <n v="0"/>
    <n v="0"/>
    <x v="1"/>
    <x v="2"/>
    <x v="1"/>
    <x v="3"/>
    <x v="1"/>
    <n v="1"/>
  </r>
  <r>
    <n v="527"/>
    <x v="1"/>
    <x v="1"/>
    <x v="24"/>
    <n v="6"/>
    <n v="126663.51"/>
    <x v="1"/>
    <s v="Yes"/>
    <x v="1"/>
    <n v="162267.91"/>
    <x v="1"/>
    <n v="0.1560693397872599"/>
    <s v="No"/>
    <n v="0"/>
    <n v="0"/>
    <x v="1"/>
    <x v="2"/>
    <x v="0"/>
    <x v="1"/>
    <x v="1"/>
    <n v="1"/>
  </r>
  <r>
    <n v="576"/>
    <x v="1"/>
    <x v="1"/>
    <x v="60"/>
    <n v="6"/>
    <n v="140273.47"/>
    <x v="1"/>
    <s v="Yes"/>
    <x v="1"/>
    <n v="193135.25"/>
    <x v="0"/>
    <n v="0.79650113157896962"/>
    <s v="Yes"/>
    <n v="1"/>
    <n v="1"/>
    <x v="2"/>
    <x v="4"/>
    <x v="0"/>
    <x v="1"/>
    <x v="1"/>
    <n v="1"/>
  </r>
  <r>
    <n v="525"/>
    <x v="0"/>
    <x v="1"/>
    <x v="37"/>
    <n v="7"/>
    <n v="0"/>
    <x v="0"/>
    <s v="No"/>
    <x v="1"/>
    <n v="168034.9"/>
    <x v="1"/>
    <n v="0.34687035299177971"/>
    <s v="No"/>
    <n v="0"/>
    <n v="0"/>
    <x v="0"/>
    <x v="3"/>
    <x v="1"/>
    <x v="1"/>
    <x v="1"/>
    <n v="1"/>
  </r>
  <r>
    <n v="625"/>
    <x v="2"/>
    <x v="0"/>
    <x v="10"/>
    <n v="5"/>
    <n v="0"/>
    <x v="1"/>
    <s v="Yes"/>
    <x v="0"/>
    <n v="99800.87"/>
    <x v="1"/>
    <n v="0.15720863091863571"/>
    <s v="No"/>
    <n v="0"/>
    <n v="0"/>
    <x v="1"/>
    <x v="1"/>
    <x v="1"/>
    <x v="0"/>
    <x v="3"/>
    <n v="1"/>
  </r>
  <r>
    <n v="539"/>
    <x v="0"/>
    <x v="0"/>
    <x v="17"/>
    <n v="5"/>
    <n v="0"/>
    <x v="0"/>
    <s v="Yes"/>
    <x v="0"/>
    <n v="48382.400000000001"/>
    <x v="1"/>
    <n v="7.3953728965747936E-2"/>
    <s v="No"/>
    <n v="0"/>
    <n v="0"/>
    <x v="1"/>
    <x v="2"/>
    <x v="1"/>
    <x v="1"/>
    <x v="2"/>
    <n v="1"/>
  </r>
  <r>
    <n v="696"/>
    <x v="0"/>
    <x v="1"/>
    <x v="24"/>
    <n v="0"/>
    <n v="0"/>
    <x v="0"/>
    <s v="Yes"/>
    <x v="1"/>
    <n v="9002.7999999999993"/>
    <x v="1"/>
    <n v="4.9562859600722133E-2"/>
    <s v="No"/>
    <n v="0"/>
    <n v="0"/>
    <x v="1"/>
    <x v="2"/>
    <x v="1"/>
    <x v="0"/>
    <x v="2"/>
    <n v="1"/>
  </r>
  <r>
    <n v="601"/>
    <x v="0"/>
    <x v="0"/>
    <x v="23"/>
    <n v="7"/>
    <n v="0"/>
    <x v="0"/>
    <s v="No"/>
    <x v="0"/>
    <n v="144660.42000000001"/>
    <x v="1"/>
    <n v="5.6259415371236438E-2"/>
    <s v="No"/>
    <n v="0"/>
    <n v="0"/>
    <x v="1"/>
    <x v="2"/>
    <x v="1"/>
    <x v="0"/>
    <x v="0"/>
    <n v="1"/>
  </r>
  <r>
    <n v="554"/>
    <x v="2"/>
    <x v="1"/>
    <x v="22"/>
    <n v="10"/>
    <n v="74988.59"/>
    <x v="0"/>
    <s v="No"/>
    <x v="1"/>
    <n v="190155.13"/>
    <x v="1"/>
    <n v="8.3647695347361106E-2"/>
    <s v="No"/>
    <n v="0"/>
    <n v="0"/>
    <x v="1"/>
    <x v="1"/>
    <x v="2"/>
    <x v="1"/>
    <x v="1"/>
    <n v="1"/>
  </r>
  <r>
    <n v="774"/>
    <x v="2"/>
    <x v="1"/>
    <x v="35"/>
    <n v="6"/>
    <n v="94722.880000000005"/>
    <x v="1"/>
    <s v="No"/>
    <x v="1"/>
    <n v="61450.96"/>
    <x v="1"/>
    <n v="0.18298118924259391"/>
    <s v="No"/>
    <n v="0"/>
    <n v="0"/>
    <x v="1"/>
    <x v="0"/>
    <x v="2"/>
    <x v="2"/>
    <x v="3"/>
    <n v="1"/>
  </r>
  <r>
    <n v="792"/>
    <x v="2"/>
    <x v="0"/>
    <x v="18"/>
    <n v="6"/>
    <n v="71269.89"/>
    <x v="0"/>
    <s v="No"/>
    <x v="1"/>
    <n v="125912.77"/>
    <x v="1"/>
    <n v="3.3296638533023087E-2"/>
    <s v="No"/>
    <n v="0"/>
    <n v="0"/>
    <x v="1"/>
    <x v="1"/>
    <x v="2"/>
    <x v="2"/>
    <x v="0"/>
    <n v="1"/>
  </r>
  <r>
    <n v="748"/>
    <x v="2"/>
    <x v="1"/>
    <x v="6"/>
    <n v="2"/>
    <n v="91621.69"/>
    <x v="1"/>
    <s v="Yes"/>
    <x v="1"/>
    <n v="71139.31"/>
    <x v="1"/>
    <n v="0.13262829403922821"/>
    <s v="No"/>
    <n v="0"/>
    <n v="0"/>
    <x v="1"/>
    <x v="0"/>
    <x v="2"/>
    <x v="2"/>
    <x v="3"/>
    <n v="1"/>
  </r>
  <r>
    <n v="661"/>
    <x v="2"/>
    <x v="0"/>
    <x v="27"/>
    <n v="8"/>
    <n v="0"/>
    <x v="0"/>
    <s v="No"/>
    <x v="0"/>
    <n v="196875.87"/>
    <x v="1"/>
    <n v="6.0515627254081092E-2"/>
    <s v="No"/>
    <n v="0"/>
    <n v="0"/>
    <x v="1"/>
    <x v="2"/>
    <x v="1"/>
    <x v="0"/>
    <x v="1"/>
    <n v="1"/>
  </r>
  <r>
    <n v="647"/>
    <x v="2"/>
    <x v="0"/>
    <x v="25"/>
    <n v="5"/>
    <n v="97041.16"/>
    <x v="1"/>
    <s v="Yes"/>
    <x v="1"/>
    <n v="23132.73"/>
    <x v="1"/>
    <n v="4.3372893484029541E-2"/>
    <s v="No"/>
    <n v="0"/>
    <n v="0"/>
    <x v="1"/>
    <x v="1"/>
    <x v="2"/>
    <x v="0"/>
    <x v="2"/>
    <n v="1"/>
  </r>
  <r>
    <n v="575"/>
    <x v="2"/>
    <x v="0"/>
    <x v="23"/>
    <n v="2"/>
    <n v="0"/>
    <x v="0"/>
    <s v="Yes"/>
    <x v="1"/>
    <n v="119927.81"/>
    <x v="1"/>
    <n v="2.0286983653236671E-2"/>
    <s v="No"/>
    <n v="0"/>
    <n v="0"/>
    <x v="1"/>
    <x v="2"/>
    <x v="1"/>
    <x v="1"/>
    <x v="0"/>
    <n v="1"/>
  </r>
  <r>
    <n v="850"/>
    <x v="2"/>
    <x v="0"/>
    <x v="28"/>
    <n v="3"/>
    <n v="0"/>
    <x v="0"/>
    <s v="Yes"/>
    <x v="0"/>
    <n v="195033.07"/>
    <x v="1"/>
    <n v="0.11228066232884749"/>
    <s v="No"/>
    <n v="0"/>
    <n v="0"/>
    <x v="1"/>
    <x v="1"/>
    <x v="1"/>
    <x v="3"/>
    <x v="1"/>
    <n v="1"/>
  </r>
  <r>
    <n v="589"/>
    <x v="2"/>
    <x v="1"/>
    <x v="11"/>
    <n v="6"/>
    <n v="138497.84"/>
    <x v="1"/>
    <s v="No"/>
    <x v="1"/>
    <n v="18988.580000000002"/>
    <x v="1"/>
    <n v="0.117281337156819"/>
    <s v="No"/>
    <n v="0"/>
    <n v="0"/>
    <x v="1"/>
    <x v="1"/>
    <x v="0"/>
    <x v="1"/>
    <x v="2"/>
    <n v="1"/>
  </r>
  <r>
    <n v="605"/>
    <x v="0"/>
    <x v="0"/>
    <x v="35"/>
    <n v="7"/>
    <n v="142643.54"/>
    <x v="1"/>
    <s v="Yes"/>
    <x v="0"/>
    <n v="189310.27"/>
    <x v="1"/>
    <n v="0.34192542591815578"/>
    <s v="No"/>
    <n v="0"/>
    <n v="0"/>
    <x v="0"/>
    <x v="0"/>
    <x v="0"/>
    <x v="0"/>
    <x v="1"/>
    <n v="1"/>
  </r>
  <r>
    <n v="827"/>
    <x v="2"/>
    <x v="0"/>
    <x v="2"/>
    <n v="5"/>
    <n v="0"/>
    <x v="0"/>
    <s v="No"/>
    <x v="0"/>
    <n v="103305.01"/>
    <x v="1"/>
    <n v="0.1232048071150427"/>
    <s v="No"/>
    <n v="0"/>
    <n v="0"/>
    <x v="1"/>
    <x v="1"/>
    <x v="1"/>
    <x v="3"/>
    <x v="0"/>
    <n v="1"/>
  </r>
  <r>
    <n v="703"/>
    <x v="2"/>
    <x v="1"/>
    <x v="3"/>
    <n v="7"/>
    <n v="0"/>
    <x v="0"/>
    <s v="No"/>
    <x v="1"/>
    <n v="72500.679999999993"/>
    <x v="1"/>
    <n v="0.1015784747596476"/>
    <s v="No"/>
    <n v="0"/>
    <n v="0"/>
    <x v="1"/>
    <x v="0"/>
    <x v="1"/>
    <x v="2"/>
    <x v="3"/>
    <n v="1"/>
  </r>
  <r>
    <n v="827"/>
    <x v="0"/>
    <x v="1"/>
    <x v="22"/>
    <n v="0"/>
    <n v="0"/>
    <x v="0"/>
    <s v="No"/>
    <x v="1"/>
    <n v="184514.01"/>
    <x v="1"/>
    <n v="7.283050550983558E-2"/>
    <s v="No"/>
    <n v="0"/>
    <n v="0"/>
    <x v="1"/>
    <x v="1"/>
    <x v="1"/>
    <x v="3"/>
    <x v="1"/>
    <n v="1"/>
  </r>
  <r>
    <n v="654"/>
    <x v="2"/>
    <x v="0"/>
    <x v="28"/>
    <n v="2"/>
    <n v="112262.84"/>
    <x v="1"/>
    <s v="Yes"/>
    <x v="0"/>
    <n v="12873.39"/>
    <x v="1"/>
    <n v="0.1652722698987257"/>
    <s v="No"/>
    <n v="0"/>
    <n v="0"/>
    <x v="1"/>
    <x v="1"/>
    <x v="0"/>
    <x v="0"/>
    <x v="2"/>
    <n v="1"/>
  </r>
  <r>
    <n v="654"/>
    <x v="0"/>
    <x v="1"/>
    <x v="28"/>
    <n v="5"/>
    <n v="0"/>
    <x v="0"/>
    <s v="No"/>
    <x v="0"/>
    <n v="157238.04999999999"/>
    <x v="1"/>
    <n v="0.20188277883215461"/>
    <s v="No"/>
    <n v="0"/>
    <n v="0"/>
    <x v="0"/>
    <x v="1"/>
    <x v="1"/>
    <x v="0"/>
    <x v="1"/>
    <n v="1"/>
  </r>
  <r>
    <n v="633"/>
    <x v="2"/>
    <x v="1"/>
    <x v="37"/>
    <n v="8"/>
    <n v="69365.25"/>
    <x v="1"/>
    <s v="Yes"/>
    <x v="1"/>
    <n v="10288.24"/>
    <x v="1"/>
    <n v="0.35368387287093839"/>
    <s v="No"/>
    <n v="0"/>
    <n v="0"/>
    <x v="0"/>
    <x v="3"/>
    <x v="2"/>
    <x v="0"/>
    <x v="2"/>
    <n v="1"/>
  </r>
  <r>
    <n v="454"/>
    <x v="0"/>
    <x v="1"/>
    <x v="20"/>
    <n v="5"/>
    <n v="144837.79"/>
    <x v="1"/>
    <s v="Yes"/>
    <x v="1"/>
    <n v="93151.77"/>
    <x v="1"/>
    <n v="0.26364273482566059"/>
    <s v="No"/>
    <n v="0"/>
    <n v="0"/>
    <x v="0"/>
    <x v="0"/>
    <x v="0"/>
    <x v="4"/>
    <x v="3"/>
    <n v="1"/>
  </r>
  <r>
    <n v="637"/>
    <x v="2"/>
    <x v="0"/>
    <x v="29"/>
    <n v="9"/>
    <n v="128940.24"/>
    <x v="1"/>
    <s v="Yes"/>
    <x v="0"/>
    <n v="46786.92"/>
    <x v="1"/>
    <n v="8.7066077498654096E-2"/>
    <s v="No"/>
    <n v="0"/>
    <n v="0"/>
    <x v="1"/>
    <x v="2"/>
    <x v="0"/>
    <x v="0"/>
    <x v="2"/>
    <n v="1"/>
  </r>
  <r>
    <n v="725"/>
    <x v="2"/>
    <x v="1"/>
    <x v="18"/>
    <n v="6"/>
    <n v="0"/>
    <x v="1"/>
    <s v="No"/>
    <x v="0"/>
    <n v="61326.43"/>
    <x v="1"/>
    <n v="0.14161389734657021"/>
    <s v="No"/>
    <n v="0"/>
    <n v="0"/>
    <x v="1"/>
    <x v="1"/>
    <x v="1"/>
    <x v="2"/>
    <x v="3"/>
    <n v="1"/>
  </r>
  <r>
    <n v="787"/>
    <x v="0"/>
    <x v="0"/>
    <x v="10"/>
    <n v="10"/>
    <n v="108935.39"/>
    <x v="1"/>
    <s v="Yes"/>
    <x v="1"/>
    <n v="101168.3"/>
    <x v="1"/>
    <n v="6.5462063890523475E-2"/>
    <s v="No"/>
    <n v="0"/>
    <n v="0"/>
    <x v="1"/>
    <x v="1"/>
    <x v="0"/>
    <x v="2"/>
    <x v="0"/>
    <n v="1"/>
  </r>
  <r>
    <n v="436"/>
    <x v="1"/>
    <x v="0"/>
    <x v="1"/>
    <n v="3"/>
    <n v="104339.11"/>
    <x v="0"/>
    <s v="Yes"/>
    <x v="1"/>
    <n v="183540.22"/>
    <x v="0"/>
    <n v="0.24002345774758471"/>
    <s v="No"/>
    <n v="1"/>
    <n v="0"/>
    <x v="0"/>
    <x v="0"/>
    <x v="0"/>
    <x v="4"/>
    <x v="1"/>
    <n v="0"/>
  </r>
  <r>
    <n v="578"/>
    <x v="2"/>
    <x v="0"/>
    <x v="10"/>
    <n v="2"/>
    <n v="0"/>
    <x v="0"/>
    <s v="Yes"/>
    <x v="0"/>
    <n v="70563.899999999994"/>
    <x v="1"/>
    <n v="0.15352575441846161"/>
    <s v="No"/>
    <n v="0"/>
    <n v="0"/>
    <x v="1"/>
    <x v="1"/>
    <x v="1"/>
    <x v="1"/>
    <x v="3"/>
    <n v="1"/>
  </r>
  <r>
    <n v="599"/>
    <x v="2"/>
    <x v="1"/>
    <x v="12"/>
    <n v="4"/>
    <n v="0"/>
    <x v="1"/>
    <s v="Yes"/>
    <x v="0"/>
    <n v="170347.1"/>
    <x v="1"/>
    <n v="0.31898438285559888"/>
    <s v="No"/>
    <n v="0"/>
    <n v="0"/>
    <x v="0"/>
    <x v="0"/>
    <x v="1"/>
    <x v="1"/>
    <x v="1"/>
    <n v="1"/>
  </r>
  <r>
    <n v="825"/>
    <x v="2"/>
    <x v="1"/>
    <x v="28"/>
    <n v="3"/>
    <n v="146053.66"/>
    <x v="1"/>
    <s v="Yes"/>
    <x v="1"/>
    <n v="138344.70000000001"/>
    <x v="1"/>
    <n v="0.1050525955149987"/>
    <s v="No"/>
    <n v="0"/>
    <n v="0"/>
    <x v="1"/>
    <x v="1"/>
    <x v="0"/>
    <x v="3"/>
    <x v="0"/>
    <n v="1"/>
  </r>
  <r>
    <n v="515"/>
    <x v="0"/>
    <x v="0"/>
    <x v="4"/>
    <n v="4"/>
    <n v="151012.54999999999"/>
    <x v="0"/>
    <s v="Yes"/>
    <x v="0"/>
    <n v="9770.9699999999993"/>
    <x v="1"/>
    <n v="0.1143257580580772"/>
    <s v="No"/>
    <n v="0"/>
    <n v="0"/>
    <x v="1"/>
    <x v="2"/>
    <x v="3"/>
    <x v="1"/>
    <x v="2"/>
    <n v="1"/>
  </r>
  <r>
    <n v="663"/>
    <x v="0"/>
    <x v="1"/>
    <x v="50"/>
    <n v="5"/>
    <n v="216109.88"/>
    <x v="1"/>
    <s v="No"/>
    <x v="1"/>
    <n v="74176.710000000006"/>
    <x v="0"/>
    <n v="0.44384655097052927"/>
    <s v="No"/>
    <n v="1"/>
    <n v="0"/>
    <x v="0"/>
    <x v="3"/>
    <x v="3"/>
    <x v="0"/>
    <x v="3"/>
    <n v="0"/>
  </r>
  <r>
    <n v="444"/>
    <x v="2"/>
    <x v="0"/>
    <x v="19"/>
    <n v="2"/>
    <n v="144318.97"/>
    <x v="1"/>
    <s v="Yes"/>
    <x v="0"/>
    <n v="112668.06"/>
    <x v="1"/>
    <n v="0.18494548924339349"/>
    <s v="No"/>
    <n v="0"/>
    <n v="0"/>
    <x v="1"/>
    <x v="1"/>
    <x v="0"/>
    <x v="4"/>
    <x v="0"/>
    <n v="1"/>
  </r>
  <r>
    <n v="650"/>
    <x v="2"/>
    <x v="1"/>
    <x v="10"/>
    <n v="4"/>
    <n v="0"/>
    <x v="0"/>
    <s v="No"/>
    <x v="0"/>
    <n v="186275.7"/>
    <x v="1"/>
    <n v="0.24008568803222591"/>
    <s v="No"/>
    <n v="0"/>
    <n v="0"/>
    <x v="0"/>
    <x v="1"/>
    <x v="1"/>
    <x v="0"/>
    <x v="1"/>
    <n v="1"/>
  </r>
  <r>
    <n v="699"/>
    <x v="1"/>
    <x v="1"/>
    <x v="7"/>
    <n v="2"/>
    <n v="92246.14"/>
    <x v="0"/>
    <s v="No"/>
    <x v="1"/>
    <n v="91346.03"/>
    <x v="1"/>
    <n v="0.40754537763426441"/>
    <s v="No"/>
    <n v="0"/>
    <n v="0"/>
    <x v="0"/>
    <x v="3"/>
    <x v="2"/>
    <x v="0"/>
    <x v="3"/>
    <n v="1"/>
  </r>
  <r>
    <n v="555"/>
    <x v="1"/>
    <x v="1"/>
    <x v="7"/>
    <n v="9"/>
    <n v="138214.5"/>
    <x v="1"/>
    <s v="Yes"/>
    <x v="0"/>
    <n v="198715.27"/>
    <x v="0"/>
    <n v="0.71657454899888884"/>
    <s v="Yes"/>
    <n v="1"/>
    <n v="1"/>
    <x v="2"/>
    <x v="3"/>
    <x v="0"/>
    <x v="1"/>
    <x v="1"/>
    <n v="1"/>
  </r>
  <r>
    <n v="684"/>
    <x v="0"/>
    <x v="1"/>
    <x v="23"/>
    <n v="9"/>
    <n v="79263.899999999994"/>
    <x v="1"/>
    <s v="No"/>
    <x v="1"/>
    <n v="196574.48"/>
    <x v="1"/>
    <n v="4.2240421838544803E-2"/>
    <s v="No"/>
    <n v="0"/>
    <n v="0"/>
    <x v="1"/>
    <x v="2"/>
    <x v="2"/>
    <x v="0"/>
    <x v="1"/>
    <n v="1"/>
  </r>
  <r>
    <n v="812"/>
    <x v="0"/>
    <x v="0"/>
    <x v="2"/>
    <n v="3"/>
    <n v="127117.8"/>
    <x v="0"/>
    <s v="Yes"/>
    <x v="1"/>
    <n v="174822.74"/>
    <x v="1"/>
    <n v="6.7443044419323875E-2"/>
    <s v="No"/>
    <n v="0"/>
    <n v="0"/>
    <x v="1"/>
    <x v="1"/>
    <x v="0"/>
    <x v="3"/>
    <x v="1"/>
    <n v="1"/>
  </r>
  <r>
    <n v="473"/>
    <x v="2"/>
    <x v="1"/>
    <x v="10"/>
    <n v="9"/>
    <n v="117103.26"/>
    <x v="0"/>
    <s v="Yes"/>
    <x v="1"/>
    <n v="85937.52"/>
    <x v="0"/>
    <n v="0.1188551078672881"/>
    <s v="No"/>
    <n v="1"/>
    <n v="0"/>
    <x v="1"/>
    <x v="1"/>
    <x v="0"/>
    <x v="4"/>
    <x v="3"/>
    <n v="0"/>
  </r>
  <r>
    <n v="717"/>
    <x v="0"/>
    <x v="0"/>
    <x v="28"/>
    <n v="2"/>
    <n v="102989.83"/>
    <x v="0"/>
    <s v="No"/>
    <x v="1"/>
    <n v="49185.57"/>
    <x v="1"/>
    <n v="5.7884084301985932E-2"/>
    <s v="No"/>
    <n v="0"/>
    <n v="0"/>
    <x v="1"/>
    <x v="1"/>
    <x v="0"/>
    <x v="2"/>
    <x v="2"/>
    <n v="1"/>
  </r>
  <r>
    <n v="638"/>
    <x v="1"/>
    <x v="1"/>
    <x v="5"/>
    <n v="5"/>
    <n v="129335.65"/>
    <x v="1"/>
    <s v="Yes"/>
    <x v="1"/>
    <n v="56585.2"/>
    <x v="0"/>
    <n v="0.17149736211957239"/>
    <s v="No"/>
    <n v="1"/>
    <n v="0"/>
    <x v="1"/>
    <x v="1"/>
    <x v="0"/>
    <x v="0"/>
    <x v="3"/>
    <n v="0"/>
  </r>
  <r>
    <n v="728"/>
    <x v="1"/>
    <x v="1"/>
    <x v="25"/>
    <n v="9"/>
    <n v="127772.1"/>
    <x v="0"/>
    <s v="Yes"/>
    <x v="1"/>
    <n v="152643.48000000001"/>
    <x v="1"/>
    <n v="0.13652857689308751"/>
    <s v="No"/>
    <n v="0"/>
    <n v="0"/>
    <x v="1"/>
    <x v="1"/>
    <x v="0"/>
    <x v="2"/>
    <x v="1"/>
    <n v="1"/>
  </r>
  <r>
    <n v="825"/>
    <x v="1"/>
    <x v="0"/>
    <x v="11"/>
    <n v="6"/>
    <n v="118050.79"/>
    <x v="1"/>
    <s v="No"/>
    <x v="1"/>
    <n v="52301.15"/>
    <x v="1"/>
    <n v="0.1218275668235651"/>
    <s v="No"/>
    <n v="0"/>
    <n v="0"/>
    <x v="1"/>
    <x v="1"/>
    <x v="0"/>
    <x v="3"/>
    <x v="3"/>
    <n v="1"/>
  </r>
  <r>
    <n v="487"/>
    <x v="0"/>
    <x v="1"/>
    <x v="21"/>
    <n v="6"/>
    <n v="136093.74"/>
    <x v="1"/>
    <s v="No"/>
    <x v="1"/>
    <n v="193408.43"/>
    <x v="1"/>
    <n v="0.16853329317711191"/>
    <s v="No"/>
    <n v="0"/>
    <n v="0"/>
    <x v="1"/>
    <x v="1"/>
    <x v="0"/>
    <x v="4"/>
    <x v="1"/>
    <n v="1"/>
  </r>
  <r>
    <n v="693"/>
    <x v="1"/>
    <x v="0"/>
    <x v="16"/>
    <n v="2"/>
    <n v="104763.41"/>
    <x v="1"/>
    <s v="Yes"/>
    <x v="1"/>
    <n v="62368.33"/>
    <x v="1"/>
    <n v="0.2315144101413576"/>
    <s v="No"/>
    <n v="0"/>
    <n v="0"/>
    <x v="0"/>
    <x v="0"/>
    <x v="0"/>
    <x v="0"/>
    <x v="3"/>
    <n v="1"/>
  </r>
  <r>
    <n v="692"/>
    <x v="2"/>
    <x v="1"/>
    <x v="24"/>
    <n v="7"/>
    <n v="0"/>
    <x v="0"/>
    <s v="Yes"/>
    <x v="1"/>
    <n v="18826.34"/>
    <x v="1"/>
    <n v="4.2194576745440589E-2"/>
    <s v="No"/>
    <n v="0"/>
    <n v="0"/>
    <x v="1"/>
    <x v="2"/>
    <x v="1"/>
    <x v="0"/>
    <x v="2"/>
    <n v="1"/>
  </r>
  <r>
    <n v="614"/>
    <x v="2"/>
    <x v="1"/>
    <x v="22"/>
    <n v="1"/>
    <n v="0"/>
    <x v="0"/>
    <s v="Yes"/>
    <x v="1"/>
    <n v="3342.62"/>
    <x v="1"/>
    <n v="6.9893779851574703E-2"/>
    <s v="No"/>
    <n v="0"/>
    <n v="0"/>
    <x v="1"/>
    <x v="1"/>
    <x v="1"/>
    <x v="0"/>
    <x v="2"/>
    <n v="1"/>
  </r>
  <r>
    <n v="709"/>
    <x v="1"/>
    <x v="0"/>
    <x v="24"/>
    <n v="9"/>
    <n v="115479.48"/>
    <x v="0"/>
    <s v="Yes"/>
    <x v="1"/>
    <n v="134732.99"/>
    <x v="1"/>
    <n v="7.1186003955739569E-2"/>
    <s v="No"/>
    <n v="0"/>
    <n v="0"/>
    <x v="1"/>
    <x v="2"/>
    <x v="0"/>
    <x v="2"/>
    <x v="0"/>
    <n v="1"/>
  </r>
  <r>
    <n v="546"/>
    <x v="1"/>
    <x v="1"/>
    <x v="3"/>
    <n v="9"/>
    <n v="86351.85"/>
    <x v="0"/>
    <s v="Yes"/>
    <x v="0"/>
    <n v="57380.13"/>
    <x v="1"/>
    <n v="0.48768361008117328"/>
    <s v="No"/>
    <n v="0"/>
    <n v="0"/>
    <x v="0"/>
    <x v="0"/>
    <x v="2"/>
    <x v="1"/>
    <x v="3"/>
    <n v="1"/>
  </r>
  <r>
    <n v="779"/>
    <x v="2"/>
    <x v="1"/>
    <x v="3"/>
    <n v="5"/>
    <n v="0"/>
    <x v="0"/>
    <s v="No"/>
    <x v="0"/>
    <n v="25951.91"/>
    <x v="1"/>
    <n v="0.2443410339789725"/>
    <s v="No"/>
    <n v="0"/>
    <n v="0"/>
    <x v="0"/>
    <x v="0"/>
    <x v="1"/>
    <x v="2"/>
    <x v="2"/>
    <n v="1"/>
  </r>
  <r>
    <n v="664"/>
    <x v="2"/>
    <x v="0"/>
    <x v="21"/>
    <n v="9"/>
    <n v="0"/>
    <x v="0"/>
    <s v="Yes"/>
    <x v="0"/>
    <n v="194767.3"/>
    <x v="1"/>
    <n v="0.1465670529077156"/>
    <s v="No"/>
    <n v="0"/>
    <n v="0"/>
    <x v="1"/>
    <x v="1"/>
    <x v="1"/>
    <x v="0"/>
    <x v="1"/>
    <n v="1"/>
  </r>
  <r>
    <n v="714"/>
    <x v="1"/>
    <x v="0"/>
    <x v="27"/>
    <n v="3"/>
    <n v="119545.48"/>
    <x v="0"/>
    <s v="Yes"/>
    <x v="0"/>
    <n v="65482.94"/>
    <x v="1"/>
    <n v="0.15608398306306179"/>
    <s v="No"/>
    <n v="0"/>
    <n v="0"/>
    <x v="1"/>
    <x v="2"/>
    <x v="0"/>
    <x v="2"/>
    <x v="3"/>
    <n v="1"/>
  </r>
  <r>
    <n v="614"/>
    <x v="2"/>
    <x v="0"/>
    <x v="28"/>
    <n v="1"/>
    <n v="118311.76"/>
    <x v="1"/>
    <s v="Yes"/>
    <x v="0"/>
    <n v="146134.68"/>
    <x v="1"/>
    <n v="0.1851561786310032"/>
    <s v="No"/>
    <n v="0"/>
    <n v="0"/>
    <x v="1"/>
    <x v="1"/>
    <x v="0"/>
    <x v="0"/>
    <x v="0"/>
    <n v="1"/>
  </r>
  <r>
    <n v="740"/>
    <x v="2"/>
    <x v="0"/>
    <x v="5"/>
    <n v="1"/>
    <n v="129574.98"/>
    <x v="1"/>
    <s v="Yes"/>
    <x v="1"/>
    <n v="123300.38"/>
    <x v="1"/>
    <n v="5.3938697858447973E-2"/>
    <s v="No"/>
    <n v="0"/>
    <n v="0"/>
    <x v="1"/>
    <x v="1"/>
    <x v="0"/>
    <x v="2"/>
    <x v="0"/>
    <n v="1"/>
  </r>
  <r>
    <n v="622"/>
    <x v="2"/>
    <x v="0"/>
    <x v="6"/>
    <n v="2"/>
    <n v="127087.06"/>
    <x v="1"/>
    <s v="Yes"/>
    <x v="0"/>
    <n v="102402.91"/>
    <x v="0"/>
    <n v="0.24252595160577889"/>
    <s v="No"/>
    <n v="1"/>
    <n v="0"/>
    <x v="0"/>
    <x v="0"/>
    <x v="0"/>
    <x v="0"/>
    <x v="0"/>
    <n v="0"/>
  </r>
  <r>
    <n v="850"/>
    <x v="2"/>
    <x v="1"/>
    <x v="29"/>
    <n v="7"/>
    <n v="43658.33"/>
    <x v="0"/>
    <s v="Yes"/>
    <x v="1"/>
    <n v="3025.49"/>
    <x v="1"/>
    <n v="3.3914592785639068E-2"/>
    <s v="No"/>
    <n v="0"/>
    <n v="0"/>
    <x v="1"/>
    <x v="2"/>
    <x v="4"/>
    <x v="3"/>
    <x v="2"/>
    <n v="1"/>
  </r>
  <r>
    <n v="570"/>
    <x v="2"/>
    <x v="0"/>
    <x v="34"/>
    <n v="2"/>
    <n v="0"/>
    <x v="1"/>
    <s v="No"/>
    <x v="0"/>
    <n v="198830.98"/>
    <x v="1"/>
    <n v="6.4285520678378769E-2"/>
    <s v="No"/>
    <n v="0"/>
    <n v="0"/>
    <x v="1"/>
    <x v="2"/>
    <x v="1"/>
    <x v="1"/>
    <x v="1"/>
    <n v="1"/>
  </r>
  <r>
    <n v="698"/>
    <x v="2"/>
    <x v="1"/>
    <x v="29"/>
    <n v="1"/>
    <n v="94920.71"/>
    <x v="1"/>
    <s v="Yes"/>
    <x v="1"/>
    <n v="40339.9"/>
    <x v="1"/>
    <n v="5.3753308726898902E-2"/>
    <s v="No"/>
    <n v="0"/>
    <n v="0"/>
    <x v="1"/>
    <x v="2"/>
    <x v="2"/>
    <x v="0"/>
    <x v="2"/>
    <n v="1"/>
  </r>
  <r>
    <n v="690"/>
    <x v="0"/>
    <x v="0"/>
    <x v="27"/>
    <n v="8"/>
    <n v="116318.23"/>
    <x v="1"/>
    <s v="Yes"/>
    <x v="1"/>
    <n v="83253.05"/>
    <x v="1"/>
    <n v="2.9180231156285111E-2"/>
    <s v="No"/>
    <n v="0"/>
    <n v="0"/>
    <x v="1"/>
    <x v="2"/>
    <x v="0"/>
    <x v="0"/>
    <x v="3"/>
    <n v="1"/>
  </r>
  <r>
    <n v="610"/>
    <x v="1"/>
    <x v="0"/>
    <x v="9"/>
    <n v="6"/>
    <n v="113882.33"/>
    <x v="1"/>
    <s v="Yes"/>
    <x v="0"/>
    <n v="195813.81"/>
    <x v="0"/>
    <n v="0.54702858390060805"/>
    <s v="Yes"/>
    <n v="1"/>
    <n v="1"/>
    <x v="2"/>
    <x v="0"/>
    <x v="0"/>
    <x v="0"/>
    <x v="1"/>
    <n v="1"/>
  </r>
  <r>
    <n v="575"/>
    <x v="0"/>
    <x v="0"/>
    <x v="6"/>
    <n v="2"/>
    <n v="100062.39"/>
    <x v="1"/>
    <s v="No"/>
    <x v="0"/>
    <n v="126307.25"/>
    <x v="1"/>
    <n v="0.25117188163136223"/>
    <s v="No"/>
    <n v="0"/>
    <n v="0"/>
    <x v="0"/>
    <x v="0"/>
    <x v="0"/>
    <x v="1"/>
    <x v="0"/>
    <n v="1"/>
  </r>
  <r>
    <n v="457"/>
    <x v="0"/>
    <x v="0"/>
    <x v="0"/>
    <n v="7"/>
    <n v="0"/>
    <x v="0"/>
    <s v="No"/>
    <x v="0"/>
    <n v="185992.36"/>
    <x v="1"/>
    <n v="0.22843025017640589"/>
    <s v="No"/>
    <n v="0"/>
    <n v="0"/>
    <x v="0"/>
    <x v="0"/>
    <x v="1"/>
    <x v="4"/>
    <x v="1"/>
    <n v="1"/>
  </r>
  <r>
    <n v="687"/>
    <x v="2"/>
    <x v="1"/>
    <x v="22"/>
    <n v="1"/>
    <n v="110752.15"/>
    <x v="0"/>
    <s v="Yes"/>
    <x v="1"/>
    <n v="47921.22"/>
    <x v="1"/>
    <n v="8.8921496526104593E-2"/>
    <s v="No"/>
    <n v="0"/>
    <n v="0"/>
    <x v="1"/>
    <x v="1"/>
    <x v="0"/>
    <x v="0"/>
    <x v="2"/>
    <n v="1"/>
  </r>
  <r>
    <n v="544"/>
    <x v="2"/>
    <x v="0"/>
    <x v="20"/>
    <n v="10"/>
    <n v="78314.63"/>
    <x v="2"/>
    <s v="Yes"/>
    <x v="1"/>
    <n v="103713.93"/>
    <x v="0"/>
    <n v="0.1045189986860879"/>
    <s v="No"/>
    <n v="1"/>
    <n v="0"/>
    <x v="1"/>
    <x v="0"/>
    <x v="2"/>
    <x v="1"/>
    <x v="0"/>
    <n v="0"/>
  </r>
  <r>
    <n v="658"/>
    <x v="1"/>
    <x v="0"/>
    <x v="18"/>
    <n v="2"/>
    <n v="77082.649999999994"/>
    <x v="0"/>
    <s v="No"/>
    <x v="0"/>
    <n v="13482.28"/>
    <x v="1"/>
    <n v="0.2032557005104455"/>
    <s v="No"/>
    <n v="0"/>
    <n v="0"/>
    <x v="0"/>
    <x v="1"/>
    <x v="2"/>
    <x v="0"/>
    <x v="2"/>
    <n v="1"/>
  </r>
  <r>
    <n v="679"/>
    <x v="0"/>
    <x v="1"/>
    <x v="10"/>
    <n v="7"/>
    <n v="91187.9"/>
    <x v="1"/>
    <s v="No"/>
    <x v="1"/>
    <n v="6075.36"/>
    <x v="1"/>
    <n v="0.1146641207245202"/>
    <s v="No"/>
    <n v="0"/>
    <n v="0"/>
    <x v="1"/>
    <x v="1"/>
    <x v="2"/>
    <x v="0"/>
    <x v="2"/>
    <n v="1"/>
  </r>
  <r>
    <n v="751"/>
    <x v="2"/>
    <x v="0"/>
    <x v="24"/>
    <n v="3"/>
    <n v="165257.20000000001"/>
    <x v="1"/>
    <s v="No"/>
    <x v="0"/>
    <n v="134822.04999999999"/>
    <x v="1"/>
    <n v="0.12868653071594"/>
    <s v="No"/>
    <n v="0"/>
    <n v="0"/>
    <x v="1"/>
    <x v="2"/>
    <x v="3"/>
    <x v="2"/>
    <x v="0"/>
    <n v="1"/>
  </r>
  <r>
    <n v="647"/>
    <x v="2"/>
    <x v="1"/>
    <x v="3"/>
    <n v="9"/>
    <n v="0"/>
    <x v="0"/>
    <s v="Yes"/>
    <x v="1"/>
    <n v="51362.82"/>
    <x v="1"/>
    <n v="9.7558395248714389E-2"/>
    <s v="No"/>
    <n v="0"/>
    <n v="0"/>
    <x v="1"/>
    <x v="0"/>
    <x v="1"/>
    <x v="0"/>
    <x v="3"/>
    <n v="1"/>
  </r>
  <r>
    <n v="589"/>
    <x v="2"/>
    <x v="1"/>
    <x v="32"/>
    <n v="4"/>
    <n v="0"/>
    <x v="0"/>
    <s v="No"/>
    <x v="1"/>
    <n v="182076.97"/>
    <x v="1"/>
    <n v="0.19968422338787961"/>
    <s v="No"/>
    <n v="0"/>
    <n v="0"/>
    <x v="1"/>
    <x v="0"/>
    <x v="1"/>
    <x v="1"/>
    <x v="1"/>
    <n v="1"/>
  </r>
  <r>
    <n v="715"/>
    <x v="0"/>
    <x v="0"/>
    <x v="18"/>
    <n v="7"/>
    <n v="0"/>
    <x v="1"/>
    <s v="Yes"/>
    <x v="1"/>
    <n v="149970.59"/>
    <x v="1"/>
    <n v="3.2409740749893723E-2"/>
    <s v="No"/>
    <n v="0"/>
    <n v="0"/>
    <x v="1"/>
    <x v="1"/>
    <x v="1"/>
    <x v="2"/>
    <x v="0"/>
    <n v="1"/>
  </r>
  <r>
    <n v="766"/>
    <x v="1"/>
    <x v="0"/>
    <x v="11"/>
    <n v="2"/>
    <n v="99660.13"/>
    <x v="0"/>
    <s v="No"/>
    <x v="1"/>
    <n v="147700.78"/>
    <x v="1"/>
    <n v="0.12421135761586399"/>
    <s v="No"/>
    <n v="0"/>
    <n v="0"/>
    <x v="1"/>
    <x v="1"/>
    <x v="2"/>
    <x v="2"/>
    <x v="0"/>
    <n v="1"/>
  </r>
  <r>
    <n v="738"/>
    <x v="0"/>
    <x v="0"/>
    <x v="22"/>
    <n v="8"/>
    <n v="127290.61"/>
    <x v="1"/>
    <s v="Yes"/>
    <x v="0"/>
    <n v="16081.62"/>
    <x v="1"/>
    <n v="0.14292335675873041"/>
    <s v="No"/>
    <n v="0"/>
    <n v="0"/>
    <x v="1"/>
    <x v="1"/>
    <x v="0"/>
    <x v="2"/>
    <x v="2"/>
    <n v="1"/>
  </r>
  <r>
    <n v="673"/>
    <x v="2"/>
    <x v="0"/>
    <x v="10"/>
    <n v="7"/>
    <n v="82255.509999999995"/>
    <x v="0"/>
    <s v="Yes"/>
    <x v="0"/>
    <n v="109545.56"/>
    <x v="1"/>
    <n v="0.1628841892425337"/>
    <s v="No"/>
    <n v="0"/>
    <n v="0"/>
    <x v="1"/>
    <x v="1"/>
    <x v="2"/>
    <x v="0"/>
    <x v="0"/>
    <n v="1"/>
  </r>
  <r>
    <n v="745"/>
    <x v="2"/>
    <x v="1"/>
    <x v="5"/>
    <n v="1"/>
    <n v="0"/>
    <x v="0"/>
    <s v="Yes"/>
    <x v="1"/>
    <n v="174431.01"/>
    <x v="1"/>
    <n v="6.1152428301477803E-2"/>
    <s v="No"/>
    <n v="0"/>
    <n v="0"/>
    <x v="1"/>
    <x v="1"/>
    <x v="1"/>
    <x v="2"/>
    <x v="1"/>
    <n v="1"/>
  </r>
  <r>
    <n v="576"/>
    <x v="2"/>
    <x v="1"/>
    <x v="45"/>
    <n v="6"/>
    <n v="44582.07"/>
    <x v="2"/>
    <s v="No"/>
    <x v="1"/>
    <n v="67539.850000000006"/>
    <x v="0"/>
    <n v="0.24954826675165509"/>
    <s v="No"/>
    <n v="1"/>
    <n v="0"/>
    <x v="0"/>
    <x v="3"/>
    <x v="4"/>
    <x v="1"/>
    <x v="3"/>
    <n v="0"/>
  </r>
  <r>
    <n v="595"/>
    <x v="2"/>
    <x v="0"/>
    <x v="42"/>
    <n v="9"/>
    <n v="0"/>
    <x v="1"/>
    <s v="Yes"/>
    <x v="1"/>
    <n v="106340.66"/>
    <x v="0"/>
    <n v="0.1344906028540315"/>
    <s v="No"/>
    <n v="1"/>
    <n v="0"/>
    <x v="1"/>
    <x v="3"/>
    <x v="1"/>
    <x v="1"/>
    <x v="0"/>
    <n v="0"/>
  </r>
  <r>
    <n v="662"/>
    <x v="2"/>
    <x v="0"/>
    <x v="0"/>
    <n v="8"/>
    <n v="0"/>
    <x v="0"/>
    <s v="Yes"/>
    <x v="1"/>
    <n v="175314.87"/>
    <x v="1"/>
    <n v="7.2736883121544499E-2"/>
    <s v="No"/>
    <n v="0"/>
    <n v="0"/>
    <x v="1"/>
    <x v="0"/>
    <x v="1"/>
    <x v="0"/>
    <x v="1"/>
    <n v="1"/>
  </r>
  <r>
    <n v="764"/>
    <x v="2"/>
    <x v="1"/>
    <x v="0"/>
    <n v="1"/>
    <n v="0"/>
    <x v="0"/>
    <s v="Yes"/>
    <x v="1"/>
    <n v="11467.38"/>
    <x v="1"/>
    <n v="0.1169446359449459"/>
    <s v="No"/>
    <n v="0"/>
    <n v="0"/>
    <x v="1"/>
    <x v="0"/>
    <x v="1"/>
    <x v="2"/>
    <x v="2"/>
    <n v="1"/>
  </r>
  <r>
    <n v="557"/>
    <x v="2"/>
    <x v="1"/>
    <x v="10"/>
    <n v="7"/>
    <n v="49572.73"/>
    <x v="1"/>
    <s v="Yes"/>
    <x v="0"/>
    <n v="115287.99"/>
    <x v="0"/>
    <n v="0.27150044208683599"/>
    <s v="No"/>
    <n v="1"/>
    <n v="0"/>
    <x v="0"/>
    <x v="1"/>
    <x v="4"/>
    <x v="1"/>
    <x v="0"/>
    <n v="0"/>
  </r>
  <r>
    <n v="521"/>
    <x v="2"/>
    <x v="0"/>
    <x v="29"/>
    <n v="4"/>
    <n v="121325.84"/>
    <x v="1"/>
    <s v="Yes"/>
    <x v="1"/>
    <n v="164223.70000000001"/>
    <x v="0"/>
    <n v="3.8618262194802938E-2"/>
    <s v="No"/>
    <n v="1"/>
    <n v="0"/>
    <x v="1"/>
    <x v="2"/>
    <x v="0"/>
    <x v="1"/>
    <x v="1"/>
    <n v="0"/>
  </r>
  <r>
    <n v="775"/>
    <x v="2"/>
    <x v="0"/>
    <x v="17"/>
    <n v="9"/>
    <n v="111167.7"/>
    <x v="1"/>
    <s v="Yes"/>
    <x v="0"/>
    <n v="149331.01"/>
    <x v="1"/>
    <n v="8.6255598007364126E-2"/>
    <s v="No"/>
    <n v="0"/>
    <n v="0"/>
    <x v="1"/>
    <x v="2"/>
    <x v="0"/>
    <x v="2"/>
    <x v="0"/>
    <n v="1"/>
  </r>
  <r>
    <n v="751"/>
    <x v="2"/>
    <x v="0"/>
    <x v="12"/>
    <n v="1"/>
    <n v="114974.24"/>
    <x v="1"/>
    <s v="Yes"/>
    <x v="0"/>
    <n v="125920.54"/>
    <x v="1"/>
    <n v="0.25376101203069079"/>
    <s v="No"/>
    <n v="0"/>
    <n v="0"/>
    <x v="0"/>
    <x v="0"/>
    <x v="0"/>
    <x v="2"/>
    <x v="0"/>
    <n v="1"/>
  </r>
  <r>
    <n v="697"/>
    <x v="2"/>
    <x v="1"/>
    <x v="36"/>
    <n v="1"/>
    <n v="0"/>
    <x v="0"/>
    <s v="No"/>
    <x v="0"/>
    <n v="87803.32"/>
    <x v="1"/>
    <n v="9.8288952291200202E-2"/>
    <s v="No"/>
    <n v="0"/>
    <n v="0"/>
    <x v="1"/>
    <x v="2"/>
    <x v="1"/>
    <x v="0"/>
    <x v="3"/>
    <n v="1"/>
  </r>
  <r>
    <n v="748"/>
    <x v="2"/>
    <x v="1"/>
    <x v="19"/>
    <n v="8"/>
    <n v="0"/>
    <x v="0"/>
    <s v="Yes"/>
    <x v="0"/>
    <n v="53584.03"/>
    <x v="1"/>
    <n v="0.1448441014056028"/>
    <s v="No"/>
    <n v="0"/>
    <n v="0"/>
    <x v="1"/>
    <x v="1"/>
    <x v="1"/>
    <x v="2"/>
    <x v="3"/>
    <n v="1"/>
  </r>
  <r>
    <n v="524"/>
    <x v="1"/>
    <x v="0"/>
    <x v="4"/>
    <n v="9"/>
    <n v="144287.6"/>
    <x v="0"/>
    <s v="Yes"/>
    <x v="0"/>
    <n v="32063.3"/>
    <x v="1"/>
    <n v="0.19663894744481589"/>
    <s v="No"/>
    <n v="0"/>
    <n v="0"/>
    <x v="1"/>
    <x v="2"/>
    <x v="0"/>
    <x v="1"/>
    <x v="2"/>
    <n v="1"/>
  </r>
  <r>
    <n v="624"/>
    <x v="1"/>
    <x v="1"/>
    <x v="1"/>
    <n v="5"/>
    <n v="151855.32999999999"/>
    <x v="1"/>
    <s v="Yes"/>
    <x v="0"/>
    <n v="68794.149999999994"/>
    <x v="1"/>
    <n v="0.61718606276766019"/>
    <s v="Yes"/>
    <n v="0"/>
    <n v="1"/>
    <x v="2"/>
    <x v="0"/>
    <x v="3"/>
    <x v="0"/>
    <x v="3"/>
    <n v="0"/>
  </r>
  <r>
    <n v="677"/>
    <x v="2"/>
    <x v="1"/>
    <x v="29"/>
    <n v="2"/>
    <n v="0"/>
    <x v="0"/>
    <s v="No"/>
    <x v="1"/>
    <n v="114685.92"/>
    <x v="1"/>
    <n v="4.1124234265398338E-2"/>
    <s v="No"/>
    <n v="0"/>
    <n v="0"/>
    <x v="1"/>
    <x v="2"/>
    <x v="1"/>
    <x v="0"/>
    <x v="0"/>
    <n v="1"/>
  </r>
  <r>
    <n v="718"/>
    <x v="1"/>
    <x v="0"/>
    <x v="27"/>
    <n v="7"/>
    <n v="147527.03"/>
    <x v="1"/>
    <s v="No"/>
    <x v="0"/>
    <n v="51099.56"/>
    <x v="1"/>
    <n v="0.1723191914357145"/>
    <s v="No"/>
    <n v="0"/>
    <n v="0"/>
    <x v="1"/>
    <x v="2"/>
    <x v="0"/>
    <x v="2"/>
    <x v="3"/>
    <n v="1"/>
  </r>
  <r>
    <n v="574"/>
    <x v="2"/>
    <x v="0"/>
    <x v="5"/>
    <n v="8"/>
    <n v="100267.03"/>
    <x v="1"/>
    <s v="Yes"/>
    <x v="0"/>
    <n v="103006.27"/>
    <x v="1"/>
    <n v="0.1317590130405801"/>
    <s v="No"/>
    <n v="0"/>
    <n v="0"/>
    <x v="1"/>
    <x v="1"/>
    <x v="0"/>
    <x v="1"/>
    <x v="0"/>
    <n v="1"/>
  </r>
  <r>
    <n v="615"/>
    <x v="0"/>
    <x v="0"/>
    <x v="6"/>
    <n v="4"/>
    <n v="0"/>
    <x v="1"/>
    <s v="No"/>
    <x v="1"/>
    <n v="149278.96"/>
    <x v="1"/>
    <n v="7.6139376902912004E-2"/>
    <s v="No"/>
    <n v="0"/>
    <n v="0"/>
    <x v="1"/>
    <x v="0"/>
    <x v="1"/>
    <x v="0"/>
    <x v="0"/>
    <n v="1"/>
  </r>
  <r>
    <n v="850"/>
    <x v="2"/>
    <x v="1"/>
    <x v="28"/>
    <n v="6"/>
    <n v="0"/>
    <x v="0"/>
    <s v="Yes"/>
    <x v="1"/>
    <n v="190194.95"/>
    <x v="1"/>
    <n v="6.4638818437977433E-2"/>
    <s v="No"/>
    <n v="0"/>
    <n v="0"/>
    <x v="1"/>
    <x v="1"/>
    <x v="1"/>
    <x v="3"/>
    <x v="1"/>
    <n v="1"/>
  </r>
  <r>
    <n v="755"/>
    <x v="1"/>
    <x v="0"/>
    <x v="12"/>
    <n v="6"/>
    <n v="165048.5"/>
    <x v="2"/>
    <s v="Yes"/>
    <x v="0"/>
    <n v="16929.41"/>
    <x v="0"/>
    <n v="0.37043167693120749"/>
    <s v="No"/>
    <n v="1"/>
    <n v="0"/>
    <x v="0"/>
    <x v="0"/>
    <x v="3"/>
    <x v="2"/>
    <x v="2"/>
    <n v="0"/>
  </r>
  <r>
    <n v="597"/>
    <x v="2"/>
    <x v="1"/>
    <x v="6"/>
    <n v="4"/>
    <n v="145809.53"/>
    <x v="0"/>
    <s v="Yes"/>
    <x v="1"/>
    <n v="52319.26"/>
    <x v="1"/>
    <n v="0.1434841416925991"/>
    <s v="No"/>
    <n v="0"/>
    <n v="0"/>
    <x v="1"/>
    <x v="0"/>
    <x v="0"/>
    <x v="1"/>
    <x v="3"/>
    <n v="1"/>
  </r>
  <r>
    <n v="580"/>
    <x v="1"/>
    <x v="0"/>
    <x v="43"/>
    <n v="2"/>
    <n v="130334.84"/>
    <x v="0"/>
    <s v="Yes"/>
    <x v="1"/>
    <n v="51672.08"/>
    <x v="1"/>
    <n v="0.74172000511108271"/>
    <s v="Yes"/>
    <n v="0"/>
    <n v="1"/>
    <x v="2"/>
    <x v="4"/>
    <x v="0"/>
    <x v="1"/>
    <x v="3"/>
    <n v="0"/>
  </r>
  <r>
    <n v="698"/>
    <x v="0"/>
    <x v="1"/>
    <x v="52"/>
    <n v="5"/>
    <n v="0"/>
    <x v="1"/>
    <s v="Yes"/>
    <x v="1"/>
    <n v="173576.71"/>
    <x v="1"/>
    <n v="0.39734393533450141"/>
    <s v="No"/>
    <n v="0"/>
    <n v="0"/>
    <x v="0"/>
    <x v="4"/>
    <x v="1"/>
    <x v="0"/>
    <x v="1"/>
    <n v="1"/>
  </r>
  <r>
    <n v="682"/>
    <x v="1"/>
    <x v="0"/>
    <x v="28"/>
    <n v="5"/>
    <n v="72373.62"/>
    <x v="0"/>
    <s v="Yes"/>
    <x v="0"/>
    <n v="36895.99"/>
    <x v="1"/>
    <n v="0.2491030648071744"/>
    <s v="No"/>
    <n v="0"/>
    <n v="0"/>
    <x v="0"/>
    <x v="1"/>
    <x v="2"/>
    <x v="0"/>
    <x v="2"/>
    <n v="1"/>
  </r>
  <r>
    <n v="742"/>
    <x v="2"/>
    <x v="1"/>
    <x v="36"/>
    <n v="4"/>
    <n v="132116.13"/>
    <x v="0"/>
    <s v="Yes"/>
    <x v="0"/>
    <n v="129933.5"/>
    <x v="1"/>
    <n v="0.122053484247756"/>
    <s v="No"/>
    <n v="0"/>
    <n v="0"/>
    <x v="1"/>
    <x v="2"/>
    <x v="0"/>
    <x v="2"/>
    <x v="0"/>
    <n v="1"/>
  </r>
  <r>
    <n v="733"/>
    <x v="2"/>
    <x v="0"/>
    <x v="28"/>
    <n v="5"/>
    <n v="0"/>
    <x v="0"/>
    <s v="Yes"/>
    <x v="1"/>
    <n v="109127.54"/>
    <x v="1"/>
    <n v="4.0537107274929783E-2"/>
    <s v="No"/>
    <n v="0"/>
    <n v="0"/>
    <x v="1"/>
    <x v="1"/>
    <x v="1"/>
    <x v="2"/>
    <x v="0"/>
    <n v="1"/>
  </r>
  <r>
    <n v="600"/>
    <x v="1"/>
    <x v="0"/>
    <x v="38"/>
    <n v="7"/>
    <n v="106261.63"/>
    <x v="1"/>
    <s v="Yes"/>
    <x v="0"/>
    <n v="93629.66"/>
    <x v="0"/>
    <n v="0.59745195740289292"/>
    <s v="Yes"/>
    <n v="1"/>
    <n v="1"/>
    <x v="2"/>
    <x v="3"/>
    <x v="0"/>
    <x v="1"/>
    <x v="3"/>
    <n v="1"/>
  </r>
  <r>
    <n v="621"/>
    <x v="1"/>
    <x v="0"/>
    <x v="7"/>
    <n v="4"/>
    <n v="109978.83"/>
    <x v="1"/>
    <s v="No"/>
    <x v="0"/>
    <n v="177740.58"/>
    <x v="0"/>
    <n v="0.59401864488305323"/>
    <s v="Yes"/>
    <n v="1"/>
    <n v="1"/>
    <x v="2"/>
    <x v="3"/>
    <x v="0"/>
    <x v="0"/>
    <x v="1"/>
    <n v="1"/>
  </r>
  <r>
    <n v="650"/>
    <x v="0"/>
    <x v="0"/>
    <x v="23"/>
    <n v="8"/>
    <n v="108881.73"/>
    <x v="1"/>
    <s v="Yes"/>
    <x v="0"/>
    <n v="104492.83"/>
    <x v="1"/>
    <n v="7.2934211301097437E-2"/>
    <s v="No"/>
    <n v="0"/>
    <n v="0"/>
    <x v="1"/>
    <x v="2"/>
    <x v="0"/>
    <x v="0"/>
    <x v="0"/>
    <n v="1"/>
  </r>
  <r>
    <n v="577"/>
    <x v="0"/>
    <x v="0"/>
    <x v="6"/>
    <n v="4"/>
    <n v="89015.61"/>
    <x v="1"/>
    <s v="No"/>
    <x v="1"/>
    <n v="135227.23000000001"/>
    <x v="1"/>
    <n v="9.5622461819964269E-2"/>
    <s v="No"/>
    <n v="0"/>
    <n v="0"/>
    <x v="1"/>
    <x v="0"/>
    <x v="2"/>
    <x v="1"/>
    <x v="0"/>
    <n v="1"/>
  </r>
  <r>
    <n v="576"/>
    <x v="0"/>
    <x v="0"/>
    <x v="1"/>
    <n v="5"/>
    <n v="133618.01"/>
    <x v="1"/>
    <s v="No"/>
    <x v="0"/>
    <n v="135244.87"/>
    <x v="1"/>
    <n v="0.31767319654300419"/>
    <s v="No"/>
    <n v="0"/>
    <n v="0"/>
    <x v="0"/>
    <x v="0"/>
    <x v="0"/>
    <x v="1"/>
    <x v="0"/>
    <n v="1"/>
  </r>
  <r>
    <n v="711"/>
    <x v="1"/>
    <x v="1"/>
    <x v="1"/>
    <n v="1"/>
    <n v="97486.15"/>
    <x v="0"/>
    <s v="Yes"/>
    <x v="0"/>
    <n v="50610.62"/>
    <x v="1"/>
    <n v="0.56016763003674641"/>
    <s v="Yes"/>
    <n v="0"/>
    <n v="1"/>
    <x v="2"/>
    <x v="0"/>
    <x v="2"/>
    <x v="2"/>
    <x v="3"/>
    <n v="0"/>
  </r>
  <r>
    <n v="764"/>
    <x v="2"/>
    <x v="1"/>
    <x v="10"/>
    <n v="1"/>
    <n v="129068.54"/>
    <x v="0"/>
    <s v="Yes"/>
    <x v="1"/>
    <n v="187905.12"/>
    <x v="1"/>
    <n v="0.1236379120266035"/>
    <s v="No"/>
    <n v="0"/>
    <n v="0"/>
    <x v="1"/>
    <x v="1"/>
    <x v="0"/>
    <x v="2"/>
    <x v="1"/>
    <n v="1"/>
  </r>
  <r>
    <n v="527"/>
    <x v="0"/>
    <x v="1"/>
    <x v="16"/>
    <n v="10"/>
    <n v="131414.76"/>
    <x v="1"/>
    <s v="Yes"/>
    <x v="0"/>
    <n v="54947.51"/>
    <x v="1"/>
    <n v="0.42778779319485633"/>
    <s v="No"/>
    <n v="0"/>
    <n v="0"/>
    <x v="0"/>
    <x v="0"/>
    <x v="0"/>
    <x v="1"/>
    <x v="3"/>
    <n v="1"/>
  </r>
  <r>
    <n v="722"/>
    <x v="2"/>
    <x v="1"/>
    <x v="2"/>
    <n v="3"/>
    <n v="0"/>
    <x v="0"/>
    <s v="No"/>
    <x v="1"/>
    <n v="167984.72"/>
    <x v="1"/>
    <n v="8.6561366531845249E-2"/>
    <s v="No"/>
    <n v="0"/>
    <n v="0"/>
    <x v="1"/>
    <x v="1"/>
    <x v="1"/>
    <x v="2"/>
    <x v="1"/>
    <n v="1"/>
  </r>
  <r>
    <n v="596"/>
    <x v="1"/>
    <x v="0"/>
    <x v="19"/>
    <n v="4"/>
    <n v="99441.21"/>
    <x v="0"/>
    <s v="No"/>
    <x v="1"/>
    <n v="4802.2700000000004"/>
    <x v="1"/>
    <n v="0.1017878944620175"/>
    <s v="No"/>
    <n v="0"/>
    <n v="0"/>
    <x v="1"/>
    <x v="1"/>
    <x v="2"/>
    <x v="1"/>
    <x v="2"/>
    <n v="1"/>
  </r>
  <r>
    <n v="612"/>
    <x v="0"/>
    <x v="1"/>
    <x v="52"/>
    <n v="2"/>
    <n v="131629.17000000001"/>
    <x v="0"/>
    <s v="Yes"/>
    <x v="0"/>
    <n v="122109.58"/>
    <x v="0"/>
    <n v="0.73125022541881712"/>
    <s v="Yes"/>
    <n v="1"/>
    <n v="1"/>
    <x v="2"/>
    <x v="4"/>
    <x v="0"/>
    <x v="0"/>
    <x v="0"/>
    <n v="1"/>
  </r>
  <r>
    <n v="554"/>
    <x v="1"/>
    <x v="1"/>
    <x v="45"/>
    <n v="0"/>
    <n v="108477.27"/>
    <x v="1"/>
    <s v="No"/>
    <x v="1"/>
    <n v="140003"/>
    <x v="0"/>
    <n v="0.55841066278962015"/>
    <s v="Yes"/>
    <n v="1"/>
    <n v="1"/>
    <x v="2"/>
    <x v="3"/>
    <x v="0"/>
    <x v="1"/>
    <x v="0"/>
    <n v="1"/>
  </r>
  <r>
    <n v="683"/>
    <x v="2"/>
    <x v="0"/>
    <x v="24"/>
    <n v="4"/>
    <n v="114779.35"/>
    <x v="1"/>
    <s v="No"/>
    <x v="0"/>
    <n v="183171.47"/>
    <x v="1"/>
    <n v="0.1203510935503372"/>
    <s v="No"/>
    <n v="0"/>
    <n v="0"/>
    <x v="1"/>
    <x v="2"/>
    <x v="0"/>
    <x v="0"/>
    <x v="1"/>
    <n v="1"/>
  </r>
  <r>
    <n v="770"/>
    <x v="0"/>
    <x v="0"/>
    <x v="24"/>
    <n v="8"/>
    <n v="0"/>
    <x v="0"/>
    <s v="No"/>
    <x v="1"/>
    <n v="50839.85"/>
    <x v="1"/>
    <n v="2.5207899938841032E-2"/>
    <s v="No"/>
    <n v="0"/>
    <n v="0"/>
    <x v="1"/>
    <x v="2"/>
    <x v="1"/>
    <x v="2"/>
    <x v="3"/>
    <n v="1"/>
  </r>
  <r>
    <n v="680"/>
    <x v="2"/>
    <x v="0"/>
    <x v="11"/>
    <n v="4"/>
    <n v="0"/>
    <x v="0"/>
    <s v="Yes"/>
    <x v="0"/>
    <n v="61240.87"/>
    <x v="1"/>
    <n v="0.1223237628479563"/>
    <s v="No"/>
    <n v="0"/>
    <n v="0"/>
    <x v="1"/>
    <x v="1"/>
    <x v="1"/>
    <x v="0"/>
    <x v="3"/>
    <n v="1"/>
  </r>
  <r>
    <n v="574"/>
    <x v="0"/>
    <x v="0"/>
    <x v="28"/>
    <n v="3"/>
    <n v="0"/>
    <x v="0"/>
    <s v="Yes"/>
    <x v="1"/>
    <n v="8559.66"/>
    <x v="1"/>
    <n v="4.5985977010764179E-2"/>
    <s v="No"/>
    <n v="0"/>
    <n v="0"/>
    <x v="1"/>
    <x v="1"/>
    <x v="1"/>
    <x v="1"/>
    <x v="2"/>
    <n v="1"/>
  </r>
  <r>
    <n v="605"/>
    <x v="2"/>
    <x v="0"/>
    <x v="5"/>
    <n v="9"/>
    <n v="128152.82"/>
    <x v="1"/>
    <s v="No"/>
    <x v="0"/>
    <n v="147822.81"/>
    <x v="1"/>
    <n v="0.14219432882619759"/>
    <s v="No"/>
    <n v="0"/>
    <n v="0"/>
    <x v="1"/>
    <x v="1"/>
    <x v="0"/>
    <x v="0"/>
    <x v="0"/>
    <n v="1"/>
  </r>
  <r>
    <n v="780"/>
    <x v="1"/>
    <x v="0"/>
    <x v="19"/>
    <n v="5"/>
    <n v="94108.54"/>
    <x v="0"/>
    <s v="Yes"/>
    <x v="0"/>
    <n v="177235.21"/>
    <x v="1"/>
    <n v="0.2342642494533913"/>
    <s v="No"/>
    <n v="0"/>
    <n v="0"/>
    <x v="0"/>
    <x v="1"/>
    <x v="2"/>
    <x v="2"/>
    <x v="1"/>
    <n v="1"/>
  </r>
  <r>
    <n v="678"/>
    <x v="2"/>
    <x v="0"/>
    <x v="28"/>
    <n v="0"/>
    <n v="107379.68"/>
    <x v="1"/>
    <s v="Yes"/>
    <x v="1"/>
    <n v="84460.18"/>
    <x v="1"/>
    <n v="6.5435026486010142E-2"/>
    <s v="No"/>
    <n v="0"/>
    <n v="0"/>
    <x v="1"/>
    <x v="1"/>
    <x v="0"/>
    <x v="0"/>
    <x v="3"/>
    <n v="1"/>
  </r>
  <r>
    <n v="744"/>
    <x v="0"/>
    <x v="1"/>
    <x v="24"/>
    <n v="1"/>
    <n v="124037.28"/>
    <x v="1"/>
    <s v="Yes"/>
    <x v="1"/>
    <n v="142210.94"/>
    <x v="1"/>
    <n v="7.5363078640009323E-2"/>
    <s v="No"/>
    <n v="0"/>
    <n v="0"/>
    <x v="1"/>
    <x v="2"/>
    <x v="0"/>
    <x v="2"/>
    <x v="0"/>
    <n v="1"/>
  </r>
  <r>
    <n v="559"/>
    <x v="1"/>
    <x v="1"/>
    <x v="17"/>
    <n v="3"/>
    <n v="152264.81"/>
    <x v="1"/>
    <s v="No"/>
    <x v="0"/>
    <n v="64242.31"/>
    <x v="1"/>
    <n v="0.33962706037069429"/>
    <s v="No"/>
    <n v="0"/>
    <n v="0"/>
    <x v="0"/>
    <x v="2"/>
    <x v="3"/>
    <x v="1"/>
    <x v="3"/>
    <n v="1"/>
  </r>
  <r>
    <n v="794"/>
    <x v="2"/>
    <x v="0"/>
    <x v="24"/>
    <n v="8"/>
    <n v="0"/>
    <x v="0"/>
    <s v="Yes"/>
    <x v="1"/>
    <n v="24113.91"/>
    <x v="1"/>
    <n v="2.2814666995688081E-2"/>
    <s v="No"/>
    <n v="0"/>
    <n v="0"/>
    <x v="1"/>
    <x v="2"/>
    <x v="1"/>
    <x v="2"/>
    <x v="2"/>
    <n v="1"/>
  </r>
  <r>
    <n v="561"/>
    <x v="2"/>
    <x v="1"/>
    <x v="22"/>
    <n v="5"/>
    <n v="0"/>
    <x v="0"/>
    <s v="Yes"/>
    <x v="0"/>
    <n v="59981.62"/>
    <x v="1"/>
    <n v="0.18105365333175119"/>
    <s v="No"/>
    <n v="0"/>
    <n v="0"/>
    <x v="1"/>
    <x v="1"/>
    <x v="1"/>
    <x v="1"/>
    <x v="3"/>
    <n v="1"/>
  </r>
  <r>
    <n v="649"/>
    <x v="0"/>
    <x v="1"/>
    <x v="25"/>
    <n v="7"/>
    <n v="0"/>
    <x v="1"/>
    <s v="Yes"/>
    <x v="0"/>
    <n v="28797.32"/>
    <x v="1"/>
    <n v="0.15353806101422229"/>
    <s v="No"/>
    <n v="0"/>
    <n v="0"/>
    <x v="1"/>
    <x v="1"/>
    <x v="1"/>
    <x v="0"/>
    <x v="2"/>
    <n v="1"/>
  </r>
  <r>
    <n v="524"/>
    <x v="2"/>
    <x v="0"/>
    <x v="17"/>
    <n v="1"/>
    <n v="93577.3"/>
    <x v="1"/>
    <s v="Yes"/>
    <x v="1"/>
    <n v="51670.82"/>
    <x v="1"/>
    <n v="3.8484478559597309E-2"/>
    <s v="No"/>
    <n v="0"/>
    <n v="0"/>
    <x v="1"/>
    <x v="2"/>
    <x v="2"/>
    <x v="1"/>
    <x v="3"/>
    <n v="1"/>
  </r>
  <r>
    <n v="520"/>
    <x v="0"/>
    <x v="1"/>
    <x v="24"/>
    <n v="4"/>
    <n v="145222.99"/>
    <x v="0"/>
    <s v="No"/>
    <x v="0"/>
    <n v="145160.95999999999"/>
    <x v="1"/>
    <n v="0.2081130726472305"/>
    <s v="No"/>
    <n v="0"/>
    <n v="0"/>
    <x v="0"/>
    <x v="2"/>
    <x v="0"/>
    <x v="1"/>
    <x v="0"/>
    <n v="1"/>
  </r>
  <r>
    <n v="711"/>
    <x v="2"/>
    <x v="1"/>
    <x v="36"/>
    <n v="5"/>
    <n v="190066.54"/>
    <x v="1"/>
    <s v="No"/>
    <x v="0"/>
    <n v="51345.39"/>
    <x v="0"/>
    <n v="0.15066435375494419"/>
    <s v="No"/>
    <n v="1"/>
    <n v="0"/>
    <x v="1"/>
    <x v="2"/>
    <x v="3"/>
    <x v="2"/>
    <x v="3"/>
    <n v="0"/>
  </r>
  <r>
    <n v="718"/>
    <x v="0"/>
    <x v="0"/>
    <x v="21"/>
    <n v="9"/>
    <n v="0"/>
    <x v="0"/>
    <s v="No"/>
    <x v="0"/>
    <n v="121537.91"/>
    <x v="1"/>
    <n v="0.14560428366211239"/>
    <s v="No"/>
    <n v="0"/>
    <n v="0"/>
    <x v="1"/>
    <x v="1"/>
    <x v="1"/>
    <x v="2"/>
    <x v="0"/>
    <n v="1"/>
  </r>
  <r>
    <n v="744"/>
    <x v="0"/>
    <x v="0"/>
    <x v="10"/>
    <n v="4"/>
    <n v="95161.75"/>
    <x v="1"/>
    <s v="Yes"/>
    <x v="0"/>
    <n v="19409.77"/>
    <x v="1"/>
    <n v="0.18217829533135099"/>
    <s v="No"/>
    <n v="0"/>
    <n v="0"/>
    <x v="1"/>
    <x v="1"/>
    <x v="2"/>
    <x v="2"/>
    <x v="2"/>
    <n v="1"/>
  </r>
  <r>
    <n v="751"/>
    <x v="0"/>
    <x v="1"/>
    <x v="19"/>
    <n v="8"/>
    <n v="127095.14"/>
    <x v="0"/>
    <s v="No"/>
    <x v="0"/>
    <n v="479.54"/>
    <x v="1"/>
    <n v="0.19664890126571191"/>
    <s v="No"/>
    <n v="0"/>
    <n v="0"/>
    <x v="1"/>
    <x v="1"/>
    <x v="0"/>
    <x v="2"/>
    <x v="2"/>
    <n v="1"/>
  </r>
  <r>
    <n v="679"/>
    <x v="1"/>
    <x v="1"/>
    <x v="24"/>
    <n v="4"/>
    <n v="77949.69"/>
    <x v="1"/>
    <s v="Yes"/>
    <x v="1"/>
    <n v="121151.46"/>
    <x v="1"/>
    <n v="0.12980459735540231"/>
    <s v="No"/>
    <n v="0"/>
    <n v="0"/>
    <x v="1"/>
    <x v="2"/>
    <x v="2"/>
    <x v="0"/>
    <x v="0"/>
    <n v="1"/>
  </r>
  <r>
    <n v="600"/>
    <x v="2"/>
    <x v="1"/>
    <x v="25"/>
    <n v="7"/>
    <n v="98877.95"/>
    <x v="1"/>
    <s v="Yes"/>
    <x v="0"/>
    <n v="132973.21"/>
    <x v="1"/>
    <n v="0.19828273556647821"/>
    <s v="No"/>
    <n v="0"/>
    <n v="0"/>
    <x v="1"/>
    <x v="1"/>
    <x v="2"/>
    <x v="1"/>
    <x v="0"/>
    <n v="1"/>
  </r>
  <r>
    <n v="664"/>
    <x v="0"/>
    <x v="0"/>
    <x v="0"/>
    <n v="7"/>
    <n v="77526.66"/>
    <x v="2"/>
    <s v="No"/>
    <x v="0"/>
    <n v="57338.559999999998"/>
    <x v="0"/>
    <n v="0.2083063929588711"/>
    <s v="No"/>
    <n v="1"/>
    <n v="0"/>
    <x v="0"/>
    <x v="0"/>
    <x v="2"/>
    <x v="0"/>
    <x v="3"/>
    <n v="0"/>
  </r>
  <r>
    <n v="773"/>
    <x v="2"/>
    <x v="1"/>
    <x v="6"/>
    <n v="7"/>
    <n v="190238.93"/>
    <x v="1"/>
    <s v="Yes"/>
    <x v="1"/>
    <n v="57549.65"/>
    <x v="1"/>
    <n v="0.1485306678551761"/>
    <s v="No"/>
    <n v="0"/>
    <n v="0"/>
    <x v="1"/>
    <x v="0"/>
    <x v="3"/>
    <x v="2"/>
    <x v="3"/>
    <n v="1"/>
  </r>
  <r>
    <n v="434"/>
    <x v="0"/>
    <x v="0"/>
    <x v="5"/>
    <n v="3"/>
    <n v="0"/>
    <x v="1"/>
    <s v="Yes"/>
    <x v="1"/>
    <n v="2739.71"/>
    <x v="1"/>
    <n v="4.4914477336218762E-2"/>
    <s v="No"/>
    <n v="0"/>
    <n v="0"/>
    <x v="1"/>
    <x v="1"/>
    <x v="1"/>
    <x v="4"/>
    <x v="2"/>
    <n v="1"/>
  </r>
  <r>
    <n v="762"/>
    <x v="0"/>
    <x v="1"/>
    <x v="37"/>
    <n v="10"/>
    <n v="168920.75"/>
    <x v="1"/>
    <s v="Yes"/>
    <x v="0"/>
    <n v="31445.03"/>
    <x v="0"/>
    <n v="0.66069281105592648"/>
    <s v="Yes"/>
    <n v="1"/>
    <n v="1"/>
    <x v="2"/>
    <x v="3"/>
    <x v="3"/>
    <x v="2"/>
    <x v="2"/>
    <n v="1"/>
  </r>
  <r>
    <n v="653"/>
    <x v="2"/>
    <x v="1"/>
    <x v="40"/>
    <n v="0"/>
    <n v="121276.32"/>
    <x v="1"/>
    <s v="Yes"/>
    <x v="1"/>
    <n v="160348.31"/>
    <x v="1"/>
    <n v="0.68911204900094702"/>
    <s v="Yes"/>
    <n v="0"/>
    <n v="1"/>
    <x v="2"/>
    <x v="4"/>
    <x v="0"/>
    <x v="0"/>
    <x v="1"/>
    <n v="0"/>
  </r>
  <r>
    <n v="653"/>
    <x v="1"/>
    <x v="0"/>
    <x v="18"/>
    <n v="2"/>
    <n v="154741.45000000001"/>
    <x v="0"/>
    <s v="No"/>
    <x v="0"/>
    <n v="25183.01"/>
    <x v="1"/>
    <n v="0.23961600757469589"/>
    <s v="No"/>
    <n v="0"/>
    <n v="0"/>
    <x v="0"/>
    <x v="1"/>
    <x v="3"/>
    <x v="0"/>
    <x v="2"/>
    <n v="1"/>
  </r>
  <r>
    <n v="653"/>
    <x v="2"/>
    <x v="0"/>
    <x v="12"/>
    <n v="0"/>
    <n v="0"/>
    <x v="0"/>
    <s v="Yes"/>
    <x v="0"/>
    <n v="27862.58"/>
    <x v="1"/>
    <n v="0.1903899805205661"/>
    <s v="No"/>
    <n v="0"/>
    <n v="0"/>
    <x v="1"/>
    <x v="0"/>
    <x v="1"/>
    <x v="0"/>
    <x v="2"/>
    <n v="1"/>
  </r>
  <r>
    <n v="679"/>
    <x v="1"/>
    <x v="0"/>
    <x v="50"/>
    <n v="8"/>
    <n v="125850.53"/>
    <x v="0"/>
    <s v="Yes"/>
    <x v="1"/>
    <n v="87008.17"/>
    <x v="1"/>
    <n v="0.38791894660144649"/>
    <s v="No"/>
    <n v="0"/>
    <n v="0"/>
    <x v="0"/>
    <x v="3"/>
    <x v="0"/>
    <x v="0"/>
    <x v="3"/>
    <n v="1"/>
  </r>
  <r>
    <n v="837"/>
    <x v="2"/>
    <x v="1"/>
    <x v="2"/>
    <n v="2"/>
    <n v="0"/>
    <x v="0"/>
    <s v="Yes"/>
    <x v="1"/>
    <n v="46395.21"/>
    <x v="1"/>
    <n v="7.4714207301837296E-2"/>
    <s v="No"/>
    <n v="0"/>
    <n v="0"/>
    <x v="1"/>
    <x v="1"/>
    <x v="1"/>
    <x v="3"/>
    <x v="2"/>
    <n v="1"/>
  </r>
  <r>
    <n v="850"/>
    <x v="1"/>
    <x v="1"/>
    <x v="18"/>
    <n v="1"/>
    <n v="130089.56"/>
    <x v="0"/>
    <s v="Yes"/>
    <x v="1"/>
    <n v="4466.21"/>
    <x v="1"/>
    <n v="0.1276969715018319"/>
    <s v="No"/>
    <n v="0"/>
    <n v="0"/>
    <x v="1"/>
    <x v="1"/>
    <x v="0"/>
    <x v="3"/>
    <x v="2"/>
    <n v="1"/>
  </r>
  <r>
    <n v="788"/>
    <x v="1"/>
    <x v="1"/>
    <x v="3"/>
    <n v="6"/>
    <n v="138650.49"/>
    <x v="0"/>
    <s v="Yes"/>
    <x v="0"/>
    <n v="64746.07"/>
    <x v="1"/>
    <n v="0.4955533384469985"/>
    <s v="No"/>
    <n v="0"/>
    <n v="0"/>
    <x v="0"/>
    <x v="0"/>
    <x v="0"/>
    <x v="2"/>
    <x v="3"/>
    <n v="1"/>
  </r>
  <r>
    <n v="499"/>
    <x v="0"/>
    <x v="1"/>
    <x v="3"/>
    <n v="0"/>
    <n v="147187.84"/>
    <x v="1"/>
    <s v="Yes"/>
    <x v="1"/>
    <n v="14868.94"/>
    <x v="0"/>
    <n v="0.19139028555984711"/>
    <s v="No"/>
    <n v="1"/>
    <n v="0"/>
    <x v="1"/>
    <x v="0"/>
    <x v="0"/>
    <x v="4"/>
    <x v="2"/>
    <n v="0"/>
  </r>
  <r>
    <n v="850"/>
    <x v="0"/>
    <x v="0"/>
    <x v="49"/>
    <n v="7"/>
    <n v="108185.81"/>
    <x v="0"/>
    <s v="No"/>
    <x v="0"/>
    <n v="24093.4"/>
    <x v="0"/>
    <n v="0.36365563475022"/>
    <s v="No"/>
    <n v="1"/>
    <n v="0"/>
    <x v="0"/>
    <x v="3"/>
    <x v="0"/>
    <x v="3"/>
    <x v="2"/>
    <n v="0"/>
  </r>
  <r>
    <n v="643"/>
    <x v="2"/>
    <x v="0"/>
    <x v="19"/>
    <n v="7"/>
    <n v="0"/>
    <x v="0"/>
    <s v="No"/>
    <x v="1"/>
    <n v="100304.13"/>
    <x v="1"/>
    <n v="3.6893418844990547E-2"/>
    <s v="No"/>
    <n v="0"/>
    <n v="0"/>
    <x v="1"/>
    <x v="1"/>
    <x v="1"/>
    <x v="0"/>
    <x v="0"/>
    <n v="1"/>
  </r>
  <r>
    <n v="448"/>
    <x v="0"/>
    <x v="0"/>
    <x v="36"/>
    <n v="2"/>
    <n v="0"/>
    <x v="0"/>
    <s v="No"/>
    <x v="0"/>
    <n v="95215.73"/>
    <x v="1"/>
    <n v="7.1181314557576383E-2"/>
    <s v="No"/>
    <n v="0"/>
    <n v="0"/>
    <x v="1"/>
    <x v="2"/>
    <x v="1"/>
    <x v="4"/>
    <x v="3"/>
    <n v="1"/>
  </r>
  <r>
    <n v="615"/>
    <x v="0"/>
    <x v="1"/>
    <x v="4"/>
    <n v="7"/>
    <n v="143330.56"/>
    <x v="0"/>
    <s v="Yes"/>
    <x v="1"/>
    <n v="126396.01"/>
    <x v="1"/>
    <n v="6.4588622708052823E-2"/>
    <s v="No"/>
    <n v="0"/>
    <n v="0"/>
    <x v="1"/>
    <x v="2"/>
    <x v="0"/>
    <x v="0"/>
    <x v="0"/>
    <n v="1"/>
  </r>
  <r>
    <n v="850"/>
    <x v="2"/>
    <x v="0"/>
    <x v="24"/>
    <n v="10"/>
    <n v="153972.89000000001"/>
    <x v="0"/>
    <s v="Yes"/>
    <x v="0"/>
    <n v="62811.03"/>
    <x v="1"/>
    <n v="8.9070561775805038E-2"/>
    <s v="No"/>
    <n v="0"/>
    <n v="0"/>
    <x v="1"/>
    <x v="2"/>
    <x v="3"/>
    <x v="3"/>
    <x v="3"/>
    <n v="1"/>
  </r>
  <r>
    <n v="639"/>
    <x v="2"/>
    <x v="0"/>
    <x v="65"/>
    <n v="6"/>
    <n v="80926.02"/>
    <x v="0"/>
    <s v="Yes"/>
    <x v="1"/>
    <n v="55829.25"/>
    <x v="1"/>
    <n v="0.52367667956529396"/>
    <s v="Yes"/>
    <n v="0"/>
    <n v="1"/>
    <x v="2"/>
    <x v="4"/>
    <x v="2"/>
    <x v="0"/>
    <x v="3"/>
    <n v="0"/>
  </r>
  <r>
    <n v="589"/>
    <x v="1"/>
    <x v="1"/>
    <x v="6"/>
    <n v="7"/>
    <n v="92618.62"/>
    <x v="1"/>
    <s v="Yes"/>
    <x v="1"/>
    <n v="101178.85"/>
    <x v="1"/>
    <n v="0.25750588163871441"/>
    <s v="No"/>
    <n v="0"/>
    <n v="0"/>
    <x v="0"/>
    <x v="0"/>
    <x v="2"/>
    <x v="1"/>
    <x v="0"/>
    <n v="1"/>
  </r>
  <r>
    <n v="620"/>
    <x v="1"/>
    <x v="1"/>
    <x v="36"/>
    <n v="8"/>
    <n v="141825.88"/>
    <x v="1"/>
    <s v="Yes"/>
    <x v="1"/>
    <n v="73857.94"/>
    <x v="0"/>
    <n v="0.1023058233143001"/>
    <s v="No"/>
    <n v="1"/>
    <n v="0"/>
    <x v="1"/>
    <x v="2"/>
    <x v="0"/>
    <x v="0"/>
    <x v="3"/>
    <n v="0"/>
  </r>
  <r>
    <n v="666"/>
    <x v="1"/>
    <x v="1"/>
    <x v="11"/>
    <n v="2"/>
    <n v="158468.76"/>
    <x v="1"/>
    <s v="No"/>
    <x v="1"/>
    <n v="93266.01"/>
    <x v="1"/>
    <n v="0.24771081089136529"/>
    <s v="No"/>
    <n v="0"/>
    <n v="0"/>
    <x v="0"/>
    <x v="1"/>
    <x v="3"/>
    <x v="0"/>
    <x v="3"/>
    <n v="1"/>
  </r>
  <r>
    <n v="836"/>
    <x v="2"/>
    <x v="1"/>
    <x v="4"/>
    <n v="9"/>
    <n v="133681.78"/>
    <x v="1"/>
    <s v="Yes"/>
    <x v="1"/>
    <n v="153747.73000000001"/>
    <x v="1"/>
    <n v="5.6783744215478223E-2"/>
    <s v="No"/>
    <n v="0"/>
    <n v="0"/>
    <x v="1"/>
    <x v="2"/>
    <x v="0"/>
    <x v="3"/>
    <x v="1"/>
    <n v="1"/>
  </r>
  <r>
    <n v="762"/>
    <x v="1"/>
    <x v="0"/>
    <x v="22"/>
    <n v="1"/>
    <n v="117458.51"/>
    <x v="1"/>
    <s v="No"/>
    <x v="1"/>
    <n v="178361.48"/>
    <x v="0"/>
    <n v="0.12879280728301709"/>
    <s v="No"/>
    <n v="1"/>
    <n v="0"/>
    <x v="1"/>
    <x v="1"/>
    <x v="0"/>
    <x v="2"/>
    <x v="1"/>
    <n v="0"/>
  </r>
  <r>
    <n v="639"/>
    <x v="2"/>
    <x v="0"/>
    <x v="15"/>
    <n v="4"/>
    <n v="0"/>
    <x v="0"/>
    <s v="Yes"/>
    <x v="0"/>
    <n v="28188.959999999999"/>
    <x v="1"/>
    <n v="4.4335985128094162E-2"/>
    <s v="No"/>
    <n v="0"/>
    <n v="0"/>
    <x v="1"/>
    <x v="2"/>
    <x v="1"/>
    <x v="0"/>
    <x v="2"/>
    <n v="1"/>
  </r>
  <r>
    <n v="626"/>
    <x v="1"/>
    <x v="1"/>
    <x v="34"/>
    <n v="6"/>
    <n v="85897.95"/>
    <x v="1"/>
    <s v="Yes"/>
    <x v="0"/>
    <n v="109742.8"/>
    <x v="1"/>
    <n v="0.21091185718254671"/>
    <s v="No"/>
    <n v="0"/>
    <n v="0"/>
    <x v="0"/>
    <x v="2"/>
    <x v="2"/>
    <x v="0"/>
    <x v="0"/>
    <n v="1"/>
  </r>
  <r>
    <n v="737"/>
    <x v="1"/>
    <x v="1"/>
    <x v="1"/>
    <n v="2"/>
    <n v="99169.67"/>
    <x v="0"/>
    <s v="Yes"/>
    <x v="1"/>
    <n v="78650.95"/>
    <x v="1"/>
    <n v="0.29613706122295352"/>
    <s v="No"/>
    <n v="0"/>
    <n v="0"/>
    <x v="0"/>
    <x v="0"/>
    <x v="2"/>
    <x v="2"/>
    <x v="3"/>
    <n v="1"/>
  </r>
  <r>
    <n v="628"/>
    <x v="2"/>
    <x v="1"/>
    <x v="4"/>
    <n v="9"/>
    <n v="71996.289999999994"/>
    <x v="1"/>
    <s v="Yes"/>
    <x v="1"/>
    <n v="34857.46"/>
    <x v="1"/>
    <n v="5.2528872593692842E-2"/>
    <s v="No"/>
    <n v="0"/>
    <n v="0"/>
    <x v="1"/>
    <x v="2"/>
    <x v="2"/>
    <x v="0"/>
    <x v="2"/>
    <n v="1"/>
  </r>
  <r>
    <n v="721"/>
    <x v="2"/>
    <x v="0"/>
    <x v="49"/>
    <n v="5"/>
    <n v="0"/>
    <x v="0"/>
    <s v="Yes"/>
    <x v="1"/>
    <n v="4493.12"/>
    <x v="1"/>
    <n v="0.13210062443327431"/>
    <s v="No"/>
    <n v="0"/>
    <n v="0"/>
    <x v="1"/>
    <x v="3"/>
    <x v="1"/>
    <x v="2"/>
    <x v="2"/>
    <n v="1"/>
  </r>
  <r>
    <n v="634"/>
    <x v="2"/>
    <x v="1"/>
    <x v="23"/>
    <n v="2"/>
    <n v="87413.19"/>
    <x v="1"/>
    <s v="Yes"/>
    <x v="0"/>
    <n v="63340.65"/>
    <x v="1"/>
    <n v="0.1210760700593693"/>
    <s v="No"/>
    <n v="0"/>
    <n v="0"/>
    <x v="1"/>
    <x v="2"/>
    <x v="2"/>
    <x v="0"/>
    <x v="3"/>
    <n v="1"/>
  </r>
  <r>
    <n v="691"/>
    <x v="0"/>
    <x v="0"/>
    <x v="28"/>
    <n v="7"/>
    <n v="129934.64"/>
    <x v="1"/>
    <s v="No"/>
    <x v="0"/>
    <n v="75664.56"/>
    <x v="0"/>
    <n v="0.16903289042013869"/>
    <s v="No"/>
    <n v="1"/>
    <n v="0"/>
    <x v="1"/>
    <x v="1"/>
    <x v="0"/>
    <x v="0"/>
    <x v="3"/>
    <n v="0"/>
  </r>
  <r>
    <n v="665"/>
    <x v="1"/>
    <x v="1"/>
    <x v="12"/>
    <n v="2"/>
    <n v="116322.27"/>
    <x v="3"/>
    <s v="Yes"/>
    <x v="0"/>
    <n v="35640.120000000003"/>
    <x v="0"/>
    <n v="0.48478894939448669"/>
    <s v="No"/>
    <n v="1"/>
    <n v="0"/>
    <x v="0"/>
    <x v="0"/>
    <x v="0"/>
    <x v="0"/>
    <x v="2"/>
    <n v="0"/>
  </r>
  <r>
    <n v="645"/>
    <x v="0"/>
    <x v="1"/>
    <x v="4"/>
    <n v="4"/>
    <n v="0"/>
    <x v="0"/>
    <s v="Yes"/>
    <x v="1"/>
    <n v="74346.11"/>
    <x v="1"/>
    <n v="4.5871346975034893E-2"/>
    <s v="No"/>
    <n v="0"/>
    <n v="0"/>
    <x v="1"/>
    <x v="2"/>
    <x v="1"/>
    <x v="0"/>
    <x v="3"/>
    <n v="1"/>
  </r>
  <r>
    <n v="609"/>
    <x v="0"/>
    <x v="0"/>
    <x v="25"/>
    <n v="4"/>
    <n v="99883.16"/>
    <x v="1"/>
    <s v="Yes"/>
    <x v="1"/>
    <n v="120594.85"/>
    <x v="1"/>
    <n v="4.9870641917625309E-2"/>
    <s v="No"/>
    <n v="0"/>
    <n v="0"/>
    <x v="1"/>
    <x v="1"/>
    <x v="2"/>
    <x v="0"/>
    <x v="0"/>
    <n v="1"/>
  </r>
  <r>
    <n v="759"/>
    <x v="2"/>
    <x v="0"/>
    <x v="0"/>
    <n v="2"/>
    <n v="111095.58"/>
    <x v="0"/>
    <s v="Yes"/>
    <x v="0"/>
    <n v="100137.7"/>
    <x v="1"/>
    <n v="0.23901729514653761"/>
    <s v="No"/>
    <n v="0"/>
    <n v="0"/>
    <x v="0"/>
    <x v="0"/>
    <x v="0"/>
    <x v="2"/>
    <x v="0"/>
    <n v="1"/>
  </r>
  <r>
    <n v="567"/>
    <x v="0"/>
    <x v="0"/>
    <x v="22"/>
    <n v="8"/>
    <n v="153137.74"/>
    <x v="1"/>
    <s v="Yes"/>
    <x v="0"/>
    <n v="88659.07"/>
    <x v="1"/>
    <n v="0.17289666485881561"/>
    <s v="No"/>
    <n v="0"/>
    <n v="0"/>
    <x v="1"/>
    <x v="1"/>
    <x v="3"/>
    <x v="1"/>
    <x v="3"/>
    <n v="1"/>
  </r>
  <r>
    <n v="616"/>
    <x v="2"/>
    <x v="0"/>
    <x v="0"/>
    <n v="5"/>
    <n v="102016.38"/>
    <x v="1"/>
    <s v="No"/>
    <x v="1"/>
    <n v="178235.37"/>
    <x v="0"/>
    <n v="0.11381869108946389"/>
    <s v="No"/>
    <n v="1"/>
    <n v="0"/>
    <x v="1"/>
    <x v="0"/>
    <x v="0"/>
    <x v="0"/>
    <x v="1"/>
    <n v="0"/>
  </r>
  <r>
    <n v="561"/>
    <x v="2"/>
    <x v="0"/>
    <x v="25"/>
    <n v="5"/>
    <n v="0"/>
    <x v="0"/>
    <s v="Yes"/>
    <x v="0"/>
    <n v="84871.99"/>
    <x v="1"/>
    <n v="9.4084557687021814E-2"/>
    <s v="No"/>
    <n v="0"/>
    <n v="0"/>
    <x v="1"/>
    <x v="1"/>
    <x v="1"/>
    <x v="1"/>
    <x v="3"/>
    <n v="1"/>
  </r>
  <r>
    <n v="681"/>
    <x v="2"/>
    <x v="1"/>
    <x v="50"/>
    <n v="8"/>
    <n v="93173.88"/>
    <x v="1"/>
    <s v="Yes"/>
    <x v="1"/>
    <n v="139761.25"/>
    <x v="1"/>
    <n v="0.34299868786102922"/>
    <s v="No"/>
    <n v="0"/>
    <n v="0"/>
    <x v="0"/>
    <x v="3"/>
    <x v="2"/>
    <x v="0"/>
    <x v="0"/>
    <n v="1"/>
  </r>
  <r>
    <n v="721"/>
    <x v="0"/>
    <x v="1"/>
    <x v="25"/>
    <n v="10"/>
    <n v="0"/>
    <x v="1"/>
    <s v="Yes"/>
    <x v="0"/>
    <n v="136119.96"/>
    <x v="0"/>
    <n v="0.14725645406292739"/>
    <s v="No"/>
    <n v="1"/>
    <n v="0"/>
    <x v="1"/>
    <x v="1"/>
    <x v="1"/>
    <x v="2"/>
    <x v="0"/>
    <n v="0"/>
  </r>
  <r>
    <n v="654"/>
    <x v="0"/>
    <x v="1"/>
    <x v="25"/>
    <n v="2"/>
    <n v="0"/>
    <x v="1"/>
    <s v="Yes"/>
    <x v="1"/>
    <n v="51972.92"/>
    <x v="0"/>
    <n v="6.3652974051180422E-2"/>
    <s v="No"/>
    <n v="1"/>
    <n v="0"/>
    <x v="1"/>
    <x v="1"/>
    <x v="1"/>
    <x v="0"/>
    <x v="3"/>
    <n v="0"/>
  </r>
  <r>
    <n v="659"/>
    <x v="0"/>
    <x v="0"/>
    <x v="29"/>
    <n v="4"/>
    <n v="0"/>
    <x v="0"/>
    <s v="Yes"/>
    <x v="0"/>
    <n v="99341.87"/>
    <x v="1"/>
    <n v="6.6841021438300313E-2"/>
    <s v="No"/>
    <n v="0"/>
    <n v="0"/>
    <x v="1"/>
    <x v="2"/>
    <x v="1"/>
    <x v="0"/>
    <x v="3"/>
    <n v="1"/>
  </r>
  <r>
    <n v="566"/>
    <x v="1"/>
    <x v="0"/>
    <x v="49"/>
    <n v="4"/>
    <n v="118614.6"/>
    <x v="0"/>
    <s v="Yes"/>
    <x v="1"/>
    <n v="172601.62"/>
    <x v="1"/>
    <n v="0.36227035548265718"/>
    <s v="No"/>
    <n v="0"/>
    <n v="0"/>
    <x v="0"/>
    <x v="3"/>
    <x v="0"/>
    <x v="1"/>
    <x v="1"/>
    <n v="1"/>
  </r>
  <r>
    <n v="500"/>
    <x v="1"/>
    <x v="0"/>
    <x v="24"/>
    <n v="2"/>
    <n v="125495.64"/>
    <x v="0"/>
    <s v="Yes"/>
    <x v="1"/>
    <n v="68807.47"/>
    <x v="1"/>
    <n v="9.1427716671576564E-2"/>
    <s v="No"/>
    <n v="0"/>
    <n v="0"/>
    <x v="1"/>
    <x v="2"/>
    <x v="0"/>
    <x v="4"/>
    <x v="3"/>
    <n v="1"/>
  </r>
  <r>
    <n v="595"/>
    <x v="1"/>
    <x v="1"/>
    <x v="27"/>
    <n v="8"/>
    <n v="118547.72"/>
    <x v="1"/>
    <s v="Yes"/>
    <x v="1"/>
    <n v="151192.18"/>
    <x v="1"/>
    <n v="0.10932766537690961"/>
    <s v="No"/>
    <n v="0"/>
    <n v="0"/>
    <x v="1"/>
    <x v="2"/>
    <x v="0"/>
    <x v="1"/>
    <x v="1"/>
    <n v="1"/>
  </r>
  <r>
    <n v="660"/>
    <x v="2"/>
    <x v="1"/>
    <x v="21"/>
    <n v="8"/>
    <n v="167181.01"/>
    <x v="1"/>
    <s v="Yes"/>
    <x v="1"/>
    <n v="185156.94"/>
    <x v="1"/>
    <n v="0.1480360584178026"/>
    <s v="No"/>
    <n v="0"/>
    <n v="0"/>
    <x v="1"/>
    <x v="1"/>
    <x v="3"/>
    <x v="0"/>
    <x v="1"/>
    <n v="1"/>
  </r>
  <r>
    <n v="580"/>
    <x v="1"/>
    <x v="0"/>
    <x v="22"/>
    <n v="9"/>
    <n v="121355.19"/>
    <x v="1"/>
    <s v="No"/>
    <x v="1"/>
    <n v="35671.449999999997"/>
    <x v="1"/>
    <n v="0.11777142688839499"/>
    <s v="No"/>
    <n v="0"/>
    <n v="0"/>
    <x v="1"/>
    <x v="1"/>
    <x v="0"/>
    <x v="1"/>
    <x v="2"/>
    <n v="1"/>
  </r>
  <r>
    <n v="676"/>
    <x v="0"/>
    <x v="0"/>
    <x v="22"/>
    <n v="0"/>
    <n v="0"/>
    <x v="0"/>
    <s v="No"/>
    <x v="0"/>
    <n v="139911.57999999999"/>
    <x v="1"/>
    <n v="0.1276364159909873"/>
    <s v="No"/>
    <n v="0"/>
    <n v="0"/>
    <x v="1"/>
    <x v="1"/>
    <x v="1"/>
    <x v="0"/>
    <x v="0"/>
    <n v="1"/>
  </r>
  <r>
    <n v="611"/>
    <x v="1"/>
    <x v="1"/>
    <x v="28"/>
    <n v="10"/>
    <n v="103294.56"/>
    <x v="1"/>
    <s v="Yes"/>
    <x v="0"/>
    <n v="160548.12"/>
    <x v="1"/>
    <n v="0.41270832470232149"/>
    <s v="No"/>
    <n v="0"/>
    <n v="0"/>
    <x v="0"/>
    <x v="1"/>
    <x v="0"/>
    <x v="0"/>
    <x v="1"/>
    <n v="1"/>
  </r>
  <r>
    <n v="507"/>
    <x v="0"/>
    <x v="1"/>
    <x v="19"/>
    <n v="4"/>
    <n v="0"/>
    <x v="0"/>
    <s v="Yes"/>
    <x v="1"/>
    <n v="60688.38"/>
    <x v="1"/>
    <n v="7.0627349462152461E-2"/>
    <s v="No"/>
    <n v="0"/>
    <n v="0"/>
    <x v="1"/>
    <x v="1"/>
    <x v="1"/>
    <x v="1"/>
    <x v="3"/>
    <n v="1"/>
  </r>
  <r>
    <n v="777"/>
    <x v="2"/>
    <x v="0"/>
    <x v="12"/>
    <n v="1"/>
    <n v="0"/>
    <x v="0"/>
    <s v="Yes"/>
    <x v="0"/>
    <n v="21785.91"/>
    <x v="1"/>
    <n v="0.17414742040857659"/>
    <s v="No"/>
    <n v="0"/>
    <n v="0"/>
    <x v="1"/>
    <x v="0"/>
    <x v="1"/>
    <x v="2"/>
    <x v="2"/>
    <n v="1"/>
  </r>
  <r>
    <n v="706"/>
    <x v="0"/>
    <x v="0"/>
    <x v="24"/>
    <n v="6"/>
    <n v="87609.68"/>
    <x v="0"/>
    <s v="No"/>
    <x v="0"/>
    <n v="137674.54999999999"/>
    <x v="0"/>
    <n v="9.9242634441183628E-2"/>
    <s v="No"/>
    <n v="1"/>
    <n v="0"/>
    <x v="1"/>
    <x v="2"/>
    <x v="2"/>
    <x v="2"/>
    <x v="0"/>
    <n v="0"/>
  </r>
  <r>
    <n v="738"/>
    <x v="0"/>
    <x v="0"/>
    <x v="9"/>
    <n v="3"/>
    <n v="0"/>
    <x v="2"/>
    <s v="Yes"/>
    <x v="1"/>
    <n v="65066.48"/>
    <x v="0"/>
    <n v="9.4835787458997692E-2"/>
    <s v="No"/>
    <n v="1"/>
    <n v="0"/>
    <x v="1"/>
    <x v="0"/>
    <x v="1"/>
    <x v="2"/>
    <x v="3"/>
    <n v="0"/>
  </r>
  <r>
    <n v="512"/>
    <x v="2"/>
    <x v="0"/>
    <x v="7"/>
    <n v="6"/>
    <n v="144953.31"/>
    <x v="1"/>
    <s v="Yes"/>
    <x v="1"/>
    <n v="165035.17000000001"/>
    <x v="1"/>
    <n v="0.19616084075754059"/>
    <s v="No"/>
    <n v="0"/>
    <n v="0"/>
    <x v="1"/>
    <x v="3"/>
    <x v="0"/>
    <x v="1"/>
    <x v="1"/>
    <n v="1"/>
  </r>
  <r>
    <n v="635"/>
    <x v="2"/>
    <x v="0"/>
    <x v="6"/>
    <n v="4"/>
    <n v="103544.88"/>
    <x v="0"/>
    <s v="Yes"/>
    <x v="0"/>
    <n v="193746.55"/>
    <x v="1"/>
    <n v="0.21400025870631981"/>
    <s v="No"/>
    <n v="0"/>
    <n v="0"/>
    <x v="0"/>
    <x v="0"/>
    <x v="0"/>
    <x v="0"/>
    <x v="1"/>
    <n v="1"/>
  </r>
  <r>
    <n v="708"/>
    <x v="2"/>
    <x v="0"/>
    <x v="42"/>
    <n v="10"/>
    <n v="105355.81"/>
    <x v="1"/>
    <s v="Yes"/>
    <x v="0"/>
    <n v="123.07"/>
    <x v="0"/>
    <n v="0.34156138996453678"/>
    <s v="No"/>
    <n v="1"/>
    <n v="0"/>
    <x v="0"/>
    <x v="3"/>
    <x v="0"/>
    <x v="2"/>
    <x v="2"/>
    <n v="0"/>
  </r>
  <r>
    <n v="422"/>
    <x v="0"/>
    <x v="1"/>
    <x v="49"/>
    <n v="4"/>
    <n v="0"/>
    <x v="0"/>
    <s v="Yes"/>
    <x v="1"/>
    <n v="7166.71"/>
    <x v="1"/>
    <n v="0.25572156676575591"/>
    <s v="No"/>
    <n v="0"/>
    <n v="0"/>
    <x v="0"/>
    <x v="3"/>
    <x v="1"/>
    <x v="4"/>
    <x v="2"/>
    <n v="1"/>
  </r>
  <r>
    <n v="718"/>
    <x v="2"/>
    <x v="0"/>
    <x v="42"/>
    <n v="8"/>
    <n v="79475.3"/>
    <x v="2"/>
    <s v="Yes"/>
    <x v="1"/>
    <n v="32421.32"/>
    <x v="0"/>
    <n v="0.1224117622706314"/>
    <s v="No"/>
    <n v="1"/>
    <n v="0"/>
    <x v="1"/>
    <x v="3"/>
    <x v="2"/>
    <x v="2"/>
    <x v="2"/>
    <n v="0"/>
  </r>
  <r>
    <n v="481"/>
    <x v="0"/>
    <x v="1"/>
    <x v="11"/>
    <n v="8"/>
    <n v="0"/>
    <x v="0"/>
    <s v="Yes"/>
    <x v="0"/>
    <n v="44215.86"/>
    <x v="1"/>
    <n v="0.20823246118488509"/>
    <s v="No"/>
    <n v="0"/>
    <n v="0"/>
    <x v="0"/>
    <x v="1"/>
    <x v="1"/>
    <x v="4"/>
    <x v="2"/>
    <n v="1"/>
  </r>
  <r>
    <n v="682"/>
    <x v="2"/>
    <x v="0"/>
    <x v="27"/>
    <n v="8"/>
    <n v="0"/>
    <x v="0"/>
    <s v="Yes"/>
    <x v="0"/>
    <n v="178373.43"/>
    <x v="1"/>
    <n v="5.7349369792396063E-2"/>
    <s v="No"/>
    <n v="0"/>
    <n v="0"/>
    <x v="1"/>
    <x v="2"/>
    <x v="1"/>
    <x v="0"/>
    <x v="1"/>
    <n v="1"/>
  </r>
  <r>
    <n v="694"/>
    <x v="0"/>
    <x v="1"/>
    <x v="10"/>
    <n v="9"/>
    <n v="0"/>
    <x v="0"/>
    <s v="No"/>
    <x v="0"/>
    <n v="99924.04"/>
    <x v="1"/>
    <n v="0.2155992662298182"/>
    <s v="No"/>
    <n v="0"/>
    <n v="0"/>
    <x v="0"/>
    <x v="1"/>
    <x v="1"/>
    <x v="0"/>
    <x v="3"/>
    <n v="1"/>
  </r>
  <r>
    <n v="794"/>
    <x v="0"/>
    <x v="1"/>
    <x v="24"/>
    <n v="1"/>
    <n v="154970.54"/>
    <x v="1"/>
    <s v="No"/>
    <x v="1"/>
    <n v="156768.45000000001"/>
    <x v="1"/>
    <n v="8.1572625654361533E-2"/>
    <s v="No"/>
    <n v="0"/>
    <n v="0"/>
    <x v="1"/>
    <x v="2"/>
    <x v="3"/>
    <x v="2"/>
    <x v="1"/>
    <n v="1"/>
  </r>
  <r>
    <n v="736"/>
    <x v="2"/>
    <x v="0"/>
    <x v="4"/>
    <n v="4"/>
    <n v="0"/>
    <x v="0"/>
    <s v="No"/>
    <x v="0"/>
    <n v="51705.01"/>
    <x v="1"/>
    <n v="7.0801447154264924E-2"/>
    <s v="No"/>
    <n v="0"/>
    <n v="0"/>
    <x v="1"/>
    <x v="2"/>
    <x v="1"/>
    <x v="2"/>
    <x v="3"/>
    <n v="1"/>
  </r>
  <r>
    <n v="537"/>
    <x v="2"/>
    <x v="1"/>
    <x v="1"/>
    <n v="7"/>
    <n v="158621.04"/>
    <x v="1"/>
    <s v="Yes"/>
    <x v="0"/>
    <n v="120892.96"/>
    <x v="0"/>
    <n v="0.43943586462364248"/>
    <s v="No"/>
    <n v="1"/>
    <n v="0"/>
    <x v="0"/>
    <x v="0"/>
    <x v="3"/>
    <x v="1"/>
    <x v="0"/>
    <n v="0"/>
  </r>
  <r>
    <n v="822"/>
    <x v="1"/>
    <x v="1"/>
    <x v="16"/>
    <n v="3"/>
    <n v="115074.02"/>
    <x v="0"/>
    <s v="Yes"/>
    <x v="0"/>
    <n v="26249.86"/>
    <x v="1"/>
    <n v="0.55758501864249532"/>
    <s v="Yes"/>
    <n v="0"/>
    <n v="1"/>
    <x v="2"/>
    <x v="0"/>
    <x v="0"/>
    <x v="3"/>
    <x v="2"/>
    <n v="0"/>
  </r>
  <r>
    <n v="670"/>
    <x v="0"/>
    <x v="1"/>
    <x v="21"/>
    <n v="3"/>
    <n v="0"/>
    <x v="1"/>
    <s v="Yes"/>
    <x v="1"/>
    <n v="182650.15"/>
    <x v="1"/>
    <n v="0.11361362863369499"/>
    <s v="No"/>
    <n v="0"/>
    <n v="0"/>
    <x v="1"/>
    <x v="1"/>
    <x v="1"/>
    <x v="0"/>
    <x v="1"/>
    <n v="1"/>
  </r>
  <r>
    <n v="723"/>
    <x v="1"/>
    <x v="1"/>
    <x v="44"/>
    <n v="3"/>
    <n v="110357"/>
    <x v="1"/>
    <s v="No"/>
    <x v="0"/>
    <n v="141977.54"/>
    <x v="0"/>
    <n v="0.89245837007016504"/>
    <s v="Yes"/>
    <n v="1"/>
    <n v="1"/>
    <x v="2"/>
    <x v="4"/>
    <x v="0"/>
    <x v="2"/>
    <x v="0"/>
    <n v="1"/>
  </r>
  <r>
    <n v="517"/>
    <x v="1"/>
    <x v="1"/>
    <x v="31"/>
    <n v="8"/>
    <n v="154110.99"/>
    <x v="0"/>
    <s v="Yes"/>
    <x v="0"/>
    <n v="101240.08"/>
    <x v="0"/>
    <n v="0.80978731910682888"/>
    <s v="Yes"/>
    <n v="1"/>
    <n v="1"/>
    <x v="2"/>
    <x v="3"/>
    <x v="3"/>
    <x v="1"/>
    <x v="0"/>
    <n v="1"/>
  </r>
  <r>
    <n v="766"/>
    <x v="2"/>
    <x v="0"/>
    <x v="25"/>
    <n v="6"/>
    <n v="185714.28"/>
    <x v="1"/>
    <s v="Yes"/>
    <x v="1"/>
    <n v="102502.5"/>
    <x v="1"/>
    <n v="5.1099648281273842E-2"/>
    <s v="No"/>
    <n v="0"/>
    <n v="0"/>
    <x v="1"/>
    <x v="1"/>
    <x v="3"/>
    <x v="2"/>
    <x v="0"/>
    <n v="1"/>
  </r>
  <r>
    <n v="722"/>
    <x v="0"/>
    <x v="1"/>
    <x v="25"/>
    <n v="4"/>
    <n v="0"/>
    <x v="0"/>
    <s v="Yes"/>
    <x v="1"/>
    <n v="113666.48"/>
    <x v="1"/>
    <n v="5.4977287056018197E-2"/>
    <s v="No"/>
    <n v="0"/>
    <n v="0"/>
    <x v="1"/>
    <x v="1"/>
    <x v="1"/>
    <x v="2"/>
    <x v="0"/>
    <n v="1"/>
  </r>
  <r>
    <n v="590"/>
    <x v="2"/>
    <x v="0"/>
    <x v="10"/>
    <n v="9"/>
    <n v="0"/>
    <x v="0"/>
    <s v="Yes"/>
    <x v="1"/>
    <n v="104730.52"/>
    <x v="1"/>
    <n v="5.0941872285449608E-2"/>
    <s v="No"/>
    <n v="0"/>
    <n v="0"/>
    <x v="1"/>
    <x v="1"/>
    <x v="1"/>
    <x v="1"/>
    <x v="0"/>
    <n v="1"/>
  </r>
  <r>
    <n v="631"/>
    <x v="0"/>
    <x v="0"/>
    <x v="2"/>
    <n v="7"/>
    <n v="0"/>
    <x v="0"/>
    <s v="Yes"/>
    <x v="0"/>
    <n v="181605.85"/>
    <x v="1"/>
    <n v="0.13987992002267241"/>
    <s v="No"/>
    <n v="0"/>
    <n v="0"/>
    <x v="1"/>
    <x v="1"/>
    <x v="1"/>
    <x v="0"/>
    <x v="1"/>
    <n v="1"/>
  </r>
  <r>
    <n v="808"/>
    <x v="0"/>
    <x v="0"/>
    <x v="36"/>
    <n v="7"/>
    <n v="0"/>
    <x v="0"/>
    <s v="No"/>
    <x v="1"/>
    <n v="23180.37"/>
    <x v="1"/>
    <n v="1.7174128726033001E-2"/>
    <s v="No"/>
    <n v="0"/>
    <n v="0"/>
    <x v="1"/>
    <x v="2"/>
    <x v="1"/>
    <x v="3"/>
    <x v="2"/>
    <n v="1"/>
  </r>
  <r>
    <n v="705"/>
    <x v="1"/>
    <x v="1"/>
    <x v="21"/>
    <n v="3"/>
    <n v="92889.91"/>
    <x v="1"/>
    <s v="Yes"/>
    <x v="1"/>
    <n v="109496.69"/>
    <x v="1"/>
    <n v="0.24438860242762789"/>
    <s v="No"/>
    <n v="0"/>
    <n v="0"/>
    <x v="0"/>
    <x v="1"/>
    <x v="2"/>
    <x v="2"/>
    <x v="0"/>
    <n v="1"/>
  </r>
  <r>
    <n v="713"/>
    <x v="1"/>
    <x v="0"/>
    <x v="1"/>
    <n v="4"/>
    <n v="131038.14"/>
    <x v="1"/>
    <s v="Yes"/>
    <x v="0"/>
    <n v="74005.039999999994"/>
    <x v="0"/>
    <n v="0.45940971416190968"/>
    <s v="No"/>
    <n v="1"/>
    <n v="0"/>
    <x v="0"/>
    <x v="0"/>
    <x v="0"/>
    <x v="2"/>
    <x v="3"/>
    <n v="0"/>
  </r>
  <r>
    <n v="634"/>
    <x v="1"/>
    <x v="0"/>
    <x v="40"/>
    <n v="5"/>
    <n v="108891.7"/>
    <x v="1"/>
    <s v="Yes"/>
    <x v="0"/>
    <n v="10078.02"/>
    <x v="1"/>
    <n v="0.87267531631387418"/>
    <s v="Yes"/>
    <n v="0"/>
    <n v="1"/>
    <x v="2"/>
    <x v="4"/>
    <x v="0"/>
    <x v="0"/>
    <x v="2"/>
    <n v="0"/>
  </r>
  <r>
    <n v="777"/>
    <x v="2"/>
    <x v="1"/>
    <x v="4"/>
    <n v="9"/>
    <n v="131240.60999999999"/>
    <x v="1"/>
    <s v="Yes"/>
    <x v="1"/>
    <n v="163746.09"/>
    <x v="0"/>
    <n v="5.8970818823565009E-2"/>
    <s v="No"/>
    <n v="1"/>
    <n v="0"/>
    <x v="1"/>
    <x v="2"/>
    <x v="0"/>
    <x v="2"/>
    <x v="1"/>
    <n v="0"/>
  </r>
  <r>
    <n v="506"/>
    <x v="2"/>
    <x v="1"/>
    <x v="21"/>
    <n v="3"/>
    <n v="0"/>
    <x v="1"/>
    <s v="Yes"/>
    <x v="1"/>
    <n v="144345.57999999999"/>
    <x v="1"/>
    <n v="0.11913341218193001"/>
    <s v="No"/>
    <n v="0"/>
    <n v="0"/>
    <x v="1"/>
    <x v="1"/>
    <x v="1"/>
    <x v="1"/>
    <x v="0"/>
    <n v="1"/>
  </r>
  <r>
    <n v="612"/>
    <x v="1"/>
    <x v="0"/>
    <x v="16"/>
    <n v="9"/>
    <n v="161450.03"/>
    <x v="1"/>
    <s v="Yes"/>
    <x v="1"/>
    <n v="96961"/>
    <x v="0"/>
    <n v="0.24676477395373481"/>
    <s v="No"/>
    <n v="1"/>
    <n v="0"/>
    <x v="0"/>
    <x v="0"/>
    <x v="3"/>
    <x v="0"/>
    <x v="3"/>
    <n v="0"/>
  </r>
  <r>
    <n v="545"/>
    <x v="2"/>
    <x v="0"/>
    <x v="24"/>
    <n v="3"/>
    <n v="0"/>
    <x v="0"/>
    <s v="Yes"/>
    <x v="0"/>
    <n v="170307.43"/>
    <x v="1"/>
    <n v="8.9946636784095729E-2"/>
    <s v="No"/>
    <n v="0"/>
    <n v="0"/>
    <x v="1"/>
    <x v="2"/>
    <x v="1"/>
    <x v="1"/>
    <x v="1"/>
    <n v="1"/>
  </r>
  <r>
    <n v="793"/>
    <x v="2"/>
    <x v="0"/>
    <x v="47"/>
    <n v="8"/>
    <n v="119496.25"/>
    <x v="0"/>
    <s v="Yes"/>
    <x v="0"/>
    <n v="29880.99"/>
    <x v="1"/>
    <n v="0.3941366602089903"/>
    <s v="No"/>
    <n v="0"/>
    <n v="0"/>
    <x v="0"/>
    <x v="3"/>
    <x v="0"/>
    <x v="2"/>
    <x v="2"/>
    <n v="1"/>
  </r>
  <r>
    <n v="482"/>
    <x v="2"/>
    <x v="1"/>
    <x v="22"/>
    <n v="5"/>
    <n v="147813.04999999999"/>
    <x v="0"/>
    <s v="No"/>
    <x v="0"/>
    <n v="109029.72"/>
    <x v="1"/>
    <n v="0.26663239709747188"/>
    <s v="No"/>
    <n v="0"/>
    <n v="0"/>
    <x v="0"/>
    <x v="1"/>
    <x v="0"/>
    <x v="4"/>
    <x v="0"/>
    <n v="1"/>
  </r>
  <r>
    <n v="850"/>
    <x v="2"/>
    <x v="1"/>
    <x v="22"/>
    <n v="2"/>
    <n v="128548.49"/>
    <x v="3"/>
    <s v="Yes"/>
    <x v="0"/>
    <n v="75478.95"/>
    <x v="0"/>
    <n v="0.1801509308706688"/>
    <s v="No"/>
    <n v="1"/>
    <n v="0"/>
    <x v="1"/>
    <x v="1"/>
    <x v="0"/>
    <x v="3"/>
    <x v="3"/>
    <n v="0"/>
  </r>
  <r>
    <n v="543"/>
    <x v="1"/>
    <x v="0"/>
    <x v="6"/>
    <n v="6"/>
    <n v="143350.41"/>
    <x v="1"/>
    <s v="Yes"/>
    <x v="1"/>
    <n v="192070.16"/>
    <x v="0"/>
    <n v="0.20222055657843269"/>
    <s v="No"/>
    <n v="1"/>
    <n v="0"/>
    <x v="0"/>
    <x v="0"/>
    <x v="0"/>
    <x v="1"/>
    <x v="1"/>
    <n v="0"/>
  </r>
  <r>
    <n v="441"/>
    <x v="2"/>
    <x v="0"/>
    <x v="37"/>
    <n v="1"/>
    <n v="140614.15"/>
    <x v="1"/>
    <s v="No"/>
    <x v="1"/>
    <n v="174381.23"/>
    <x v="1"/>
    <n v="0.3611824453893504"/>
    <s v="No"/>
    <n v="0"/>
    <n v="0"/>
    <x v="0"/>
    <x v="3"/>
    <x v="0"/>
    <x v="4"/>
    <x v="1"/>
    <n v="1"/>
  </r>
  <r>
    <n v="785"/>
    <x v="2"/>
    <x v="1"/>
    <x v="2"/>
    <n v="1"/>
    <n v="0"/>
    <x v="1"/>
    <s v="Yes"/>
    <x v="0"/>
    <n v="134964.85"/>
    <x v="0"/>
    <n v="0.22835667914052649"/>
    <s v="No"/>
    <n v="1"/>
    <n v="0"/>
    <x v="0"/>
    <x v="1"/>
    <x v="1"/>
    <x v="2"/>
    <x v="0"/>
    <n v="0"/>
  </r>
  <r>
    <n v="627"/>
    <x v="1"/>
    <x v="0"/>
    <x v="24"/>
    <n v="3"/>
    <n v="128770.88"/>
    <x v="0"/>
    <s v="Yes"/>
    <x v="1"/>
    <n v="40199.01"/>
    <x v="1"/>
    <n v="8.2295735603233736E-2"/>
    <s v="No"/>
    <n v="0"/>
    <n v="0"/>
    <x v="1"/>
    <x v="2"/>
    <x v="0"/>
    <x v="0"/>
    <x v="2"/>
    <n v="1"/>
  </r>
  <r>
    <n v="643"/>
    <x v="0"/>
    <x v="0"/>
    <x v="22"/>
    <n v="2"/>
    <n v="0"/>
    <x v="0"/>
    <s v="No"/>
    <x v="0"/>
    <n v="67979.350000000006"/>
    <x v="1"/>
    <n v="0.12142616920921701"/>
    <s v="No"/>
    <n v="0"/>
    <n v="0"/>
    <x v="1"/>
    <x v="1"/>
    <x v="1"/>
    <x v="0"/>
    <x v="3"/>
    <n v="1"/>
  </r>
  <r>
    <n v="636"/>
    <x v="1"/>
    <x v="0"/>
    <x v="46"/>
    <n v="7"/>
    <n v="136709.35"/>
    <x v="1"/>
    <s v="No"/>
    <x v="1"/>
    <n v="66753.100000000006"/>
    <x v="0"/>
    <n v="0.60158270222827404"/>
    <s v="Yes"/>
    <n v="1"/>
    <n v="1"/>
    <x v="2"/>
    <x v="4"/>
    <x v="0"/>
    <x v="0"/>
    <x v="3"/>
    <n v="1"/>
  </r>
  <r>
    <n v="736"/>
    <x v="2"/>
    <x v="1"/>
    <x v="52"/>
    <n v="10"/>
    <n v="0"/>
    <x v="0"/>
    <s v="No"/>
    <x v="1"/>
    <n v="502.7"/>
    <x v="1"/>
    <n v="0.32116066660846992"/>
    <s v="No"/>
    <n v="0"/>
    <n v="0"/>
    <x v="0"/>
    <x v="4"/>
    <x v="1"/>
    <x v="2"/>
    <x v="2"/>
    <n v="1"/>
  </r>
  <r>
    <n v="437"/>
    <x v="2"/>
    <x v="1"/>
    <x v="12"/>
    <n v="6"/>
    <n v="0"/>
    <x v="1"/>
    <s v="Yes"/>
    <x v="0"/>
    <n v="148330.97"/>
    <x v="0"/>
    <n v="0.33221604377717739"/>
    <s v="No"/>
    <n v="1"/>
    <n v="0"/>
    <x v="0"/>
    <x v="0"/>
    <x v="1"/>
    <x v="4"/>
    <x v="0"/>
    <n v="0"/>
  </r>
  <r>
    <n v="586"/>
    <x v="0"/>
    <x v="1"/>
    <x v="5"/>
    <n v="10"/>
    <n v="66948.67"/>
    <x v="0"/>
    <s v="Yes"/>
    <x v="1"/>
    <n v="140759.03"/>
    <x v="1"/>
    <n v="6.874101450331814E-2"/>
    <s v="No"/>
    <n v="0"/>
    <n v="0"/>
    <x v="1"/>
    <x v="1"/>
    <x v="2"/>
    <x v="1"/>
    <x v="0"/>
    <n v="1"/>
  </r>
  <r>
    <n v="627"/>
    <x v="2"/>
    <x v="1"/>
    <x v="26"/>
    <n v="9"/>
    <n v="0"/>
    <x v="0"/>
    <s v="Yes"/>
    <x v="1"/>
    <n v="107712.42"/>
    <x v="1"/>
    <n v="0.25552039809592442"/>
    <s v="No"/>
    <n v="0"/>
    <n v="0"/>
    <x v="0"/>
    <x v="3"/>
    <x v="1"/>
    <x v="0"/>
    <x v="0"/>
    <n v="1"/>
  </r>
  <r>
    <n v="606"/>
    <x v="1"/>
    <x v="0"/>
    <x v="2"/>
    <n v="3"/>
    <n v="99897.53"/>
    <x v="1"/>
    <s v="No"/>
    <x v="0"/>
    <n v="37054.65"/>
    <x v="1"/>
    <n v="0.34164471792266482"/>
    <s v="No"/>
    <n v="0"/>
    <n v="0"/>
    <x v="0"/>
    <x v="1"/>
    <x v="2"/>
    <x v="0"/>
    <x v="2"/>
    <n v="1"/>
  </r>
  <r>
    <n v="660"/>
    <x v="1"/>
    <x v="0"/>
    <x v="16"/>
    <n v="5"/>
    <n v="109019.65"/>
    <x v="0"/>
    <s v="Yes"/>
    <x v="1"/>
    <n v="33680.559999999998"/>
    <x v="1"/>
    <n v="0.20670115230363811"/>
    <s v="No"/>
    <n v="0"/>
    <n v="0"/>
    <x v="0"/>
    <x v="0"/>
    <x v="0"/>
    <x v="0"/>
    <x v="2"/>
    <n v="1"/>
  </r>
  <r>
    <n v="698"/>
    <x v="1"/>
    <x v="1"/>
    <x v="42"/>
    <n v="1"/>
    <n v="107906.75"/>
    <x v="1"/>
    <s v="Yes"/>
    <x v="0"/>
    <n v="168886.39"/>
    <x v="0"/>
    <n v="0.72423878458043278"/>
    <s v="Yes"/>
    <n v="1"/>
    <n v="1"/>
    <x v="2"/>
    <x v="3"/>
    <x v="0"/>
    <x v="0"/>
    <x v="1"/>
    <n v="1"/>
  </r>
  <r>
    <n v="532"/>
    <x v="1"/>
    <x v="0"/>
    <x v="23"/>
    <n v="8"/>
    <n v="142755.25"/>
    <x v="1"/>
    <s v="No"/>
    <x v="0"/>
    <n v="34231.480000000003"/>
    <x v="1"/>
    <n v="0.16381870126565029"/>
    <s v="No"/>
    <n v="0"/>
    <n v="0"/>
    <x v="1"/>
    <x v="2"/>
    <x v="0"/>
    <x v="1"/>
    <x v="2"/>
    <n v="1"/>
  </r>
  <r>
    <n v="684"/>
    <x v="1"/>
    <x v="1"/>
    <x v="52"/>
    <n v="3"/>
    <n v="81245.789999999994"/>
    <x v="1"/>
    <s v="Yes"/>
    <x v="0"/>
    <n v="69643.31"/>
    <x v="0"/>
    <n v="0.83548406079513149"/>
    <s v="Yes"/>
    <n v="1"/>
    <n v="1"/>
    <x v="2"/>
    <x v="4"/>
    <x v="2"/>
    <x v="0"/>
    <x v="3"/>
    <n v="1"/>
  </r>
  <r>
    <n v="777"/>
    <x v="2"/>
    <x v="1"/>
    <x v="17"/>
    <n v="2"/>
    <n v="134571.5"/>
    <x v="1"/>
    <s v="No"/>
    <x v="1"/>
    <n v="118313.38"/>
    <x v="1"/>
    <n v="6.3567090663620845E-2"/>
    <s v="No"/>
    <n v="0"/>
    <n v="0"/>
    <x v="1"/>
    <x v="2"/>
    <x v="0"/>
    <x v="2"/>
    <x v="0"/>
    <n v="1"/>
  </r>
  <r>
    <n v="673"/>
    <x v="2"/>
    <x v="1"/>
    <x v="0"/>
    <n v="8"/>
    <n v="133444.97"/>
    <x v="1"/>
    <s v="No"/>
    <x v="1"/>
    <n v="5708.19"/>
    <x v="1"/>
    <n v="0.16537928370724919"/>
    <s v="No"/>
    <n v="0"/>
    <n v="0"/>
    <x v="1"/>
    <x v="0"/>
    <x v="0"/>
    <x v="0"/>
    <x v="2"/>
    <n v="1"/>
  </r>
  <r>
    <n v="605"/>
    <x v="2"/>
    <x v="0"/>
    <x v="6"/>
    <n v="10"/>
    <n v="0"/>
    <x v="0"/>
    <s v="No"/>
    <x v="1"/>
    <n v="97213.09"/>
    <x v="1"/>
    <n v="5.8471609499638942E-2"/>
    <s v="No"/>
    <n v="0"/>
    <n v="0"/>
    <x v="1"/>
    <x v="0"/>
    <x v="1"/>
    <x v="0"/>
    <x v="3"/>
    <n v="1"/>
  </r>
  <r>
    <n v="749"/>
    <x v="2"/>
    <x v="0"/>
    <x v="3"/>
    <n v="2"/>
    <n v="56726.83"/>
    <x v="0"/>
    <s v="No"/>
    <x v="1"/>
    <n v="185543.35"/>
    <x v="1"/>
    <n v="7.944435855652536E-2"/>
    <s v="No"/>
    <n v="0"/>
    <n v="0"/>
    <x v="1"/>
    <x v="0"/>
    <x v="2"/>
    <x v="2"/>
    <x v="1"/>
    <n v="1"/>
  </r>
  <r>
    <n v="665"/>
    <x v="2"/>
    <x v="1"/>
    <x v="6"/>
    <n v="8"/>
    <n v="96147.55"/>
    <x v="1"/>
    <s v="Yes"/>
    <x v="0"/>
    <n v="137037.97"/>
    <x v="1"/>
    <n v="0.30987253297573591"/>
    <s v="No"/>
    <n v="0"/>
    <n v="0"/>
    <x v="0"/>
    <x v="0"/>
    <x v="2"/>
    <x v="0"/>
    <x v="0"/>
    <n v="1"/>
  </r>
  <r>
    <n v="566"/>
    <x v="2"/>
    <x v="1"/>
    <x v="13"/>
    <n v="3"/>
    <n v="0"/>
    <x v="0"/>
    <s v="Yes"/>
    <x v="1"/>
    <n v="3626.47"/>
    <x v="1"/>
    <n v="2.5820897973923201E-2"/>
    <s v="No"/>
    <n v="0"/>
    <n v="0"/>
    <x v="1"/>
    <x v="2"/>
    <x v="1"/>
    <x v="1"/>
    <x v="2"/>
    <n v="1"/>
  </r>
  <r>
    <n v="537"/>
    <x v="1"/>
    <x v="1"/>
    <x v="35"/>
    <n v="4"/>
    <n v="124192.28"/>
    <x v="0"/>
    <s v="Yes"/>
    <x v="1"/>
    <n v="50881.51"/>
    <x v="1"/>
    <n v="0.36133646187362622"/>
    <s v="No"/>
    <n v="0"/>
    <n v="0"/>
    <x v="0"/>
    <x v="0"/>
    <x v="0"/>
    <x v="1"/>
    <x v="3"/>
    <n v="1"/>
  </r>
  <r>
    <n v="734"/>
    <x v="2"/>
    <x v="0"/>
    <x v="12"/>
    <n v="7"/>
    <n v="107805.67"/>
    <x v="1"/>
    <s v="No"/>
    <x v="0"/>
    <n v="182505.68"/>
    <x v="1"/>
    <n v="0.24226206149570151"/>
    <s v="No"/>
    <n v="0"/>
    <n v="0"/>
    <x v="0"/>
    <x v="0"/>
    <x v="0"/>
    <x v="2"/>
    <x v="1"/>
    <n v="1"/>
  </r>
  <r>
    <n v="612"/>
    <x v="2"/>
    <x v="1"/>
    <x v="2"/>
    <n v="1"/>
    <n v="0"/>
    <x v="0"/>
    <s v="Yes"/>
    <x v="1"/>
    <n v="9209.2099999999991"/>
    <x v="1"/>
    <n v="8.6142174634971744E-2"/>
    <s v="No"/>
    <n v="0"/>
    <n v="0"/>
    <x v="1"/>
    <x v="1"/>
    <x v="1"/>
    <x v="0"/>
    <x v="2"/>
    <n v="1"/>
  </r>
  <r>
    <n v="758"/>
    <x v="1"/>
    <x v="0"/>
    <x v="44"/>
    <n v="6"/>
    <n v="112595.85"/>
    <x v="1"/>
    <s v="Yes"/>
    <x v="0"/>
    <n v="35865.440000000002"/>
    <x v="0"/>
    <n v="0.8020657979526028"/>
    <s v="Yes"/>
    <n v="1"/>
    <n v="1"/>
    <x v="2"/>
    <x v="4"/>
    <x v="0"/>
    <x v="2"/>
    <x v="2"/>
    <n v="1"/>
  </r>
  <r>
    <n v="666"/>
    <x v="1"/>
    <x v="1"/>
    <x v="31"/>
    <n v="8"/>
    <n v="152614.51"/>
    <x v="0"/>
    <s v="Yes"/>
    <x v="1"/>
    <n v="188782.3"/>
    <x v="1"/>
    <n v="0.57461477477017087"/>
    <s v="Yes"/>
    <n v="0"/>
    <n v="1"/>
    <x v="2"/>
    <x v="3"/>
    <x v="3"/>
    <x v="0"/>
    <x v="1"/>
    <n v="0"/>
  </r>
  <r>
    <n v="580"/>
    <x v="1"/>
    <x v="1"/>
    <x v="5"/>
    <n v="7"/>
    <n v="131647.01"/>
    <x v="0"/>
    <s v="No"/>
    <x v="0"/>
    <n v="79775.19"/>
    <x v="1"/>
    <n v="0.36887676692888288"/>
    <s v="No"/>
    <n v="0"/>
    <n v="0"/>
    <x v="0"/>
    <x v="1"/>
    <x v="0"/>
    <x v="1"/>
    <x v="3"/>
    <n v="1"/>
  </r>
  <r>
    <n v="659"/>
    <x v="2"/>
    <x v="0"/>
    <x v="25"/>
    <n v="9"/>
    <n v="95377.13"/>
    <x v="1"/>
    <s v="No"/>
    <x v="1"/>
    <n v="187551.24"/>
    <x v="1"/>
    <n v="4.4738575171615273E-2"/>
    <s v="No"/>
    <n v="0"/>
    <n v="0"/>
    <x v="1"/>
    <x v="1"/>
    <x v="2"/>
    <x v="0"/>
    <x v="1"/>
    <n v="1"/>
  </r>
  <r>
    <n v="639"/>
    <x v="1"/>
    <x v="1"/>
    <x v="16"/>
    <n v="10"/>
    <n v="110031.09"/>
    <x v="0"/>
    <s v="Yes"/>
    <x v="1"/>
    <n v="133995.59"/>
    <x v="1"/>
    <n v="0.30510437901593918"/>
    <s v="No"/>
    <n v="0"/>
    <n v="0"/>
    <x v="0"/>
    <x v="0"/>
    <x v="0"/>
    <x v="0"/>
    <x v="0"/>
    <n v="1"/>
  </r>
  <r>
    <n v="744"/>
    <x v="2"/>
    <x v="1"/>
    <x v="2"/>
    <n v="9"/>
    <n v="0"/>
    <x v="0"/>
    <s v="No"/>
    <x v="0"/>
    <n v="20940.759999999998"/>
    <x v="1"/>
    <n v="0.18501678917950451"/>
    <s v="No"/>
    <n v="0"/>
    <n v="0"/>
    <x v="1"/>
    <x v="1"/>
    <x v="1"/>
    <x v="2"/>
    <x v="2"/>
    <n v="1"/>
  </r>
  <r>
    <n v="551"/>
    <x v="2"/>
    <x v="1"/>
    <x v="1"/>
    <n v="6"/>
    <n v="0"/>
    <x v="0"/>
    <s v="Yes"/>
    <x v="1"/>
    <n v="51143.43"/>
    <x v="1"/>
    <n v="0.13273733137036769"/>
    <s v="No"/>
    <n v="0"/>
    <n v="0"/>
    <x v="1"/>
    <x v="0"/>
    <x v="1"/>
    <x v="1"/>
    <x v="3"/>
    <n v="1"/>
  </r>
  <r>
    <n v="666"/>
    <x v="2"/>
    <x v="1"/>
    <x v="28"/>
    <n v="8"/>
    <n v="0"/>
    <x v="1"/>
    <s v="No"/>
    <x v="1"/>
    <n v="158666.99"/>
    <x v="1"/>
    <n v="7.8267735821963225E-2"/>
    <s v="No"/>
    <n v="0"/>
    <n v="0"/>
    <x v="1"/>
    <x v="1"/>
    <x v="1"/>
    <x v="0"/>
    <x v="1"/>
    <n v="1"/>
  </r>
  <r>
    <n v="668"/>
    <x v="0"/>
    <x v="0"/>
    <x v="12"/>
    <n v="10"/>
    <n v="113034.31"/>
    <x v="1"/>
    <s v="Yes"/>
    <x v="1"/>
    <n v="100423.88"/>
    <x v="1"/>
    <n v="9.3636935955216938E-2"/>
    <s v="No"/>
    <n v="0"/>
    <n v="0"/>
    <x v="1"/>
    <x v="0"/>
    <x v="0"/>
    <x v="0"/>
    <x v="0"/>
    <n v="1"/>
  </r>
  <r>
    <n v="785"/>
    <x v="0"/>
    <x v="1"/>
    <x v="49"/>
    <n v="1"/>
    <n v="0"/>
    <x v="0"/>
    <s v="Yes"/>
    <x v="0"/>
    <n v="45113.919999999998"/>
    <x v="0"/>
    <n v="0.46277400477665381"/>
    <s v="No"/>
    <n v="1"/>
    <n v="0"/>
    <x v="0"/>
    <x v="3"/>
    <x v="1"/>
    <x v="2"/>
    <x v="2"/>
    <n v="0"/>
  </r>
  <r>
    <n v="567"/>
    <x v="0"/>
    <x v="0"/>
    <x v="19"/>
    <n v="10"/>
    <n v="0"/>
    <x v="0"/>
    <s v="No"/>
    <x v="1"/>
    <n v="161571.79"/>
    <x v="1"/>
    <n v="3.9309885421701059E-2"/>
    <s v="No"/>
    <n v="0"/>
    <n v="0"/>
    <x v="1"/>
    <x v="1"/>
    <x v="1"/>
    <x v="1"/>
    <x v="1"/>
    <n v="1"/>
  </r>
  <r>
    <n v="701"/>
    <x v="0"/>
    <x v="0"/>
    <x v="22"/>
    <n v="10"/>
    <n v="159693.9"/>
    <x v="0"/>
    <s v="Yes"/>
    <x v="1"/>
    <n v="71173.64"/>
    <x v="1"/>
    <n v="5.295767365397764E-2"/>
    <s v="No"/>
    <n v="0"/>
    <n v="0"/>
    <x v="1"/>
    <x v="1"/>
    <x v="3"/>
    <x v="2"/>
    <x v="3"/>
    <n v="1"/>
  </r>
  <r>
    <n v="613"/>
    <x v="0"/>
    <x v="0"/>
    <x v="11"/>
    <n v="3"/>
    <n v="171653.17"/>
    <x v="1"/>
    <s v="No"/>
    <x v="1"/>
    <n v="5353.12"/>
    <x v="1"/>
    <n v="8.2683706094564671E-2"/>
    <s v="No"/>
    <n v="0"/>
    <n v="0"/>
    <x v="1"/>
    <x v="1"/>
    <x v="3"/>
    <x v="0"/>
    <x v="2"/>
    <n v="1"/>
  </r>
  <r>
    <n v="561"/>
    <x v="0"/>
    <x v="0"/>
    <x v="17"/>
    <n v="6"/>
    <n v="123692"/>
    <x v="1"/>
    <s v="Yes"/>
    <x v="1"/>
    <n v="70548.960000000006"/>
    <x v="1"/>
    <n v="3.8576418672116752E-2"/>
    <s v="No"/>
    <n v="0"/>
    <n v="0"/>
    <x v="1"/>
    <x v="2"/>
    <x v="0"/>
    <x v="1"/>
    <x v="3"/>
    <n v="1"/>
  </r>
  <r>
    <n v="805"/>
    <x v="1"/>
    <x v="0"/>
    <x v="23"/>
    <n v="6"/>
    <n v="143221.35"/>
    <x v="0"/>
    <s v="Yes"/>
    <x v="0"/>
    <n v="186035.72"/>
    <x v="1"/>
    <n v="0.13833349666527131"/>
    <s v="No"/>
    <n v="0"/>
    <n v="0"/>
    <x v="1"/>
    <x v="2"/>
    <x v="0"/>
    <x v="3"/>
    <x v="1"/>
    <n v="1"/>
  </r>
  <r>
    <n v="833"/>
    <x v="2"/>
    <x v="0"/>
    <x v="35"/>
    <n v="2"/>
    <n v="0"/>
    <x v="0"/>
    <s v="Yes"/>
    <x v="1"/>
    <n v="182247.77"/>
    <x v="1"/>
    <n v="8.954591983368429E-2"/>
    <s v="No"/>
    <n v="0"/>
    <n v="0"/>
    <x v="1"/>
    <x v="0"/>
    <x v="1"/>
    <x v="3"/>
    <x v="1"/>
    <n v="1"/>
  </r>
  <r>
    <n v="807"/>
    <x v="2"/>
    <x v="0"/>
    <x v="35"/>
    <n v="1"/>
    <n v="95120.59"/>
    <x v="1"/>
    <s v="No"/>
    <x v="0"/>
    <n v="127875.1"/>
    <x v="1"/>
    <n v="0.30161907069453892"/>
    <s v="No"/>
    <n v="0"/>
    <n v="0"/>
    <x v="0"/>
    <x v="0"/>
    <x v="2"/>
    <x v="3"/>
    <x v="0"/>
    <n v="1"/>
  </r>
  <r>
    <n v="582"/>
    <x v="0"/>
    <x v="0"/>
    <x v="5"/>
    <n v="6"/>
    <n v="0"/>
    <x v="0"/>
    <s v="No"/>
    <x v="1"/>
    <n v="72970.929999999993"/>
    <x v="1"/>
    <n v="3.7291946096982817E-2"/>
    <s v="No"/>
    <n v="0"/>
    <n v="0"/>
    <x v="1"/>
    <x v="1"/>
    <x v="1"/>
    <x v="1"/>
    <x v="3"/>
    <n v="1"/>
  </r>
  <r>
    <n v="850"/>
    <x v="2"/>
    <x v="0"/>
    <x v="61"/>
    <n v="5"/>
    <n v="0"/>
    <x v="0"/>
    <s v="Yes"/>
    <x v="1"/>
    <n v="44827.47"/>
    <x v="1"/>
    <n v="0.51213728403642578"/>
    <s v="Yes"/>
    <n v="0"/>
    <n v="1"/>
    <x v="2"/>
    <x v="4"/>
    <x v="1"/>
    <x v="3"/>
    <x v="2"/>
    <n v="0"/>
  </r>
  <r>
    <n v="673"/>
    <x v="2"/>
    <x v="0"/>
    <x v="11"/>
    <n v="4"/>
    <n v="0"/>
    <x v="0"/>
    <s v="No"/>
    <x v="0"/>
    <n v="163563.07"/>
    <x v="1"/>
    <n v="0.1328144764603256"/>
    <s v="No"/>
    <n v="0"/>
    <n v="0"/>
    <x v="1"/>
    <x v="1"/>
    <x v="1"/>
    <x v="0"/>
    <x v="1"/>
    <n v="1"/>
  </r>
  <r>
    <n v="809"/>
    <x v="2"/>
    <x v="1"/>
    <x v="2"/>
    <n v="2"/>
    <n v="154763.21"/>
    <x v="0"/>
    <s v="Yes"/>
    <x v="1"/>
    <n v="174800.31"/>
    <x v="1"/>
    <n v="0.1166962939586135"/>
    <s v="No"/>
    <n v="0"/>
    <n v="0"/>
    <x v="1"/>
    <x v="1"/>
    <x v="3"/>
    <x v="3"/>
    <x v="1"/>
    <n v="1"/>
  </r>
  <r>
    <n v="850"/>
    <x v="2"/>
    <x v="0"/>
    <x v="24"/>
    <n v="6"/>
    <n v="86449.39"/>
    <x v="1"/>
    <s v="Yes"/>
    <x v="1"/>
    <n v="188809.23"/>
    <x v="1"/>
    <n v="3.4334888840860021E-2"/>
    <s v="No"/>
    <n v="0"/>
    <n v="0"/>
    <x v="1"/>
    <x v="2"/>
    <x v="2"/>
    <x v="3"/>
    <x v="1"/>
    <n v="1"/>
  </r>
  <r>
    <n v="599"/>
    <x v="1"/>
    <x v="0"/>
    <x v="2"/>
    <n v="9"/>
    <n v="89111.63"/>
    <x v="1"/>
    <s v="No"/>
    <x v="0"/>
    <n v="157239.6"/>
    <x v="1"/>
    <n v="0.32507011006374381"/>
    <s v="No"/>
    <n v="0"/>
    <n v="0"/>
    <x v="0"/>
    <x v="1"/>
    <x v="2"/>
    <x v="1"/>
    <x v="1"/>
    <n v="1"/>
  </r>
  <r>
    <n v="696"/>
    <x v="1"/>
    <x v="1"/>
    <x v="29"/>
    <n v="2"/>
    <n v="96129.32"/>
    <x v="0"/>
    <s v="Yes"/>
    <x v="1"/>
    <n v="5983.7"/>
    <x v="1"/>
    <n v="9.8164484854590589E-2"/>
    <s v="No"/>
    <n v="0"/>
    <n v="0"/>
    <x v="1"/>
    <x v="2"/>
    <x v="2"/>
    <x v="0"/>
    <x v="2"/>
    <n v="1"/>
  </r>
  <r>
    <n v="812"/>
    <x v="2"/>
    <x v="0"/>
    <x v="25"/>
    <n v="5"/>
    <n v="133050.97"/>
    <x v="0"/>
    <s v="Yes"/>
    <x v="0"/>
    <n v="89385.919999999998"/>
    <x v="1"/>
    <n v="0.1099589553854136"/>
    <s v="No"/>
    <n v="0"/>
    <n v="0"/>
    <x v="1"/>
    <x v="1"/>
    <x v="0"/>
    <x v="3"/>
    <x v="3"/>
    <n v="1"/>
  </r>
  <r>
    <n v="685"/>
    <x v="2"/>
    <x v="1"/>
    <x v="21"/>
    <n v="7"/>
    <n v="0"/>
    <x v="0"/>
    <s v="Yes"/>
    <x v="0"/>
    <n v="103898.59"/>
    <x v="1"/>
    <n v="0.22441631574951981"/>
    <s v="No"/>
    <n v="0"/>
    <n v="0"/>
    <x v="0"/>
    <x v="1"/>
    <x v="1"/>
    <x v="0"/>
    <x v="0"/>
    <n v="1"/>
  </r>
  <r>
    <n v="519"/>
    <x v="1"/>
    <x v="1"/>
    <x v="13"/>
    <n v="1"/>
    <n v="151701.45000000001"/>
    <x v="2"/>
    <s v="Yes"/>
    <x v="1"/>
    <n v="170138.68"/>
    <x v="0"/>
    <n v="8.4157353602749577E-2"/>
    <s v="No"/>
    <n v="1"/>
    <n v="0"/>
    <x v="1"/>
    <x v="2"/>
    <x v="3"/>
    <x v="1"/>
    <x v="1"/>
    <n v="0"/>
  </r>
  <r>
    <n v="829"/>
    <x v="1"/>
    <x v="0"/>
    <x v="17"/>
    <n v="3"/>
    <n v="132405.51999999999"/>
    <x v="2"/>
    <s v="Yes"/>
    <x v="0"/>
    <n v="104889.2"/>
    <x v="0"/>
    <n v="0.15875461110916511"/>
    <s v="No"/>
    <n v="1"/>
    <n v="0"/>
    <x v="1"/>
    <x v="2"/>
    <x v="0"/>
    <x v="3"/>
    <x v="0"/>
    <n v="0"/>
  </r>
  <r>
    <n v="826"/>
    <x v="2"/>
    <x v="0"/>
    <x v="27"/>
    <n v="5"/>
    <n v="142662.68"/>
    <x v="1"/>
    <s v="No"/>
    <x v="0"/>
    <n v="60285.3"/>
    <x v="1"/>
    <n v="8.3145519201204804E-2"/>
    <s v="No"/>
    <n v="0"/>
    <n v="0"/>
    <x v="1"/>
    <x v="2"/>
    <x v="0"/>
    <x v="3"/>
    <x v="3"/>
    <n v="1"/>
  </r>
  <r>
    <n v="747"/>
    <x v="1"/>
    <x v="0"/>
    <x v="28"/>
    <n v="8"/>
    <n v="102603.3"/>
    <x v="0"/>
    <s v="Yes"/>
    <x v="1"/>
    <n v="180693.61"/>
    <x v="1"/>
    <n v="0.10537938651599831"/>
    <s v="No"/>
    <n v="0"/>
    <n v="0"/>
    <x v="1"/>
    <x v="1"/>
    <x v="0"/>
    <x v="2"/>
    <x v="1"/>
    <n v="1"/>
  </r>
  <r>
    <n v="603"/>
    <x v="0"/>
    <x v="0"/>
    <x v="26"/>
    <n v="6"/>
    <n v="105000.85"/>
    <x v="0"/>
    <s v="Yes"/>
    <x v="1"/>
    <n v="87412.24"/>
    <x v="0"/>
    <n v="0.22414530239749131"/>
    <s v="No"/>
    <n v="1"/>
    <n v="0"/>
    <x v="0"/>
    <x v="3"/>
    <x v="0"/>
    <x v="0"/>
    <x v="3"/>
    <n v="0"/>
  </r>
  <r>
    <n v="591"/>
    <x v="1"/>
    <x v="1"/>
    <x v="0"/>
    <n v="10"/>
    <n v="113581.98"/>
    <x v="1"/>
    <s v="Yes"/>
    <x v="0"/>
    <n v="1985.41"/>
    <x v="1"/>
    <n v="0.54759598901599849"/>
    <s v="Yes"/>
    <n v="0"/>
    <n v="1"/>
    <x v="2"/>
    <x v="0"/>
    <x v="0"/>
    <x v="1"/>
    <x v="2"/>
    <n v="0"/>
  </r>
  <r>
    <n v="574"/>
    <x v="2"/>
    <x v="0"/>
    <x v="19"/>
    <n v="1"/>
    <n v="112572.39"/>
    <x v="1"/>
    <s v="No"/>
    <x v="0"/>
    <n v="165626.6"/>
    <x v="1"/>
    <n v="0.17166877912530881"/>
    <s v="No"/>
    <n v="0"/>
    <n v="0"/>
    <x v="1"/>
    <x v="1"/>
    <x v="0"/>
    <x v="1"/>
    <x v="1"/>
    <n v="1"/>
  </r>
  <r>
    <n v="701"/>
    <x v="2"/>
    <x v="1"/>
    <x v="22"/>
    <n v="2"/>
    <n v="0"/>
    <x v="0"/>
    <s v="Yes"/>
    <x v="1"/>
    <n v="65765.22"/>
    <x v="1"/>
    <n v="6.7018391214997322E-2"/>
    <s v="No"/>
    <n v="0"/>
    <n v="0"/>
    <x v="1"/>
    <x v="1"/>
    <x v="1"/>
    <x v="2"/>
    <x v="3"/>
    <n v="1"/>
  </r>
  <r>
    <n v="638"/>
    <x v="1"/>
    <x v="1"/>
    <x v="27"/>
    <n v="1"/>
    <n v="105249.76"/>
    <x v="0"/>
    <s v="Yes"/>
    <x v="1"/>
    <n v="23491.09"/>
    <x v="1"/>
    <n v="9.9893817389777359E-2"/>
    <s v="No"/>
    <n v="0"/>
    <n v="0"/>
    <x v="1"/>
    <x v="2"/>
    <x v="0"/>
    <x v="0"/>
    <x v="2"/>
    <n v="1"/>
  </r>
  <r>
    <n v="569"/>
    <x v="0"/>
    <x v="0"/>
    <x v="6"/>
    <n v="2"/>
    <n v="0"/>
    <x v="0"/>
    <s v="Yes"/>
    <x v="0"/>
    <n v="134272.57"/>
    <x v="1"/>
    <n v="0.1855895311262781"/>
    <s v="No"/>
    <n v="0"/>
    <n v="0"/>
    <x v="1"/>
    <x v="0"/>
    <x v="1"/>
    <x v="1"/>
    <x v="0"/>
    <n v="1"/>
  </r>
  <r>
    <n v="632"/>
    <x v="1"/>
    <x v="0"/>
    <x v="34"/>
    <n v="3"/>
    <n v="122478.51"/>
    <x v="1"/>
    <s v="Yes"/>
    <x v="0"/>
    <n v="147230.76999999999"/>
    <x v="0"/>
    <n v="0.15499904409383941"/>
    <s v="No"/>
    <n v="1"/>
    <n v="0"/>
    <x v="1"/>
    <x v="2"/>
    <x v="0"/>
    <x v="0"/>
    <x v="0"/>
    <n v="0"/>
  </r>
  <r>
    <n v="616"/>
    <x v="2"/>
    <x v="1"/>
    <x v="18"/>
    <n v="3"/>
    <n v="136789.14000000001"/>
    <x v="1"/>
    <s v="Yes"/>
    <x v="0"/>
    <n v="59346.400000000001"/>
    <x v="0"/>
    <n v="0.20653887255787429"/>
    <s v="No"/>
    <n v="1"/>
    <n v="0"/>
    <x v="0"/>
    <x v="1"/>
    <x v="0"/>
    <x v="0"/>
    <x v="3"/>
    <n v="0"/>
  </r>
  <r>
    <n v="664"/>
    <x v="2"/>
    <x v="0"/>
    <x v="28"/>
    <n v="1"/>
    <n v="0"/>
    <x v="0"/>
    <s v="Yes"/>
    <x v="1"/>
    <n v="95372.64"/>
    <x v="1"/>
    <n v="4.5436869860385108E-2"/>
    <s v="No"/>
    <n v="0"/>
    <n v="0"/>
    <x v="1"/>
    <x v="1"/>
    <x v="1"/>
    <x v="0"/>
    <x v="3"/>
    <n v="1"/>
  </r>
  <r>
    <n v="694"/>
    <x v="2"/>
    <x v="0"/>
    <x v="24"/>
    <n v="10"/>
    <n v="144684.03"/>
    <x v="1"/>
    <s v="Yes"/>
    <x v="1"/>
    <n v="31805.49"/>
    <x v="1"/>
    <n v="3.7517411356863387E-2"/>
    <s v="No"/>
    <n v="0"/>
    <n v="0"/>
    <x v="1"/>
    <x v="2"/>
    <x v="0"/>
    <x v="0"/>
    <x v="2"/>
    <n v="1"/>
  </r>
  <r>
    <n v="655"/>
    <x v="2"/>
    <x v="0"/>
    <x v="23"/>
    <n v="9"/>
    <n v="107065.31"/>
    <x v="1"/>
    <s v="Yes"/>
    <x v="1"/>
    <n v="51959.82"/>
    <x v="1"/>
    <n v="2.3474064540433579E-2"/>
    <s v="No"/>
    <n v="0"/>
    <n v="0"/>
    <x v="1"/>
    <x v="2"/>
    <x v="0"/>
    <x v="0"/>
    <x v="3"/>
    <n v="1"/>
  </r>
  <r>
    <n v="607"/>
    <x v="2"/>
    <x v="1"/>
    <x v="5"/>
    <n v="8"/>
    <n v="91301.72"/>
    <x v="1"/>
    <s v="No"/>
    <x v="1"/>
    <n v="130824.57"/>
    <x v="1"/>
    <n v="8.1196972255937208E-2"/>
    <s v="No"/>
    <n v="0"/>
    <n v="0"/>
    <x v="1"/>
    <x v="1"/>
    <x v="2"/>
    <x v="0"/>
    <x v="0"/>
    <n v="1"/>
  </r>
  <r>
    <n v="763"/>
    <x v="0"/>
    <x v="0"/>
    <x v="11"/>
    <n v="8"/>
    <n v="0"/>
    <x v="0"/>
    <s v="Yes"/>
    <x v="1"/>
    <n v="933.38"/>
    <x v="1"/>
    <n v="3.9452584139409351E-2"/>
    <s v="No"/>
    <n v="0"/>
    <n v="0"/>
    <x v="1"/>
    <x v="1"/>
    <x v="1"/>
    <x v="2"/>
    <x v="2"/>
    <n v="1"/>
  </r>
  <r>
    <n v="666"/>
    <x v="0"/>
    <x v="1"/>
    <x v="28"/>
    <n v="6"/>
    <n v="0"/>
    <x v="0"/>
    <s v="Yes"/>
    <x v="0"/>
    <n v="176692.87"/>
    <x v="1"/>
    <n v="0.19403632772282581"/>
    <s v="No"/>
    <n v="0"/>
    <n v="0"/>
    <x v="1"/>
    <x v="1"/>
    <x v="1"/>
    <x v="0"/>
    <x v="1"/>
    <n v="1"/>
  </r>
  <r>
    <n v="622"/>
    <x v="0"/>
    <x v="0"/>
    <x v="3"/>
    <n v="9"/>
    <n v="0"/>
    <x v="0"/>
    <s v="Yes"/>
    <x v="0"/>
    <n v="119127.06"/>
    <x v="1"/>
    <n v="0.16957885020505631"/>
    <s v="No"/>
    <n v="0"/>
    <n v="0"/>
    <x v="1"/>
    <x v="0"/>
    <x v="1"/>
    <x v="0"/>
    <x v="0"/>
    <n v="1"/>
  </r>
  <r>
    <n v="624"/>
    <x v="0"/>
    <x v="1"/>
    <x v="28"/>
    <n v="10"/>
    <n v="0"/>
    <x v="0"/>
    <s v="No"/>
    <x v="1"/>
    <n v="186180.42"/>
    <x v="1"/>
    <n v="7.4027267275547398E-2"/>
    <s v="No"/>
    <n v="0"/>
    <n v="0"/>
    <x v="1"/>
    <x v="1"/>
    <x v="1"/>
    <x v="0"/>
    <x v="1"/>
    <n v="1"/>
  </r>
  <r>
    <n v="811"/>
    <x v="2"/>
    <x v="1"/>
    <x v="35"/>
    <n v="3"/>
    <n v="123365.34"/>
    <x v="0"/>
    <s v="No"/>
    <x v="0"/>
    <n v="171995.34"/>
    <x v="1"/>
    <n v="0.41576234200267298"/>
    <s v="No"/>
    <n v="0"/>
    <n v="0"/>
    <x v="0"/>
    <x v="0"/>
    <x v="0"/>
    <x v="3"/>
    <x v="1"/>
    <n v="1"/>
  </r>
  <r>
    <n v="548"/>
    <x v="0"/>
    <x v="0"/>
    <x v="5"/>
    <n v="6"/>
    <n v="0"/>
    <x v="1"/>
    <s v="Yes"/>
    <x v="1"/>
    <n v="31728.35"/>
    <x v="1"/>
    <n v="3.995943515892833E-2"/>
    <s v="No"/>
    <n v="0"/>
    <n v="0"/>
    <x v="1"/>
    <x v="1"/>
    <x v="1"/>
    <x v="1"/>
    <x v="2"/>
    <n v="1"/>
  </r>
  <r>
    <n v="707"/>
    <x v="2"/>
    <x v="0"/>
    <x v="5"/>
    <n v="2"/>
    <n v="0"/>
    <x v="0"/>
    <s v="No"/>
    <x v="0"/>
    <n v="130866.95"/>
    <x v="1"/>
    <n v="0.1020612751229808"/>
    <s v="No"/>
    <n v="0"/>
    <n v="0"/>
    <x v="1"/>
    <x v="1"/>
    <x v="1"/>
    <x v="2"/>
    <x v="0"/>
    <n v="1"/>
  </r>
  <r>
    <n v="605"/>
    <x v="1"/>
    <x v="1"/>
    <x v="47"/>
    <n v="1"/>
    <n v="74129.179999999993"/>
    <x v="0"/>
    <s v="Yes"/>
    <x v="1"/>
    <n v="62199.78"/>
    <x v="0"/>
    <n v="0.49630864364041272"/>
    <s v="No"/>
    <n v="1"/>
    <n v="0"/>
    <x v="0"/>
    <x v="3"/>
    <x v="2"/>
    <x v="0"/>
    <x v="3"/>
    <n v="0"/>
  </r>
  <r>
    <n v="686"/>
    <x v="1"/>
    <x v="0"/>
    <x v="4"/>
    <n v="3"/>
    <n v="185379.02"/>
    <x v="1"/>
    <s v="Yes"/>
    <x v="0"/>
    <n v="64679.07"/>
    <x v="1"/>
    <n v="0.23640225269135129"/>
    <s v="No"/>
    <n v="0"/>
    <n v="0"/>
    <x v="0"/>
    <x v="2"/>
    <x v="3"/>
    <x v="0"/>
    <x v="3"/>
    <n v="1"/>
  </r>
  <r>
    <n v="525"/>
    <x v="1"/>
    <x v="1"/>
    <x v="35"/>
    <n v="1"/>
    <n v="118087.67999999999"/>
    <x v="1"/>
    <s v="Yes"/>
    <x v="0"/>
    <n v="88120.78"/>
    <x v="0"/>
    <n v="0.66743199077779336"/>
    <s v="Yes"/>
    <n v="1"/>
    <n v="1"/>
    <x v="2"/>
    <x v="0"/>
    <x v="0"/>
    <x v="1"/>
    <x v="3"/>
    <n v="1"/>
  </r>
  <r>
    <n v="484"/>
    <x v="2"/>
    <x v="1"/>
    <x v="32"/>
    <n v="2"/>
    <n v="90408.16"/>
    <x v="0"/>
    <s v="No"/>
    <x v="0"/>
    <n v="48170.57"/>
    <x v="1"/>
    <n v="0.49331762185853839"/>
    <s v="No"/>
    <n v="0"/>
    <n v="0"/>
    <x v="0"/>
    <x v="0"/>
    <x v="2"/>
    <x v="4"/>
    <x v="2"/>
    <n v="1"/>
  </r>
  <r>
    <n v="730"/>
    <x v="0"/>
    <x v="1"/>
    <x v="10"/>
    <n v="6"/>
    <n v="140094.59"/>
    <x v="1"/>
    <s v="Yes"/>
    <x v="0"/>
    <n v="172450.04"/>
    <x v="0"/>
    <n v="0.31389118348800399"/>
    <s v="No"/>
    <n v="1"/>
    <n v="0"/>
    <x v="0"/>
    <x v="1"/>
    <x v="0"/>
    <x v="2"/>
    <x v="1"/>
    <n v="0"/>
  </r>
  <r>
    <n v="430"/>
    <x v="1"/>
    <x v="0"/>
    <x v="9"/>
    <n v="3"/>
    <n v="137115.16"/>
    <x v="1"/>
    <s v="Yes"/>
    <x v="0"/>
    <n v="146516.85999999999"/>
    <x v="0"/>
    <n v="0.59995753706618637"/>
    <s v="Yes"/>
    <n v="1"/>
    <n v="1"/>
    <x v="2"/>
    <x v="0"/>
    <x v="0"/>
    <x v="4"/>
    <x v="0"/>
    <n v="1"/>
  </r>
  <r>
    <n v="609"/>
    <x v="2"/>
    <x v="0"/>
    <x v="20"/>
    <n v="1"/>
    <n v="108019.27"/>
    <x v="2"/>
    <s v="Yes"/>
    <x v="1"/>
    <n v="184524.65"/>
    <x v="0"/>
    <n v="0.13093647237555439"/>
    <s v="No"/>
    <n v="1"/>
    <n v="0"/>
    <x v="1"/>
    <x v="0"/>
    <x v="0"/>
    <x v="0"/>
    <x v="1"/>
    <n v="0"/>
  </r>
  <r>
    <n v="850"/>
    <x v="2"/>
    <x v="0"/>
    <x v="50"/>
    <n v="8"/>
    <n v="156652.13"/>
    <x v="1"/>
    <s v="No"/>
    <x v="0"/>
    <n v="25899.21"/>
    <x v="0"/>
    <n v="0.47713203277539967"/>
    <s v="No"/>
    <n v="1"/>
    <n v="0"/>
    <x v="0"/>
    <x v="3"/>
    <x v="3"/>
    <x v="3"/>
    <x v="2"/>
    <n v="0"/>
  </r>
  <r>
    <n v="732"/>
    <x v="2"/>
    <x v="1"/>
    <x v="28"/>
    <n v="9"/>
    <n v="0"/>
    <x v="1"/>
    <s v="No"/>
    <x v="0"/>
    <n v="3749"/>
    <x v="0"/>
    <n v="0.1782269347768064"/>
    <s v="No"/>
    <n v="1"/>
    <n v="0"/>
    <x v="1"/>
    <x v="1"/>
    <x v="1"/>
    <x v="2"/>
    <x v="2"/>
    <n v="0"/>
  </r>
  <r>
    <n v="772"/>
    <x v="0"/>
    <x v="0"/>
    <x v="28"/>
    <n v="3"/>
    <n v="112029.83"/>
    <x v="1"/>
    <s v="Yes"/>
    <x v="1"/>
    <n v="186948.35"/>
    <x v="1"/>
    <n v="6.4425585008998573E-2"/>
    <s v="No"/>
    <n v="0"/>
    <n v="0"/>
    <x v="1"/>
    <x v="1"/>
    <x v="0"/>
    <x v="2"/>
    <x v="1"/>
    <n v="1"/>
  </r>
  <r>
    <n v="576"/>
    <x v="1"/>
    <x v="0"/>
    <x v="4"/>
    <n v="7"/>
    <n v="130575.26"/>
    <x v="1"/>
    <s v="No"/>
    <x v="1"/>
    <n v="173629.78"/>
    <x v="1"/>
    <n v="8.995054932328958E-2"/>
    <s v="No"/>
    <n v="0"/>
    <n v="0"/>
    <x v="1"/>
    <x v="2"/>
    <x v="0"/>
    <x v="1"/>
    <x v="1"/>
    <n v="1"/>
  </r>
  <r>
    <n v="593"/>
    <x v="2"/>
    <x v="0"/>
    <x v="32"/>
    <n v="6"/>
    <n v="171740.69"/>
    <x v="1"/>
    <s v="No"/>
    <x v="0"/>
    <n v="20893.61"/>
    <x v="1"/>
    <n v="0.3942047474466393"/>
    <s v="No"/>
    <n v="0"/>
    <n v="0"/>
    <x v="0"/>
    <x v="0"/>
    <x v="3"/>
    <x v="1"/>
    <x v="2"/>
    <n v="1"/>
  </r>
  <r>
    <n v="770"/>
    <x v="2"/>
    <x v="1"/>
    <x v="44"/>
    <n v="2"/>
    <n v="183555.24"/>
    <x v="1"/>
    <s v="No"/>
    <x v="0"/>
    <n v="159557.28"/>
    <x v="0"/>
    <n v="0.81972516827870934"/>
    <s v="Yes"/>
    <n v="1"/>
    <n v="1"/>
    <x v="2"/>
    <x v="4"/>
    <x v="3"/>
    <x v="2"/>
    <x v="1"/>
    <n v="1"/>
  </r>
  <r>
    <n v="769"/>
    <x v="2"/>
    <x v="1"/>
    <x v="18"/>
    <n v="6"/>
    <n v="117852.26"/>
    <x v="0"/>
    <s v="Yes"/>
    <x v="0"/>
    <n v="147668.64000000001"/>
    <x v="1"/>
    <n v="0.16596721791111721"/>
    <s v="No"/>
    <n v="0"/>
    <n v="0"/>
    <x v="1"/>
    <x v="1"/>
    <x v="0"/>
    <x v="2"/>
    <x v="0"/>
    <n v="1"/>
  </r>
  <r>
    <n v="590"/>
    <x v="0"/>
    <x v="1"/>
    <x v="7"/>
    <n v="10"/>
    <n v="84474.62"/>
    <x v="0"/>
    <s v="Yes"/>
    <x v="1"/>
    <n v="190937.09"/>
    <x v="1"/>
    <n v="0.23083764869583501"/>
    <s v="No"/>
    <n v="0"/>
    <n v="0"/>
    <x v="0"/>
    <x v="3"/>
    <x v="2"/>
    <x v="1"/>
    <x v="1"/>
    <n v="1"/>
  </r>
  <r>
    <n v="578"/>
    <x v="2"/>
    <x v="1"/>
    <x v="22"/>
    <n v="2"/>
    <n v="0"/>
    <x v="0"/>
    <s v="No"/>
    <x v="1"/>
    <n v="26389.919999999998"/>
    <x v="1"/>
    <n v="7.3231514376166817E-2"/>
    <s v="No"/>
    <n v="0"/>
    <n v="0"/>
    <x v="1"/>
    <x v="1"/>
    <x v="1"/>
    <x v="1"/>
    <x v="2"/>
    <n v="1"/>
  </r>
  <r>
    <n v="523"/>
    <x v="2"/>
    <x v="0"/>
    <x v="1"/>
    <n v="5"/>
    <n v="0"/>
    <x v="0"/>
    <s v="Yes"/>
    <x v="1"/>
    <n v="121428.2"/>
    <x v="1"/>
    <n v="8.7388443146473635E-2"/>
    <s v="No"/>
    <n v="0"/>
    <n v="0"/>
    <x v="1"/>
    <x v="0"/>
    <x v="1"/>
    <x v="1"/>
    <x v="0"/>
    <n v="1"/>
  </r>
  <r>
    <n v="729"/>
    <x v="1"/>
    <x v="0"/>
    <x v="10"/>
    <n v="6"/>
    <n v="127415.85"/>
    <x v="1"/>
    <s v="Yes"/>
    <x v="1"/>
    <n v="184977.2"/>
    <x v="0"/>
    <n v="0.155185031715182"/>
    <s v="No"/>
    <n v="1"/>
    <n v="0"/>
    <x v="1"/>
    <x v="1"/>
    <x v="0"/>
    <x v="2"/>
    <x v="1"/>
    <n v="0"/>
  </r>
  <r>
    <n v="720"/>
    <x v="2"/>
    <x v="1"/>
    <x v="19"/>
    <n v="3"/>
    <n v="118307.57"/>
    <x v="0"/>
    <s v="Yes"/>
    <x v="1"/>
    <n v="136120.29"/>
    <x v="1"/>
    <n v="8.3603529482756372E-2"/>
    <s v="No"/>
    <n v="0"/>
    <n v="0"/>
    <x v="1"/>
    <x v="1"/>
    <x v="0"/>
    <x v="2"/>
    <x v="0"/>
    <n v="1"/>
  </r>
  <r>
    <n v="605"/>
    <x v="2"/>
    <x v="1"/>
    <x v="28"/>
    <n v="6"/>
    <n v="0"/>
    <x v="1"/>
    <s v="No"/>
    <x v="1"/>
    <n v="690.84"/>
    <x v="1"/>
    <n v="7.779462908510261E-2"/>
    <s v="No"/>
    <n v="0"/>
    <n v="0"/>
    <x v="1"/>
    <x v="1"/>
    <x v="1"/>
    <x v="0"/>
    <x v="2"/>
    <n v="1"/>
  </r>
  <r>
    <n v="615"/>
    <x v="2"/>
    <x v="0"/>
    <x v="6"/>
    <n v="4"/>
    <n v="130385.82"/>
    <x v="1"/>
    <s v="No"/>
    <x v="1"/>
    <n v="130661.95"/>
    <x v="1"/>
    <n v="9.9132340107653996E-2"/>
    <s v="No"/>
    <n v="0"/>
    <n v="0"/>
    <x v="1"/>
    <x v="0"/>
    <x v="0"/>
    <x v="0"/>
    <x v="0"/>
    <n v="1"/>
  </r>
  <r>
    <n v="717"/>
    <x v="2"/>
    <x v="0"/>
    <x v="20"/>
    <n v="7"/>
    <n v="123764.95"/>
    <x v="1"/>
    <s v="Yes"/>
    <x v="1"/>
    <n v="169952.82"/>
    <x v="1"/>
    <n v="0.13630523119030799"/>
    <s v="No"/>
    <n v="0"/>
    <n v="0"/>
    <x v="1"/>
    <x v="0"/>
    <x v="0"/>
    <x v="2"/>
    <x v="1"/>
    <n v="1"/>
  </r>
  <r>
    <n v="492"/>
    <x v="1"/>
    <x v="1"/>
    <x v="2"/>
    <n v="8"/>
    <n v="57068.43"/>
    <x v="0"/>
    <s v="Yes"/>
    <x v="0"/>
    <n v="188974.81"/>
    <x v="1"/>
    <n v="0.42791884223582177"/>
    <s v="No"/>
    <n v="0"/>
    <n v="0"/>
    <x v="0"/>
    <x v="1"/>
    <x v="2"/>
    <x v="4"/>
    <x v="1"/>
    <n v="1"/>
  </r>
  <r>
    <n v="760"/>
    <x v="1"/>
    <x v="0"/>
    <x v="4"/>
    <n v="5"/>
    <n v="103607.24"/>
    <x v="0"/>
    <s v="No"/>
    <x v="1"/>
    <n v="86334.64"/>
    <x v="1"/>
    <n v="6.7584667653234967E-2"/>
    <s v="No"/>
    <n v="0"/>
    <n v="0"/>
    <x v="1"/>
    <x v="2"/>
    <x v="0"/>
    <x v="2"/>
    <x v="3"/>
    <n v="1"/>
  </r>
  <r>
    <n v="654"/>
    <x v="0"/>
    <x v="1"/>
    <x v="28"/>
    <n v="2"/>
    <n v="0"/>
    <x v="0"/>
    <s v="Yes"/>
    <x v="1"/>
    <n v="146652.10999999999"/>
    <x v="1"/>
    <n v="7.9936654195855925E-2"/>
    <s v="No"/>
    <n v="0"/>
    <n v="0"/>
    <x v="1"/>
    <x v="1"/>
    <x v="1"/>
    <x v="0"/>
    <x v="0"/>
    <n v="1"/>
  </r>
  <r>
    <n v="606"/>
    <x v="0"/>
    <x v="1"/>
    <x v="36"/>
    <n v="3"/>
    <n v="147386.72"/>
    <x v="2"/>
    <s v="Yes"/>
    <x v="0"/>
    <n v="45482.04"/>
    <x v="0"/>
    <n v="0.1265249852756615"/>
    <s v="No"/>
    <n v="1"/>
    <n v="0"/>
    <x v="1"/>
    <x v="2"/>
    <x v="0"/>
    <x v="0"/>
    <x v="2"/>
    <n v="0"/>
  </r>
  <r>
    <n v="719"/>
    <x v="0"/>
    <x v="1"/>
    <x v="25"/>
    <n v="7"/>
    <n v="0"/>
    <x v="1"/>
    <s v="No"/>
    <x v="0"/>
    <n v="76264.27"/>
    <x v="1"/>
    <n v="0.1548824609957517"/>
    <s v="No"/>
    <n v="0"/>
    <n v="0"/>
    <x v="1"/>
    <x v="1"/>
    <x v="1"/>
    <x v="2"/>
    <x v="3"/>
    <n v="1"/>
  </r>
  <r>
    <n v="641"/>
    <x v="2"/>
    <x v="1"/>
    <x v="11"/>
    <n v="2"/>
    <n v="0"/>
    <x v="0"/>
    <s v="Yes"/>
    <x v="0"/>
    <n v="3939.87"/>
    <x v="1"/>
    <n v="0.19962884951103421"/>
    <s v="No"/>
    <n v="0"/>
    <n v="0"/>
    <x v="1"/>
    <x v="1"/>
    <x v="1"/>
    <x v="0"/>
    <x v="2"/>
    <n v="1"/>
  </r>
  <r>
    <n v="597"/>
    <x v="0"/>
    <x v="1"/>
    <x v="5"/>
    <n v="2"/>
    <n v="0"/>
    <x v="0"/>
    <s v="Yes"/>
    <x v="1"/>
    <n v="4700.66"/>
    <x v="1"/>
    <n v="6.267055964304187E-2"/>
    <s v="No"/>
    <n v="0"/>
    <n v="0"/>
    <x v="1"/>
    <x v="1"/>
    <x v="1"/>
    <x v="1"/>
    <x v="2"/>
    <n v="1"/>
  </r>
  <r>
    <n v="599"/>
    <x v="1"/>
    <x v="0"/>
    <x v="8"/>
    <n v="1"/>
    <n v="124737.96"/>
    <x v="1"/>
    <s v="No"/>
    <x v="1"/>
    <n v="90389.61"/>
    <x v="0"/>
    <n v="0.52364348298651486"/>
    <s v="Yes"/>
    <n v="1"/>
    <n v="1"/>
    <x v="2"/>
    <x v="4"/>
    <x v="0"/>
    <x v="1"/>
    <x v="3"/>
    <n v="1"/>
  </r>
  <r>
    <n v="606"/>
    <x v="2"/>
    <x v="1"/>
    <x v="10"/>
    <n v="3"/>
    <n v="0"/>
    <x v="0"/>
    <s v="Yes"/>
    <x v="0"/>
    <n v="50560.45"/>
    <x v="0"/>
    <n v="0.2296828764803909"/>
    <s v="No"/>
    <n v="1"/>
    <n v="0"/>
    <x v="0"/>
    <x v="1"/>
    <x v="1"/>
    <x v="0"/>
    <x v="3"/>
    <n v="0"/>
  </r>
  <r>
    <n v="668"/>
    <x v="0"/>
    <x v="1"/>
    <x v="28"/>
    <n v="3"/>
    <n v="133686.51999999999"/>
    <x v="1"/>
    <s v="Yes"/>
    <x v="0"/>
    <n v="190958.48"/>
    <x v="0"/>
    <n v="0.28742254954265389"/>
    <s v="No"/>
    <n v="1"/>
    <n v="0"/>
    <x v="0"/>
    <x v="1"/>
    <x v="0"/>
    <x v="0"/>
    <x v="1"/>
    <n v="0"/>
  </r>
  <r>
    <n v="566"/>
    <x v="0"/>
    <x v="0"/>
    <x v="52"/>
    <n v="2"/>
    <n v="120787.18"/>
    <x v="0"/>
    <s v="Yes"/>
    <x v="1"/>
    <n v="52198.84"/>
    <x v="1"/>
    <n v="0.33810933432608209"/>
    <s v="No"/>
    <n v="0"/>
    <n v="0"/>
    <x v="0"/>
    <x v="4"/>
    <x v="0"/>
    <x v="1"/>
    <x v="3"/>
    <n v="1"/>
  </r>
  <r>
    <n v="703"/>
    <x v="0"/>
    <x v="0"/>
    <x v="18"/>
    <n v="6"/>
    <n v="0"/>
    <x v="0"/>
    <s v="Yes"/>
    <x v="1"/>
    <n v="67667.19"/>
    <x v="1"/>
    <n v="2.880686339727247E-2"/>
    <s v="No"/>
    <n v="0"/>
    <n v="0"/>
    <x v="1"/>
    <x v="1"/>
    <x v="1"/>
    <x v="2"/>
    <x v="3"/>
    <n v="1"/>
  </r>
  <r>
    <n v="605"/>
    <x v="1"/>
    <x v="0"/>
    <x v="14"/>
    <n v="2"/>
    <n v="61319.63"/>
    <x v="1"/>
    <s v="No"/>
    <x v="1"/>
    <n v="186655.11"/>
    <x v="1"/>
    <n v="0.73029066744803084"/>
    <s v="Yes"/>
    <n v="0"/>
    <n v="1"/>
    <x v="2"/>
    <x v="4"/>
    <x v="2"/>
    <x v="0"/>
    <x v="1"/>
    <n v="0"/>
  </r>
  <r>
    <n v="516"/>
    <x v="2"/>
    <x v="1"/>
    <x v="21"/>
    <n v="9"/>
    <n v="0"/>
    <x v="0"/>
    <s v="No"/>
    <x v="1"/>
    <n v="33266.29"/>
    <x v="1"/>
    <n v="9.4502766381933181E-2"/>
    <s v="No"/>
    <n v="0"/>
    <n v="0"/>
    <x v="1"/>
    <x v="1"/>
    <x v="1"/>
    <x v="1"/>
    <x v="2"/>
    <n v="1"/>
  </r>
  <r>
    <n v="572"/>
    <x v="2"/>
    <x v="1"/>
    <x v="10"/>
    <n v="2"/>
    <n v="0"/>
    <x v="0"/>
    <s v="Yes"/>
    <x v="1"/>
    <n v="555.28"/>
    <x v="1"/>
    <n v="9.2404836643611502E-2"/>
    <s v="No"/>
    <n v="0"/>
    <n v="0"/>
    <x v="1"/>
    <x v="1"/>
    <x v="1"/>
    <x v="1"/>
    <x v="2"/>
    <n v="1"/>
  </r>
  <r>
    <n v="557"/>
    <x v="2"/>
    <x v="0"/>
    <x v="3"/>
    <n v="6"/>
    <n v="177822.03"/>
    <x v="1"/>
    <s v="Yes"/>
    <x v="0"/>
    <n v="150944.31"/>
    <x v="0"/>
    <n v="0.28082254137532747"/>
    <s v="No"/>
    <n v="1"/>
    <n v="0"/>
    <x v="0"/>
    <x v="0"/>
    <x v="3"/>
    <x v="1"/>
    <x v="1"/>
    <n v="0"/>
  </r>
  <r>
    <n v="588"/>
    <x v="1"/>
    <x v="1"/>
    <x v="11"/>
    <n v="7"/>
    <n v="70258.880000000005"/>
    <x v="0"/>
    <s v="Yes"/>
    <x v="0"/>
    <n v="139607.60999999999"/>
    <x v="1"/>
    <n v="0.40024393450536899"/>
    <s v="No"/>
    <n v="0"/>
    <n v="0"/>
    <x v="0"/>
    <x v="1"/>
    <x v="2"/>
    <x v="1"/>
    <x v="0"/>
    <n v="1"/>
  </r>
  <r>
    <n v="633"/>
    <x v="0"/>
    <x v="1"/>
    <x v="5"/>
    <n v="4"/>
    <n v="92855.02"/>
    <x v="1"/>
    <s v="Yes"/>
    <x v="1"/>
    <n v="159813.18"/>
    <x v="1"/>
    <n v="8.7977052295116306E-2"/>
    <s v="No"/>
    <n v="0"/>
    <n v="0"/>
    <x v="1"/>
    <x v="1"/>
    <x v="2"/>
    <x v="0"/>
    <x v="1"/>
    <n v="1"/>
  </r>
  <r>
    <n v="766"/>
    <x v="1"/>
    <x v="0"/>
    <x v="35"/>
    <n v="9"/>
    <n v="129289.98"/>
    <x v="1"/>
    <s v="Yes"/>
    <x v="0"/>
    <n v="169935.46"/>
    <x v="0"/>
    <n v="0.47471527956303239"/>
    <s v="No"/>
    <n v="1"/>
    <n v="0"/>
    <x v="0"/>
    <x v="0"/>
    <x v="0"/>
    <x v="2"/>
    <x v="1"/>
    <n v="0"/>
  </r>
  <r>
    <n v="602"/>
    <x v="0"/>
    <x v="0"/>
    <x v="11"/>
    <n v="3"/>
    <n v="107592.89"/>
    <x v="0"/>
    <s v="No"/>
    <x v="1"/>
    <n v="153122.73000000001"/>
    <x v="1"/>
    <n v="7.0059049704211271E-2"/>
    <s v="No"/>
    <n v="0"/>
    <n v="0"/>
    <x v="1"/>
    <x v="1"/>
    <x v="0"/>
    <x v="0"/>
    <x v="1"/>
    <n v="1"/>
  </r>
  <r>
    <n v="679"/>
    <x v="0"/>
    <x v="1"/>
    <x v="21"/>
    <n v="7"/>
    <n v="0"/>
    <x v="0"/>
    <s v="Yes"/>
    <x v="1"/>
    <n v="163757.29"/>
    <x v="1"/>
    <n v="9.5012517975736399E-2"/>
    <s v="No"/>
    <n v="0"/>
    <n v="0"/>
    <x v="1"/>
    <x v="1"/>
    <x v="1"/>
    <x v="0"/>
    <x v="1"/>
    <n v="1"/>
  </r>
  <r>
    <n v="639"/>
    <x v="0"/>
    <x v="0"/>
    <x v="19"/>
    <n v="7"/>
    <n v="149940.04"/>
    <x v="0"/>
    <s v="No"/>
    <x v="0"/>
    <n v="156648.81"/>
    <x v="1"/>
    <n v="0.15304250295067709"/>
    <s v="No"/>
    <n v="0"/>
    <n v="0"/>
    <x v="1"/>
    <x v="1"/>
    <x v="0"/>
    <x v="0"/>
    <x v="1"/>
    <n v="1"/>
  </r>
  <r>
    <n v="565"/>
    <x v="2"/>
    <x v="0"/>
    <x v="25"/>
    <n v="9"/>
    <n v="0"/>
    <x v="0"/>
    <s v="Yes"/>
    <x v="0"/>
    <n v="5388.3"/>
    <x v="1"/>
    <n v="8.3850707842449412E-2"/>
    <s v="No"/>
    <n v="0"/>
    <n v="0"/>
    <x v="1"/>
    <x v="1"/>
    <x v="1"/>
    <x v="1"/>
    <x v="2"/>
    <n v="1"/>
  </r>
  <r>
    <n v="663"/>
    <x v="2"/>
    <x v="0"/>
    <x v="23"/>
    <n v="7"/>
    <n v="0"/>
    <x v="0"/>
    <s v="Yes"/>
    <x v="1"/>
    <n v="166310.82"/>
    <x v="1"/>
    <n v="1.7789565100203689E-2"/>
    <s v="No"/>
    <n v="0"/>
    <n v="0"/>
    <x v="1"/>
    <x v="2"/>
    <x v="1"/>
    <x v="0"/>
    <x v="1"/>
    <n v="1"/>
  </r>
  <r>
    <n v="671"/>
    <x v="0"/>
    <x v="0"/>
    <x v="50"/>
    <n v="1"/>
    <n v="178713.98"/>
    <x v="1"/>
    <s v="Yes"/>
    <x v="1"/>
    <n v="21768.21"/>
    <x v="1"/>
    <n v="0.29778177035218678"/>
    <s v="No"/>
    <n v="0"/>
    <n v="0"/>
    <x v="0"/>
    <x v="3"/>
    <x v="3"/>
    <x v="0"/>
    <x v="2"/>
    <n v="1"/>
  </r>
  <r>
    <n v="590"/>
    <x v="2"/>
    <x v="0"/>
    <x v="6"/>
    <n v="1"/>
    <n v="89086.31"/>
    <x v="1"/>
    <s v="Yes"/>
    <x v="0"/>
    <n v="24499.97"/>
    <x v="1"/>
    <n v="0.224607834524053"/>
    <s v="No"/>
    <n v="0"/>
    <n v="0"/>
    <x v="0"/>
    <x v="0"/>
    <x v="2"/>
    <x v="1"/>
    <x v="2"/>
    <n v="1"/>
  </r>
  <r>
    <n v="640"/>
    <x v="1"/>
    <x v="1"/>
    <x v="24"/>
    <n v="5"/>
    <n v="32197.64"/>
    <x v="1"/>
    <s v="No"/>
    <x v="1"/>
    <n v="141446.01"/>
    <x v="1"/>
    <n v="0.1223366798405186"/>
    <s v="No"/>
    <n v="0"/>
    <n v="0"/>
    <x v="1"/>
    <x v="2"/>
    <x v="4"/>
    <x v="0"/>
    <x v="0"/>
    <n v="1"/>
  </r>
  <r>
    <n v="654"/>
    <x v="2"/>
    <x v="0"/>
    <x v="2"/>
    <n v="8"/>
    <n v="0"/>
    <x v="0"/>
    <s v="Yes"/>
    <x v="0"/>
    <n v="88659.44"/>
    <x v="1"/>
    <n v="0.12538181471683921"/>
    <s v="No"/>
    <n v="0"/>
    <n v="0"/>
    <x v="1"/>
    <x v="1"/>
    <x v="1"/>
    <x v="0"/>
    <x v="3"/>
    <n v="1"/>
  </r>
  <r>
    <n v="580"/>
    <x v="0"/>
    <x v="0"/>
    <x v="25"/>
    <n v="9"/>
    <n v="142188.20000000001"/>
    <x v="0"/>
    <s v="No"/>
    <x v="1"/>
    <n v="128028.6"/>
    <x v="1"/>
    <n v="4.8171406218865731E-2"/>
    <s v="No"/>
    <n v="0"/>
    <n v="0"/>
    <x v="1"/>
    <x v="1"/>
    <x v="0"/>
    <x v="1"/>
    <x v="0"/>
    <n v="1"/>
  </r>
  <r>
    <n v="624"/>
    <x v="1"/>
    <x v="1"/>
    <x v="21"/>
    <n v="3"/>
    <n v="149961.99"/>
    <x v="0"/>
    <s v="Yes"/>
    <x v="0"/>
    <n v="104610.86"/>
    <x v="1"/>
    <n v="0.51468369700876127"/>
    <s v="Yes"/>
    <n v="0"/>
    <n v="1"/>
    <x v="2"/>
    <x v="1"/>
    <x v="0"/>
    <x v="0"/>
    <x v="0"/>
    <n v="0"/>
  </r>
  <r>
    <n v="605"/>
    <x v="2"/>
    <x v="1"/>
    <x v="19"/>
    <n v="2"/>
    <n v="0"/>
    <x v="1"/>
    <s v="No"/>
    <x v="0"/>
    <n v="35982.42"/>
    <x v="1"/>
    <n v="0.19279978028738731"/>
    <s v="No"/>
    <n v="0"/>
    <n v="0"/>
    <x v="1"/>
    <x v="1"/>
    <x v="1"/>
    <x v="0"/>
    <x v="2"/>
    <n v="1"/>
  </r>
  <r>
    <n v="567"/>
    <x v="0"/>
    <x v="0"/>
    <x v="21"/>
    <n v="8"/>
    <n v="28649.64"/>
    <x v="1"/>
    <s v="Yes"/>
    <x v="1"/>
    <n v="95140.62"/>
    <x v="1"/>
    <n v="6.8871353685279468E-2"/>
    <s v="No"/>
    <n v="0"/>
    <n v="0"/>
    <x v="1"/>
    <x v="1"/>
    <x v="4"/>
    <x v="1"/>
    <x v="3"/>
    <n v="1"/>
  </r>
  <r>
    <n v="725"/>
    <x v="2"/>
    <x v="1"/>
    <x v="28"/>
    <n v="1"/>
    <n v="118851.05"/>
    <x v="1"/>
    <s v="Yes"/>
    <x v="1"/>
    <n v="102747.02"/>
    <x v="1"/>
    <n v="0.1067940343317281"/>
    <s v="No"/>
    <n v="0"/>
    <n v="0"/>
    <x v="1"/>
    <x v="1"/>
    <x v="0"/>
    <x v="2"/>
    <x v="0"/>
    <n v="1"/>
  </r>
  <r>
    <n v="692"/>
    <x v="2"/>
    <x v="1"/>
    <x v="19"/>
    <n v="7"/>
    <n v="0"/>
    <x v="0"/>
    <s v="Yes"/>
    <x v="0"/>
    <n v="195074.62"/>
    <x v="1"/>
    <n v="0.16274999933851381"/>
    <s v="No"/>
    <n v="0"/>
    <n v="0"/>
    <x v="1"/>
    <x v="1"/>
    <x v="1"/>
    <x v="0"/>
    <x v="1"/>
    <n v="1"/>
  </r>
  <r>
    <n v="584"/>
    <x v="2"/>
    <x v="1"/>
    <x v="22"/>
    <n v="2"/>
    <n v="114321.28"/>
    <x v="0"/>
    <s v="No"/>
    <x v="0"/>
    <n v="15959.01"/>
    <x v="1"/>
    <n v="0.23832140611501229"/>
    <s v="No"/>
    <n v="0"/>
    <n v="0"/>
    <x v="0"/>
    <x v="1"/>
    <x v="0"/>
    <x v="1"/>
    <x v="2"/>
    <n v="1"/>
  </r>
  <r>
    <n v="644"/>
    <x v="1"/>
    <x v="1"/>
    <x v="7"/>
    <n v="4"/>
    <n v="95560.04"/>
    <x v="1"/>
    <s v="No"/>
    <x v="0"/>
    <n v="72628.84"/>
    <x v="0"/>
    <n v="0.69338132106329586"/>
    <s v="Yes"/>
    <n v="1"/>
    <n v="1"/>
    <x v="2"/>
    <x v="3"/>
    <x v="2"/>
    <x v="0"/>
    <x v="3"/>
    <n v="1"/>
  </r>
  <r>
    <n v="675"/>
    <x v="2"/>
    <x v="0"/>
    <x v="48"/>
    <n v="1"/>
    <n v="0"/>
    <x v="0"/>
    <s v="Yes"/>
    <x v="0"/>
    <n v="157097.09"/>
    <x v="1"/>
    <n v="0.62565650931919226"/>
    <s v="Yes"/>
    <n v="0"/>
    <n v="1"/>
    <x v="2"/>
    <x v="4"/>
    <x v="1"/>
    <x v="0"/>
    <x v="1"/>
    <n v="0"/>
  </r>
  <r>
    <n v="746"/>
    <x v="2"/>
    <x v="0"/>
    <x v="50"/>
    <n v="3"/>
    <n v="0"/>
    <x v="2"/>
    <s v="Yes"/>
    <x v="1"/>
    <n v="80344.960000000006"/>
    <x v="0"/>
    <n v="0.16445519152705429"/>
    <s v="No"/>
    <n v="1"/>
    <n v="0"/>
    <x v="1"/>
    <x v="3"/>
    <x v="1"/>
    <x v="2"/>
    <x v="3"/>
    <n v="0"/>
  </r>
  <r>
    <n v="556"/>
    <x v="2"/>
    <x v="0"/>
    <x v="28"/>
    <n v="7"/>
    <n v="154872.07999999999"/>
    <x v="0"/>
    <s v="Yes"/>
    <x v="1"/>
    <n v="32044.639999999999"/>
    <x v="1"/>
    <n v="6.1634384027015758E-2"/>
    <s v="No"/>
    <n v="0"/>
    <n v="0"/>
    <x v="1"/>
    <x v="1"/>
    <x v="3"/>
    <x v="1"/>
    <x v="2"/>
    <n v="1"/>
  </r>
  <r>
    <n v="639"/>
    <x v="2"/>
    <x v="0"/>
    <x v="2"/>
    <n v="3"/>
    <n v="0"/>
    <x v="1"/>
    <s v="Yes"/>
    <x v="0"/>
    <n v="42862.82"/>
    <x v="1"/>
    <n v="0.1474036799545243"/>
    <s v="No"/>
    <n v="0"/>
    <n v="0"/>
    <x v="1"/>
    <x v="1"/>
    <x v="1"/>
    <x v="0"/>
    <x v="2"/>
    <n v="1"/>
  </r>
  <r>
    <n v="666"/>
    <x v="2"/>
    <x v="1"/>
    <x v="29"/>
    <n v="4"/>
    <n v="0"/>
    <x v="0"/>
    <s v="No"/>
    <x v="0"/>
    <n v="88751.45"/>
    <x v="1"/>
    <n v="0.108537571886584"/>
    <s v="No"/>
    <n v="0"/>
    <n v="0"/>
    <x v="1"/>
    <x v="2"/>
    <x v="1"/>
    <x v="0"/>
    <x v="3"/>
    <n v="1"/>
  </r>
  <r>
    <n v="586"/>
    <x v="2"/>
    <x v="0"/>
    <x v="54"/>
    <n v="1"/>
    <n v="0"/>
    <x v="0"/>
    <s v="Yes"/>
    <x v="1"/>
    <n v="53710.23"/>
    <x v="1"/>
    <n v="0.28040979188703141"/>
    <s v="No"/>
    <n v="0"/>
    <n v="0"/>
    <x v="0"/>
    <x v="4"/>
    <x v="1"/>
    <x v="1"/>
    <x v="3"/>
    <n v="1"/>
  </r>
  <r>
    <n v="654"/>
    <x v="2"/>
    <x v="0"/>
    <x v="45"/>
    <n v="3"/>
    <n v="87485.67"/>
    <x v="1"/>
    <s v="Yes"/>
    <x v="1"/>
    <n v="3299.01"/>
    <x v="1"/>
    <n v="0.19894996754473379"/>
    <s v="No"/>
    <n v="0"/>
    <n v="0"/>
    <x v="1"/>
    <x v="3"/>
    <x v="2"/>
    <x v="0"/>
    <x v="2"/>
    <n v="1"/>
  </r>
  <r>
    <n v="705"/>
    <x v="2"/>
    <x v="1"/>
    <x v="11"/>
    <n v="10"/>
    <n v="0"/>
    <x v="0"/>
    <s v="Yes"/>
    <x v="1"/>
    <n v="13935.53"/>
    <x v="0"/>
    <n v="6.4434570699694146E-2"/>
    <s v="No"/>
    <n v="1"/>
    <n v="0"/>
    <x v="1"/>
    <x v="1"/>
    <x v="1"/>
    <x v="2"/>
    <x v="2"/>
    <n v="0"/>
  </r>
  <r>
    <n v="553"/>
    <x v="1"/>
    <x v="1"/>
    <x v="36"/>
    <n v="7"/>
    <n v="128524.19"/>
    <x v="0"/>
    <s v="Yes"/>
    <x v="0"/>
    <n v="20682.46"/>
    <x v="1"/>
    <n v="0.23439490882651159"/>
    <s v="No"/>
    <n v="0"/>
    <n v="0"/>
    <x v="0"/>
    <x v="2"/>
    <x v="0"/>
    <x v="1"/>
    <x v="2"/>
    <n v="1"/>
  </r>
  <r>
    <n v="655"/>
    <x v="2"/>
    <x v="1"/>
    <x v="19"/>
    <n v="3"/>
    <n v="0"/>
    <x v="0"/>
    <s v="Yes"/>
    <x v="0"/>
    <n v="159638.76999999999"/>
    <x v="1"/>
    <n v="0.17465832129190981"/>
    <s v="No"/>
    <n v="0"/>
    <n v="0"/>
    <x v="1"/>
    <x v="1"/>
    <x v="1"/>
    <x v="0"/>
    <x v="1"/>
    <n v="1"/>
  </r>
  <r>
    <n v="520"/>
    <x v="1"/>
    <x v="0"/>
    <x v="12"/>
    <n v="3"/>
    <n v="150805.17000000001"/>
    <x v="2"/>
    <s v="No"/>
    <x v="1"/>
    <n v="25333.03"/>
    <x v="0"/>
    <n v="0.198106288985816"/>
    <s v="No"/>
    <n v="1"/>
    <n v="0"/>
    <x v="1"/>
    <x v="0"/>
    <x v="3"/>
    <x v="1"/>
    <x v="2"/>
    <n v="0"/>
  </r>
  <r>
    <n v="695"/>
    <x v="0"/>
    <x v="0"/>
    <x v="25"/>
    <n v="9"/>
    <n v="0"/>
    <x v="2"/>
    <s v="No"/>
    <x v="1"/>
    <n v="38533.79"/>
    <x v="1"/>
    <n v="2.6976562434234991E-2"/>
    <s v="No"/>
    <n v="0"/>
    <n v="0"/>
    <x v="1"/>
    <x v="1"/>
    <x v="1"/>
    <x v="0"/>
    <x v="2"/>
    <n v="1"/>
  </r>
  <r>
    <n v="585"/>
    <x v="2"/>
    <x v="1"/>
    <x v="24"/>
    <n v="6"/>
    <n v="0"/>
    <x v="0"/>
    <s v="Yes"/>
    <x v="1"/>
    <n v="137757.69"/>
    <x v="1"/>
    <n v="4.9174877675334877E-2"/>
    <s v="No"/>
    <n v="0"/>
    <n v="0"/>
    <x v="1"/>
    <x v="2"/>
    <x v="1"/>
    <x v="1"/>
    <x v="0"/>
    <n v="1"/>
  </r>
  <r>
    <n v="587"/>
    <x v="1"/>
    <x v="1"/>
    <x v="9"/>
    <n v="7"/>
    <n v="155393.98000000001"/>
    <x v="0"/>
    <s v="Yes"/>
    <x v="0"/>
    <n v="13308.2"/>
    <x v="0"/>
    <n v="0.65343032726940309"/>
    <s v="Yes"/>
    <n v="1"/>
    <n v="1"/>
    <x v="2"/>
    <x v="0"/>
    <x v="3"/>
    <x v="1"/>
    <x v="2"/>
    <n v="1"/>
  </r>
  <r>
    <n v="556"/>
    <x v="1"/>
    <x v="1"/>
    <x v="18"/>
    <n v="1"/>
    <n v="128663.81"/>
    <x v="0"/>
    <s v="Yes"/>
    <x v="0"/>
    <n v="125083.29"/>
    <x v="1"/>
    <n v="0.36255786110062432"/>
    <s v="No"/>
    <n v="0"/>
    <n v="0"/>
    <x v="0"/>
    <x v="1"/>
    <x v="0"/>
    <x v="1"/>
    <x v="0"/>
    <n v="1"/>
  </r>
  <r>
    <n v="690"/>
    <x v="2"/>
    <x v="1"/>
    <x v="22"/>
    <n v="9"/>
    <n v="107944.33"/>
    <x v="0"/>
    <s v="No"/>
    <x v="0"/>
    <n v="48478.47"/>
    <x v="1"/>
    <n v="0.20227445481919229"/>
    <s v="No"/>
    <n v="0"/>
    <n v="0"/>
    <x v="0"/>
    <x v="1"/>
    <x v="0"/>
    <x v="0"/>
    <x v="2"/>
    <n v="1"/>
  </r>
  <r>
    <n v="557"/>
    <x v="1"/>
    <x v="0"/>
    <x v="26"/>
    <n v="1"/>
    <n v="120043.13"/>
    <x v="1"/>
    <s v="Yes"/>
    <x v="0"/>
    <n v="132370.75"/>
    <x v="0"/>
    <n v="0.710275370425965"/>
    <s v="Yes"/>
    <n v="1"/>
    <n v="1"/>
    <x v="2"/>
    <x v="3"/>
    <x v="0"/>
    <x v="1"/>
    <x v="0"/>
    <n v="1"/>
  </r>
  <r>
    <n v="637"/>
    <x v="2"/>
    <x v="0"/>
    <x v="6"/>
    <n v="2"/>
    <n v="0"/>
    <x v="0"/>
    <s v="No"/>
    <x v="1"/>
    <n v="102515.42"/>
    <x v="1"/>
    <n v="6.661741534187543E-2"/>
    <s v="No"/>
    <n v="0"/>
    <n v="0"/>
    <x v="1"/>
    <x v="0"/>
    <x v="1"/>
    <x v="0"/>
    <x v="0"/>
    <n v="1"/>
  </r>
  <r>
    <n v="499"/>
    <x v="2"/>
    <x v="0"/>
    <x v="37"/>
    <n v="7"/>
    <n v="76961.600000000006"/>
    <x v="0"/>
    <s v="Yes"/>
    <x v="1"/>
    <n v="83643.87"/>
    <x v="1"/>
    <n v="0.25337714633672448"/>
    <s v="No"/>
    <n v="0"/>
    <n v="0"/>
    <x v="0"/>
    <x v="3"/>
    <x v="2"/>
    <x v="4"/>
    <x v="3"/>
    <n v="1"/>
  </r>
  <r>
    <n v="813"/>
    <x v="1"/>
    <x v="1"/>
    <x v="4"/>
    <n v="5"/>
    <n v="106059.4"/>
    <x v="1"/>
    <s v="No"/>
    <x v="0"/>
    <n v="187976.88"/>
    <x v="0"/>
    <n v="0.29798363330186001"/>
    <s v="No"/>
    <n v="1"/>
    <n v="0"/>
    <x v="0"/>
    <x v="2"/>
    <x v="0"/>
    <x v="3"/>
    <x v="1"/>
    <n v="0"/>
  </r>
  <r>
    <n v="850"/>
    <x v="1"/>
    <x v="0"/>
    <x v="0"/>
    <n v="2"/>
    <n v="112755.34"/>
    <x v="0"/>
    <s v="No"/>
    <x v="0"/>
    <n v="158171.35999999999"/>
    <x v="1"/>
    <n v="0.41006927738810678"/>
    <s v="No"/>
    <n v="0"/>
    <n v="0"/>
    <x v="0"/>
    <x v="0"/>
    <x v="0"/>
    <x v="3"/>
    <x v="1"/>
    <n v="1"/>
  </r>
  <r>
    <n v="601"/>
    <x v="2"/>
    <x v="0"/>
    <x v="10"/>
    <n v="3"/>
    <n v="72647.64"/>
    <x v="1"/>
    <s v="Yes"/>
    <x v="0"/>
    <n v="41777.9"/>
    <x v="0"/>
    <n v="0.18737933176352231"/>
    <s v="No"/>
    <n v="1"/>
    <n v="0"/>
    <x v="1"/>
    <x v="1"/>
    <x v="2"/>
    <x v="0"/>
    <x v="2"/>
    <n v="0"/>
  </r>
  <r>
    <n v="614"/>
    <x v="1"/>
    <x v="1"/>
    <x v="11"/>
    <n v="6"/>
    <n v="96340.81"/>
    <x v="0"/>
    <s v="Yes"/>
    <x v="1"/>
    <n v="139377.24"/>
    <x v="0"/>
    <n v="0.19386984437564669"/>
    <s v="No"/>
    <n v="1"/>
    <n v="0"/>
    <x v="1"/>
    <x v="1"/>
    <x v="2"/>
    <x v="0"/>
    <x v="0"/>
    <n v="0"/>
  </r>
  <r>
    <n v="599"/>
    <x v="0"/>
    <x v="0"/>
    <x v="36"/>
    <n v="3"/>
    <n v="0"/>
    <x v="0"/>
    <s v="Yes"/>
    <x v="1"/>
    <n v="120790.02"/>
    <x v="1"/>
    <n v="2.1864487676271489E-2"/>
    <s v="No"/>
    <n v="0"/>
    <n v="0"/>
    <x v="1"/>
    <x v="2"/>
    <x v="1"/>
    <x v="1"/>
    <x v="0"/>
    <n v="1"/>
  </r>
  <r>
    <n v="755"/>
    <x v="2"/>
    <x v="0"/>
    <x v="19"/>
    <n v="3"/>
    <n v="0"/>
    <x v="0"/>
    <s v="Yes"/>
    <x v="1"/>
    <n v="158816.03"/>
    <x v="1"/>
    <n v="3.6969267162257242E-2"/>
    <s v="No"/>
    <n v="0"/>
    <n v="0"/>
    <x v="1"/>
    <x v="1"/>
    <x v="1"/>
    <x v="2"/>
    <x v="1"/>
    <n v="1"/>
  </r>
  <r>
    <n v="660"/>
    <x v="2"/>
    <x v="1"/>
    <x v="20"/>
    <n v="0"/>
    <n v="90044.32"/>
    <x v="0"/>
    <s v="No"/>
    <x v="1"/>
    <n v="187604.97"/>
    <x v="0"/>
    <n v="0.21929304587684481"/>
    <s v="No"/>
    <n v="1"/>
    <n v="0"/>
    <x v="0"/>
    <x v="0"/>
    <x v="2"/>
    <x v="0"/>
    <x v="1"/>
    <n v="0"/>
  </r>
  <r>
    <n v="769"/>
    <x v="1"/>
    <x v="0"/>
    <x v="37"/>
    <n v="9"/>
    <n v="148846.39000000001"/>
    <x v="1"/>
    <s v="Yes"/>
    <x v="0"/>
    <n v="192831.67"/>
    <x v="0"/>
    <n v="0.71547070499203524"/>
    <s v="Yes"/>
    <n v="1"/>
    <n v="1"/>
    <x v="2"/>
    <x v="3"/>
    <x v="0"/>
    <x v="2"/>
    <x v="1"/>
    <n v="1"/>
  </r>
  <r>
    <n v="607"/>
    <x v="2"/>
    <x v="1"/>
    <x v="20"/>
    <n v="4"/>
    <n v="112070.86"/>
    <x v="2"/>
    <s v="Yes"/>
    <x v="0"/>
    <n v="173568.3"/>
    <x v="0"/>
    <n v="0.42336571780602988"/>
    <s v="No"/>
    <n v="1"/>
    <n v="0"/>
    <x v="0"/>
    <x v="0"/>
    <x v="0"/>
    <x v="0"/>
    <x v="1"/>
    <n v="0"/>
  </r>
  <r>
    <n v="767"/>
    <x v="1"/>
    <x v="1"/>
    <x v="1"/>
    <n v="7"/>
    <n v="132746.20000000001"/>
    <x v="0"/>
    <s v="Yes"/>
    <x v="0"/>
    <n v="26628.880000000001"/>
    <x v="0"/>
    <n v="0.54048992318517841"/>
    <s v="Yes"/>
    <n v="1"/>
    <n v="1"/>
    <x v="2"/>
    <x v="0"/>
    <x v="0"/>
    <x v="2"/>
    <x v="2"/>
    <n v="1"/>
  </r>
  <r>
    <n v="776"/>
    <x v="2"/>
    <x v="0"/>
    <x v="10"/>
    <n v="8"/>
    <n v="125211.55"/>
    <x v="0"/>
    <s v="Yes"/>
    <x v="0"/>
    <n v="144496.07"/>
    <x v="1"/>
    <n v="0.1683826435039586"/>
    <s v="No"/>
    <n v="0"/>
    <n v="0"/>
    <x v="1"/>
    <x v="1"/>
    <x v="0"/>
    <x v="2"/>
    <x v="0"/>
    <n v="1"/>
  </r>
  <r>
    <n v="743"/>
    <x v="2"/>
    <x v="1"/>
    <x v="16"/>
    <n v="9"/>
    <n v="0"/>
    <x v="1"/>
    <s v="Yes"/>
    <x v="0"/>
    <n v="113436.08"/>
    <x v="1"/>
    <n v="0.3171419304272336"/>
    <s v="No"/>
    <n v="0"/>
    <n v="0"/>
    <x v="0"/>
    <x v="0"/>
    <x v="1"/>
    <x v="2"/>
    <x v="0"/>
    <n v="1"/>
  </r>
  <r>
    <n v="699"/>
    <x v="2"/>
    <x v="0"/>
    <x v="15"/>
    <n v="9"/>
    <n v="99339"/>
    <x v="1"/>
    <s v="Yes"/>
    <x v="0"/>
    <n v="68297.61"/>
    <x v="0"/>
    <n v="5.5852319921957452E-2"/>
    <s v="No"/>
    <n v="1"/>
    <n v="0"/>
    <x v="1"/>
    <x v="2"/>
    <x v="2"/>
    <x v="0"/>
    <x v="3"/>
    <n v="0"/>
  </r>
  <r>
    <n v="600"/>
    <x v="1"/>
    <x v="1"/>
    <x v="4"/>
    <n v="6"/>
    <n v="74430.100000000006"/>
    <x v="0"/>
    <s v="Yes"/>
    <x v="1"/>
    <n v="96051.1"/>
    <x v="1"/>
    <n v="0.1102354374539707"/>
    <s v="No"/>
    <n v="0"/>
    <n v="0"/>
    <x v="1"/>
    <x v="2"/>
    <x v="2"/>
    <x v="1"/>
    <x v="3"/>
    <n v="1"/>
  </r>
  <r>
    <n v="528"/>
    <x v="1"/>
    <x v="0"/>
    <x v="25"/>
    <n v="2"/>
    <n v="99092.45"/>
    <x v="1"/>
    <s v="No"/>
    <x v="1"/>
    <n v="111149.98"/>
    <x v="1"/>
    <n v="0.11138793499982751"/>
    <s v="No"/>
    <n v="0"/>
    <n v="0"/>
    <x v="1"/>
    <x v="1"/>
    <x v="2"/>
    <x v="1"/>
    <x v="0"/>
    <n v="1"/>
  </r>
  <r>
    <n v="677"/>
    <x v="1"/>
    <x v="1"/>
    <x v="27"/>
    <n v="6"/>
    <n v="98723.67"/>
    <x v="1"/>
    <s v="No"/>
    <x v="1"/>
    <n v="151146.67000000001"/>
    <x v="1"/>
    <n v="0.1058345526843877"/>
    <s v="No"/>
    <n v="0"/>
    <n v="0"/>
    <x v="1"/>
    <x v="2"/>
    <x v="2"/>
    <x v="0"/>
    <x v="1"/>
    <n v="1"/>
  </r>
  <r>
    <n v="702"/>
    <x v="2"/>
    <x v="0"/>
    <x v="27"/>
    <n v="2"/>
    <n v="71281.289999999994"/>
    <x v="1"/>
    <s v="Yes"/>
    <x v="1"/>
    <n v="108747.12"/>
    <x v="0"/>
    <n v="2.8329376171183921E-2"/>
    <s v="No"/>
    <n v="1"/>
    <n v="0"/>
    <x v="1"/>
    <x v="2"/>
    <x v="2"/>
    <x v="2"/>
    <x v="0"/>
    <n v="0"/>
  </r>
  <r>
    <n v="850"/>
    <x v="1"/>
    <x v="0"/>
    <x v="17"/>
    <n v="2"/>
    <n v="101100.22"/>
    <x v="0"/>
    <s v="Yes"/>
    <x v="1"/>
    <n v="35337.31"/>
    <x v="1"/>
    <n v="5.9045878089518139E-2"/>
    <s v="No"/>
    <n v="0"/>
    <n v="0"/>
    <x v="1"/>
    <x v="2"/>
    <x v="0"/>
    <x v="3"/>
    <x v="2"/>
    <n v="1"/>
  </r>
  <r>
    <n v="638"/>
    <x v="2"/>
    <x v="1"/>
    <x v="12"/>
    <n v="3"/>
    <n v="145860.98000000001"/>
    <x v="1"/>
    <s v="Yes"/>
    <x v="1"/>
    <n v="142763.51"/>
    <x v="0"/>
    <n v="0.18348474152169311"/>
    <s v="No"/>
    <n v="1"/>
    <n v="0"/>
    <x v="1"/>
    <x v="0"/>
    <x v="0"/>
    <x v="0"/>
    <x v="0"/>
    <n v="0"/>
  </r>
  <r>
    <n v="834"/>
    <x v="0"/>
    <x v="0"/>
    <x v="21"/>
    <n v="7"/>
    <n v="0"/>
    <x v="0"/>
    <s v="No"/>
    <x v="0"/>
    <n v="45038.74"/>
    <x v="1"/>
    <n v="0.1355168815531955"/>
    <s v="No"/>
    <n v="0"/>
    <n v="0"/>
    <x v="1"/>
    <x v="1"/>
    <x v="1"/>
    <x v="3"/>
    <x v="2"/>
    <n v="1"/>
  </r>
  <r>
    <n v="508"/>
    <x v="2"/>
    <x v="0"/>
    <x v="9"/>
    <n v="1"/>
    <n v="93817.41"/>
    <x v="0"/>
    <s v="Yes"/>
    <x v="1"/>
    <n v="132468.76"/>
    <x v="0"/>
    <n v="0.15302018205945539"/>
    <s v="No"/>
    <n v="1"/>
    <n v="0"/>
    <x v="1"/>
    <x v="0"/>
    <x v="2"/>
    <x v="1"/>
    <x v="0"/>
    <n v="0"/>
  </r>
  <r>
    <n v="609"/>
    <x v="2"/>
    <x v="1"/>
    <x v="38"/>
    <n v="6"/>
    <n v="0"/>
    <x v="0"/>
    <s v="Yes"/>
    <x v="1"/>
    <n v="124218.27"/>
    <x v="1"/>
    <n v="0.2168198304013757"/>
    <s v="No"/>
    <n v="0"/>
    <n v="0"/>
    <x v="0"/>
    <x v="3"/>
    <x v="1"/>
    <x v="0"/>
    <x v="0"/>
    <n v="1"/>
  </r>
  <r>
    <n v="850"/>
    <x v="2"/>
    <x v="1"/>
    <x v="19"/>
    <n v="4"/>
    <n v="71379.53"/>
    <x v="0"/>
    <s v="Yes"/>
    <x v="1"/>
    <n v="154000.99"/>
    <x v="1"/>
    <n v="6.8129897550346194E-2"/>
    <s v="No"/>
    <n v="0"/>
    <n v="0"/>
    <x v="1"/>
    <x v="1"/>
    <x v="2"/>
    <x v="3"/>
    <x v="1"/>
    <n v="1"/>
  </r>
  <r>
    <n v="613"/>
    <x v="2"/>
    <x v="0"/>
    <x v="28"/>
    <n v="9"/>
    <n v="131307.10999999999"/>
    <x v="1"/>
    <s v="No"/>
    <x v="0"/>
    <n v="83343.73"/>
    <x v="1"/>
    <n v="0.16677733729120059"/>
    <s v="No"/>
    <n v="0"/>
    <n v="0"/>
    <x v="1"/>
    <x v="1"/>
    <x v="0"/>
    <x v="0"/>
    <x v="3"/>
    <n v="1"/>
  </r>
  <r>
    <n v="709"/>
    <x v="0"/>
    <x v="0"/>
    <x v="33"/>
    <n v="3"/>
    <n v="0"/>
    <x v="0"/>
    <s v="Yes"/>
    <x v="1"/>
    <n v="82195.149999999994"/>
    <x v="1"/>
    <n v="0.2385242568868757"/>
    <s v="No"/>
    <n v="0"/>
    <n v="0"/>
    <x v="0"/>
    <x v="4"/>
    <x v="1"/>
    <x v="2"/>
    <x v="3"/>
    <n v="1"/>
  </r>
  <r>
    <n v="525"/>
    <x v="2"/>
    <x v="0"/>
    <x v="7"/>
    <n v="10"/>
    <n v="0"/>
    <x v="2"/>
    <s v="Yes"/>
    <x v="0"/>
    <n v="171045.35"/>
    <x v="0"/>
    <n v="0.27124863228679502"/>
    <s v="No"/>
    <n v="1"/>
    <n v="0"/>
    <x v="0"/>
    <x v="3"/>
    <x v="1"/>
    <x v="1"/>
    <x v="1"/>
    <n v="0"/>
  </r>
  <r>
    <n v="662"/>
    <x v="2"/>
    <x v="0"/>
    <x v="18"/>
    <n v="3"/>
    <n v="0"/>
    <x v="0"/>
    <s v="No"/>
    <x v="1"/>
    <n v="27731.05"/>
    <x v="1"/>
    <n v="3.0509981537210819E-2"/>
    <s v="No"/>
    <n v="0"/>
    <n v="0"/>
    <x v="1"/>
    <x v="1"/>
    <x v="1"/>
    <x v="0"/>
    <x v="2"/>
    <n v="1"/>
  </r>
  <r>
    <n v="433"/>
    <x v="0"/>
    <x v="0"/>
    <x v="19"/>
    <n v="9"/>
    <n v="152806.74"/>
    <x v="1"/>
    <s v="Yes"/>
    <x v="0"/>
    <n v="19687.990000000002"/>
    <x v="1"/>
    <n v="0.16718784088732189"/>
    <s v="No"/>
    <n v="0"/>
    <n v="0"/>
    <x v="1"/>
    <x v="1"/>
    <x v="3"/>
    <x v="4"/>
    <x v="2"/>
    <n v="1"/>
  </r>
  <r>
    <n v="592"/>
    <x v="1"/>
    <x v="1"/>
    <x v="39"/>
    <n v="5"/>
    <n v="71816.740000000005"/>
    <x v="0"/>
    <s v="Yes"/>
    <x v="0"/>
    <n v="105096.82"/>
    <x v="0"/>
    <n v="0.88683986132196935"/>
    <s v="Yes"/>
    <n v="1"/>
    <n v="1"/>
    <x v="2"/>
    <x v="4"/>
    <x v="2"/>
    <x v="1"/>
    <x v="0"/>
    <n v="1"/>
  </r>
  <r>
    <n v="651"/>
    <x v="0"/>
    <x v="0"/>
    <x v="3"/>
    <n v="2"/>
    <n v="143145.87"/>
    <x v="0"/>
    <s v="Yes"/>
    <x v="0"/>
    <n v="43612.06"/>
    <x v="1"/>
    <n v="0.24205918916929661"/>
    <s v="No"/>
    <n v="0"/>
    <n v="0"/>
    <x v="0"/>
    <x v="0"/>
    <x v="0"/>
    <x v="0"/>
    <x v="2"/>
    <n v="1"/>
  </r>
  <r>
    <n v="660"/>
    <x v="2"/>
    <x v="0"/>
    <x v="11"/>
    <n v="2"/>
    <n v="97324.91"/>
    <x v="1"/>
    <s v="Yes"/>
    <x v="0"/>
    <n v="23291.83"/>
    <x v="1"/>
    <n v="0.17043332734493269"/>
    <s v="No"/>
    <n v="0"/>
    <n v="0"/>
    <x v="1"/>
    <x v="1"/>
    <x v="2"/>
    <x v="0"/>
    <x v="2"/>
    <n v="1"/>
  </r>
  <r>
    <n v="559"/>
    <x v="2"/>
    <x v="1"/>
    <x v="20"/>
    <n v="2"/>
    <n v="0"/>
    <x v="0"/>
    <s v="No"/>
    <x v="1"/>
    <n v="137961.41"/>
    <x v="1"/>
    <n v="0.18233729808203311"/>
    <s v="No"/>
    <n v="0"/>
    <n v="0"/>
    <x v="1"/>
    <x v="0"/>
    <x v="1"/>
    <x v="1"/>
    <x v="0"/>
    <n v="1"/>
  </r>
  <r>
    <n v="712"/>
    <x v="2"/>
    <x v="1"/>
    <x v="4"/>
    <n v="8"/>
    <n v="140170.60999999999"/>
    <x v="1"/>
    <s v="Yes"/>
    <x v="1"/>
    <n v="38170.04"/>
    <x v="1"/>
    <n v="5.9959457531546502E-2"/>
    <s v="No"/>
    <n v="0"/>
    <n v="0"/>
    <x v="1"/>
    <x v="2"/>
    <x v="0"/>
    <x v="2"/>
    <x v="2"/>
    <n v="1"/>
  </r>
  <r>
    <n v="646"/>
    <x v="2"/>
    <x v="1"/>
    <x v="12"/>
    <n v="8"/>
    <n v="143061.88"/>
    <x v="1"/>
    <s v="Yes"/>
    <x v="0"/>
    <n v="61937.599999999999"/>
    <x v="1"/>
    <n v="0.36354757431121859"/>
    <s v="No"/>
    <n v="0"/>
    <n v="0"/>
    <x v="0"/>
    <x v="0"/>
    <x v="0"/>
    <x v="0"/>
    <x v="3"/>
    <n v="1"/>
  </r>
  <r>
    <n v="801"/>
    <x v="0"/>
    <x v="1"/>
    <x v="16"/>
    <n v="6"/>
    <n v="0"/>
    <x v="0"/>
    <s v="Yes"/>
    <x v="1"/>
    <n v="170008.74"/>
    <x v="1"/>
    <n v="0.13341077350185779"/>
    <s v="No"/>
    <n v="0"/>
    <n v="0"/>
    <x v="1"/>
    <x v="0"/>
    <x v="1"/>
    <x v="3"/>
    <x v="1"/>
    <n v="1"/>
  </r>
  <r>
    <n v="620"/>
    <x v="1"/>
    <x v="1"/>
    <x v="36"/>
    <n v="1"/>
    <n v="137712.01"/>
    <x v="1"/>
    <s v="Yes"/>
    <x v="1"/>
    <n v="76197.05"/>
    <x v="1"/>
    <n v="0.114791856904373"/>
    <s v="No"/>
    <n v="0"/>
    <n v="0"/>
    <x v="1"/>
    <x v="2"/>
    <x v="0"/>
    <x v="0"/>
    <x v="3"/>
    <n v="1"/>
  </r>
  <r>
    <n v="484"/>
    <x v="1"/>
    <x v="0"/>
    <x v="21"/>
    <n v="7"/>
    <n v="106901.42"/>
    <x v="0"/>
    <s v="No"/>
    <x v="0"/>
    <n v="118045.98"/>
    <x v="1"/>
    <n v="0.3675317919666139"/>
    <s v="No"/>
    <n v="0"/>
    <n v="0"/>
    <x v="0"/>
    <x v="1"/>
    <x v="0"/>
    <x v="4"/>
    <x v="0"/>
    <n v="1"/>
  </r>
  <r>
    <n v="647"/>
    <x v="0"/>
    <x v="0"/>
    <x v="35"/>
    <n v="5"/>
    <n v="105603.21"/>
    <x v="0"/>
    <s v="Yes"/>
    <x v="1"/>
    <n v="157360.9"/>
    <x v="1"/>
    <n v="0.1243810687053326"/>
    <s v="No"/>
    <n v="0"/>
    <n v="0"/>
    <x v="1"/>
    <x v="0"/>
    <x v="0"/>
    <x v="0"/>
    <x v="1"/>
    <n v="1"/>
  </r>
  <r>
    <n v="513"/>
    <x v="1"/>
    <x v="0"/>
    <x v="19"/>
    <n v="7"/>
    <n v="60515.13"/>
    <x v="1"/>
    <s v="No"/>
    <x v="0"/>
    <n v="124571.09"/>
    <x v="1"/>
    <n v="0.26506281096733281"/>
    <s v="No"/>
    <n v="0"/>
    <n v="0"/>
    <x v="0"/>
    <x v="1"/>
    <x v="2"/>
    <x v="1"/>
    <x v="0"/>
    <n v="1"/>
  </r>
  <r>
    <n v="553"/>
    <x v="1"/>
    <x v="0"/>
    <x v="22"/>
    <n v="2"/>
    <n v="158584.28"/>
    <x v="0"/>
    <s v="Yes"/>
    <x v="0"/>
    <n v="43640.160000000003"/>
    <x v="1"/>
    <n v="0.30970293400930538"/>
    <s v="No"/>
    <n v="0"/>
    <n v="0"/>
    <x v="0"/>
    <x v="1"/>
    <x v="3"/>
    <x v="1"/>
    <x v="2"/>
    <n v="1"/>
  </r>
  <r>
    <n v="687"/>
    <x v="1"/>
    <x v="1"/>
    <x v="35"/>
    <n v="1"/>
    <n v="91219.29"/>
    <x v="1"/>
    <s v="No"/>
    <x v="0"/>
    <n v="158845.49"/>
    <x v="0"/>
    <n v="0.64258041769115526"/>
    <s v="Yes"/>
    <n v="1"/>
    <n v="1"/>
    <x v="2"/>
    <x v="0"/>
    <x v="2"/>
    <x v="0"/>
    <x v="1"/>
    <n v="1"/>
  </r>
  <r>
    <n v="468"/>
    <x v="2"/>
    <x v="1"/>
    <x v="15"/>
    <n v="1"/>
    <n v="76318.64"/>
    <x v="1"/>
    <s v="Yes"/>
    <x v="1"/>
    <n v="194783.12"/>
    <x v="1"/>
    <n v="4.5623541048315452E-2"/>
    <s v="No"/>
    <n v="0"/>
    <n v="0"/>
    <x v="1"/>
    <x v="2"/>
    <x v="2"/>
    <x v="4"/>
    <x v="1"/>
    <n v="1"/>
  </r>
  <r>
    <n v="682"/>
    <x v="0"/>
    <x v="1"/>
    <x v="50"/>
    <n v="4"/>
    <n v="0"/>
    <x v="1"/>
    <s v="Yes"/>
    <x v="0"/>
    <n v="176036.01"/>
    <x v="1"/>
    <n v="0.58312068564962682"/>
    <s v="Yes"/>
    <n v="0"/>
    <n v="1"/>
    <x v="2"/>
    <x v="3"/>
    <x v="1"/>
    <x v="0"/>
    <x v="1"/>
    <n v="0"/>
  </r>
  <r>
    <n v="519"/>
    <x v="2"/>
    <x v="0"/>
    <x v="20"/>
    <n v="10"/>
    <n v="71083.98"/>
    <x v="1"/>
    <s v="Yes"/>
    <x v="0"/>
    <n v="137959"/>
    <x v="1"/>
    <n v="0.30297384577063119"/>
    <s v="No"/>
    <n v="0"/>
    <n v="0"/>
    <x v="0"/>
    <x v="0"/>
    <x v="2"/>
    <x v="1"/>
    <x v="0"/>
    <n v="1"/>
  </r>
  <r>
    <n v="751"/>
    <x v="2"/>
    <x v="1"/>
    <x v="11"/>
    <n v="9"/>
    <n v="183613.66"/>
    <x v="0"/>
    <s v="No"/>
    <x v="0"/>
    <n v="49734.94"/>
    <x v="1"/>
    <n v="0.2554862230319575"/>
    <s v="No"/>
    <n v="0"/>
    <n v="0"/>
    <x v="0"/>
    <x v="1"/>
    <x v="3"/>
    <x v="2"/>
    <x v="2"/>
    <n v="1"/>
  </r>
  <r>
    <n v="585"/>
    <x v="2"/>
    <x v="1"/>
    <x v="12"/>
    <n v="2"/>
    <n v="0"/>
    <x v="0"/>
    <s v="Yes"/>
    <x v="0"/>
    <n v="89402.54"/>
    <x v="1"/>
    <n v="0.29774222337616479"/>
    <s v="No"/>
    <n v="0"/>
    <n v="0"/>
    <x v="0"/>
    <x v="0"/>
    <x v="1"/>
    <x v="1"/>
    <x v="3"/>
    <n v="1"/>
  </r>
  <r>
    <n v="633"/>
    <x v="2"/>
    <x v="0"/>
    <x v="22"/>
    <n v="3"/>
    <n v="0"/>
    <x v="0"/>
    <s v="Yes"/>
    <x v="1"/>
    <n v="36249.760000000002"/>
    <x v="1"/>
    <n v="4.0306000288649911E-2"/>
    <s v="No"/>
    <n v="0"/>
    <n v="0"/>
    <x v="1"/>
    <x v="1"/>
    <x v="1"/>
    <x v="0"/>
    <x v="2"/>
    <n v="1"/>
  </r>
  <r>
    <n v="640"/>
    <x v="1"/>
    <x v="0"/>
    <x v="1"/>
    <n v="8"/>
    <n v="120591.19"/>
    <x v="1"/>
    <s v="No"/>
    <x v="0"/>
    <n v="195123.94"/>
    <x v="1"/>
    <n v="0.4704270701015062"/>
    <s v="No"/>
    <n v="0"/>
    <n v="0"/>
    <x v="0"/>
    <x v="0"/>
    <x v="0"/>
    <x v="0"/>
    <x v="1"/>
    <n v="1"/>
  </r>
  <r>
    <n v="786"/>
    <x v="0"/>
    <x v="1"/>
    <x v="10"/>
    <n v="7"/>
    <n v="0"/>
    <x v="0"/>
    <s v="No"/>
    <x v="0"/>
    <n v="100929.59"/>
    <x v="1"/>
    <n v="0.2116422677418468"/>
    <s v="No"/>
    <n v="0"/>
    <n v="0"/>
    <x v="0"/>
    <x v="1"/>
    <x v="1"/>
    <x v="2"/>
    <x v="0"/>
    <n v="1"/>
  </r>
  <r>
    <n v="807"/>
    <x v="0"/>
    <x v="0"/>
    <x v="3"/>
    <n v="5"/>
    <n v="0"/>
    <x v="0"/>
    <s v="Yes"/>
    <x v="1"/>
    <n v="74900.899999999994"/>
    <x v="1"/>
    <n v="5.9965096915269918E-2"/>
    <s v="No"/>
    <n v="0"/>
    <n v="0"/>
    <x v="1"/>
    <x v="0"/>
    <x v="1"/>
    <x v="3"/>
    <x v="3"/>
    <n v="1"/>
  </r>
  <r>
    <n v="602"/>
    <x v="1"/>
    <x v="0"/>
    <x v="2"/>
    <n v="2"/>
    <n v="71667.97"/>
    <x v="0"/>
    <s v="No"/>
    <x v="0"/>
    <n v="137111.89000000001"/>
    <x v="1"/>
    <n v="0.31990401591554007"/>
    <s v="No"/>
    <n v="0"/>
    <n v="0"/>
    <x v="0"/>
    <x v="1"/>
    <x v="2"/>
    <x v="0"/>
    <x v="0"/>
    <n v="1"/>
  </r>
  <r>
    <n v="653"/>
    <x v="0"/>
    <x v="1"/>
    <x v="29"/>
    <n v="6"/>
    <n v="107751.67999999999"/>
    <x v="0"/>
    <s v="Yes"/>
    <x v="1"/>
    <n v="33389.42"/>
    <x v="1"/>
    <n v="4.8720742963316958E-2"/>
    <s v="No"/>
    <n v="0"/>
    <n v="0"/>
    <x v="1"/>
    <x v="2"/>
    <x v="0"/>
    <x v="0"/>
    <x v="2"/>
    <n v="1"/>
  </r>
  <r>
    <n v="641"/>
    <x v="2"/>
    <x v="0"/>
    <x v="11"/>
    <n v="6"/>
    <n v="0"/>
    <x v="0"/>
    <s v="Yes"/>
    <x v="0"/>
    <n v="45309.24"/>
    <x v="1"/>
    <n v="0.1200354445036204"/>
    <s v="No"/>
    <n v="0"/>
    <n v="0"/>
    <x v="1"/>
    <x v="1"/>
    <x v="1"/>
    <x v="0"/>
    <x v="2"/>
    <n v="1"/>
  </r>
  <r>
    <n v="568"/>
    <x v="2"/>
    <x v="0"/>
    <x v="5"/>
    <n v="7"/>
    <n v="0"/>
    <x v="0"/>
    <s v="Yes"/>
    <x v="0"/>
    <n v="143450.60999999999"/>
    <x v="1"/>
    <n v="9.9534507517496318E-2"/>
    <s v="No"/>
    <n v="0"/>
    <n v="0"/>
    <x v="1"/>
    <x v="1"/>
    <x v="1"/>
    <x v="1"/>
    <x v="0"/>
    <n v="1"/>
  </r>
  <r>
    <n v="747"/>
    <x v="2"/>
    <x v="0"/>
    <x v="12"/>
    <n v="1"/>
    <n v="130788.71"/>
    <x v="1"/>
    <s v="No"/>
    <x v="1"/>
    <n v="101495"/>
    <x v="0"/>
    <n v="0.1084943049291249"/>
    <s v="No"/>
    <n v="1"/>
    <n v="0"/>
    <x v="1"/>
    <x v="0"/>
    <x v="0"/>
    <x v="2"/>
    <x v="0"/>
    <n v="0"/>
  </r>
  <r>
    <n v="632"/>
    <x v="1"/>
    <x v="0"/>
    <x v="24"/>
    <n v="2"/>
    <n v="72549"/>
    <x v="0"/>
    <s v="No"/>
    <x v="1"/>
    <n v="182728.8"/>
    <x v="1"/>
    <n v="8.0988649946030708E-2"/>
    <s v="No"/>
    <n v="0"/>
    <n v="0"/>
    <x v="1"/>
    <x v="2"/>
    <x v="2"/>
    <x v="0"/>
    <x v="1"/>
    <n v="1"/>
  </r>
  <r>
    <n v="751"/>
    <x v="2"/>
    <x v="0"/>
    <x v="3"/>
    <n v="4"/>
    <n v="0"/>
    <x v="0"/>
    <s v="Yes"/>
    <x v="1"/>
    <n v="81442.600000000006"/>
    <x v="1"/>
    <n v="6.1320481960455309E-2"/>
    <s v="No"/>
    <n v="0"/>
    <n v="0"/>
    <x v="1"/>
    <x v="0"/>
    <x v="1"/>
    <x v="2"/>
    <x v="3"/>
    <n v="1"/>
  </r>
  <r>
    <n v="767"/>
    <x v="2"/>
    <x v="1"/>
    <x v="22"/>
    <n v="2"/>
    <n v="0"/>
    <x v="0"/>
    <s v="No"/>
    <x v="0"/>
    <n v="144251.38"/>
    <x v="1"/>
    <n v="0.1804767946690774"/>
    <s v="No"/>
    <n v="0"/>
    <n v="0"/>
    <x v="1"/>
    <x v="1"/>
    <x v="1"/>
    <x v="2"/>
    <x v="0"/>
    <n v="1"/>
  </r>
  <r>
    <n v="651"/>
    <x v="1"/>
    <x v="0"/>
    <x v="4"/>
    <n v="3"/>
    <n v="121890.06"/>
    <x v="1"/>
    <s v="Yes"/>
    <x v="0"/>
    <n v="54530.51"/>
    <x v="0"/>
    <n v="0.21106750214288261"/>
    <s v="No"/>
    <n v="1"/>
    <n v="0"/>
    <x v="0"/>
    <x v="2"/>
    <x v="0"/>
    <x v="0"/>
    <x v="3"/>
    <n v="0"/>
  </r>
  <r>
    <n v="499"/>
    <x v="1"/>
    <x v="1"/>
    <x v="0"/>
    <n v="6"/>
    <n v="77627.33"/>
    <x v="0"/>
    <s v="Yes"/>
    <x v="0"/>
    <n v="108222.68"/>
    <x v="1"/>
    <n v="0.54895423736138638"/>
    <s v="Yes"/>
    <n v="0"/>
    <n v="1"/>
    <x v="2"/>
    <x v="0"/>
    <x v="2"/>
    <x v="4"/>
    <x v="0"/>
    <n v="0"/>
  </r>
  <r>
    <n v="809"/>
    <x v="0"/>
    <x v="1"/>
    <x v="20"/>
    <n v="2"/>
    <n v="0"/>
    <x v="1"/>
    <s v="Yes"/>
    <x v="0"/>
    <n v="160976.85"/>
    <x v="0"/>
    <n v="0.38672275942588291"/>
    <s v="No"/>
    <n v="1"/>
    <n v="0"/>
    <x v="0"/>
    <x v="0"/>
    <x v="1"/>
    <x v="3"/>
    <x v="1"/>
    <n v="0"/>
  </r>
  <r>
    <n v="586"/>
    <x v="1"/>
    <x v="0"/>
    <x v="3"/>
    <n v="6"/>
    <n v="126704.49"/>
    <x v="0"/>
    <s v="Yes"/>
    <x v="0"/>
    <n v="41682.300000000003"/>
    <x v="1"/>
    <n v="0.38478777181372448"/>
    <s v="No"/>
    <n v="0"/>
    <n v="0"/>
    <x v="0"/>
    <x v="0"/>
    <x v="0"/>
    <x v="1"/>
    <x v="2"/>
    <n v="1"/>
  </r>
  <r>
    <n v="730"/>
    <x v="0"/>
    <x v="0"/>
    <x v="36"/>
    <n v="5"/>
    <n v="167385.81"/>
    <x v="1"/>
    <s v="Yes"/>
    <x v="1"/>
    <n v="56307.51"/>
    <x v="1"/>
    <n v="3.1380315322297653E-2"/>
    <s v="No"/>
    <n v="0"/>
    <n v="0"/>
    <x v="1"/>
    <x v="2"/>
    <x v="3"/>
    <x v="2"/>
    <x v="3"/>
    <n v="1"/>
  </r>
  <r>
    <n v="539"/>
    <x v="2"/>
    <x v="0"/>
    <x v="10"/>
    <n v="1"/>
    <n v="0"/>
    <x v="1"/>
    <s v="Yes"/>
    <x v="1"/>
    <n v="28184.7"/>
    <x v="1"/>
    <n v="6.4743431139427113E-2"/>
    <s v="No"/>
    <n v="0"/>
    <n v="0"/>
    <x v="1"/>
    <x v="1"/>
    <x v="1"/>
    <x v="1"/>
    <x v="2"/>
    <n v="1"/>
  </r>
  <r>
    <n v="821"/>
    <x v="2"/>
    <x v="1"/>
    <x v="21"/>
    <n v="1"/>
    <n v="0"/>
    <x v="0"/>
    <s v="Yes"/>
    <x v="0"/>
    <n v="194273.12"/>
    <x v="1"/>
    <n v="0.23776345001972191"/>
    <s v="No"/>
    <n v="0"/>
    <n v="0"/>
    <x v="0"/>
    <x v="1"/>
    <x v="1"/>
    <x v="3"/>
    <x v="1"/>
    <n v="1"/>
  </r>
  <r>
    <n v="687"/>
    <x v="1"/>
    <x v="0"/>
    <x v="22"/>
    <n v="1"/>
    <n v="125141.24"/>
    <x v="0"/>
    <s v="Yes"/>
    <x v="1"/>
    <n v="148537.07"/>
    <x v="1"/>
    <n v="0.1200085482114347"/>
    <s v="No"/>
    <n v="0"/>
    <n v="0"/>
    <x v="1"/>
    <x v="1"/>
    <x v="0"/>
    <x v="0"/>
    <x v="0"/>
    <n v="1"/>
  </r>
  <r>
    <n v="705"/>
    <x v="2"/>
    <x v="1"/>
    <x v="45"/>
    <n v="8"/>
    <n v="0"/>
    <x v="0"/>
    <s v="Yes"/>
    <x v="1"/>
    <n v="14392.68"/>
    <x v="1"/>
    <n v="0.21352732620455309"/>
    <s v="No"/>
    <n v="0"/>
    <n v="0"/>
    <x v="0"/>
    <x v="3"/>
    <x v="1"/>
    <x v="2"/>
    <x v="2"/>
    <n v="1"/>
  </r>
  <r>
    <n v="637"/>
    <x v="1"/>
    <x v="0"/>
    <x v="21"/>
    <n v="9"/>
    <n v="154309.67000000001"/>
    <x v="1"/>
    <s v="Yes"/>
    <x v="1"/>
    <n v="125334.16"/>
    <x v="0"/>
    <n v="0.17081797180193861"/>
    <s v="No"/>
    <n v="1"/>
    <n v="0"/>
    <x v="1"/>
    <x v="1"/>
    <x v="3"/>
    <x v="0"/>
    <x v="0"/>
    <n v="0"/>
  </r>
  <r>
    <n v="621"/>
    <x v="2"/>
    <x v="1"/>
    <x v="32"/>
    <n v="5"/>
    <n v="0"/>
    <x v="0"/>
    <s v="Yes"/>
    <x v="0"/>
    <n v="191756.54"/>
    <x v="0"/>
    <n v="0.40923153689003172"/>
    <s v="No"/>
    <n v="1"/>
    <n v="0"/>
    <x v="0"/>
    <x v="0"/>
    <x v="1"/>
    <x v="0"/>
    <x v="1"/>
    <n v="0"/>
  </r>
  <r>
    <n v="504"/>
    <x v="0"/>
    <x v="0"/>
    <x v="19"/>
    <n v="0"/>
    <n v="54980.81"/>
    <x v="1"/>
    <s v="Yes"/>
    <x v="1"/>
    <n v="136909.88"/>
    <x v="1"/>
    <n v="5.9828298516405788E-2"/>
    <s v="No"/>
    <n v="0"/>
    <n v="0"/>
    <x v="1"/>
    <x v="1"/>
    <x v="2"/>
    <x v="1"/>
    <x v="0"/>
    <n v="1"/>
  </r>
  <r>
    <n v="516"/>
    <x v="0"/>
    <x v="1"/>
    <x v="53"/>
    <n v="9"/>
    <n v="102541.1"/>
    <x v="1"/>
    <s v="Yes"/>
    <x v="0"/>
    <n v="181490.42"/>
    <x v="1"/>
    <n v="0.75737716518592524"/>
    <s v="Yes"/>
    <n v="0"/>
    <n v="1"/>
    <x v="2"/>
    <x v="4"/>
    <x v="0"/>
    <x v="1"/>
    <x v="1"/>
    <n v="0"/>
  </r>
  <r>
    <n v="706"/>
    <x v="1"/>
    <x v="1"/>
    <x v="35"/>
    <n v="10"/>
    <n v="144090.42000000001"/>
    <x v="1"/>
    <s v="Yes"/>
    <x v="0"/>
    <n v="140938.95000000001"/>
    <x v="0"/>
    <n v="0.62013857032315001"/>
    <s v="Yes"/>
    <n v="1"/>
    <n v="1"/>
    <x v="2"/>
    <x v="0"/>
    <x v="0"/>
    <x v="2"/>
    <x v="0"/>
    <n v="1"/>
  </r>
  <r>
    <n v="634"/>
    <x v="2"/>
    <x v="0"/>
    <x v="19"/>
    <n v="3"/>
    <n v="145030.92000000001"/>
    <x v="1"/>
    <s v="Yes"/>
    <x v="1"/>
    <n v="41820.65"/>
    <x v="1"/>
    <n v="5.9402317893067658E-2"/>
    <s v="No"/>
    <n v="0"/>
    <n v="0"/>
    <x v="1"/>
    <x v="1"/>
    <x v="0"/>
    <x v="0"/>
    <x v="2"/>
    <n v="1"/>
  </r>
  <r>
    <n v="622"/>
    <x v="0"/>
    <x v="1"/>
    <x v="34"/>
    <n v="8"/>
    <n v="0"/>
    <x v="0"/>
    <s v="Yes"/>
    <x v="1"/>
    <n v="131389.39000000001"/>
    <x v="1"/>
    <n v="2.9022557569355921E-2"/>
    <s v="No"/>
    <n v="0"/>
    <n v="0"/>
    <x v="1"/>
    <x v="2"/>
    <x v="1"/>
    <x v="0"/>
    <x v="0"/>
    <n v="1"/>
  </r>
  <r>
    <n v="748"/>
    <x v="2"/>
    <x v="0"/>
    <x v="41"/>
    <n v="8"/>
    <n v="0"/>
    <x v="1"/>
    <s v="Yes"/>
    <x v="1"/>
    <n v="163331.65"/>
    <x v="1"/>
    <n v="0.2931418854664205"/>
    <s v="No"/>
    <n v="0"/>
    <n v="0"/>
    <x v="0"/>
    <x v="4"/>
    <x v="1"/>
    <x v="2"/>
    <x v="1"/>
    <n v="1"/>
  </r>
  <r>
    <n v="727"/>
    <x v="2"/>
    <x v="0"/>
    <x v="8"/>
    <n v="0"/>
    <n v="128213.96"/>
    <x v="0"/>
    <s v="Yes"/>
    <x v="1"/>
    <n v="188729.08"/>
    <x v="0"/>
    <n v="0.30271629185818311"/>
    <s v="No"/>
    <n v="1"/>
    <n v="0"/>
    <x v="0"/>
    <x v="4"/>
    <x v="0"/>
    <x v="2"/>
    <x v="1"/>
    <n v="0"/>
  </r>
  <r>
    <n v="567"/>
    <x v="0"/>
    <x v="0"/>
    <x v="0"/>
    <n v="9"/>
    <n v="0"/>
    <x v="0"/>
    <s v="Yes"/>
    <x v="0"/>
    <n v="87677.15"/>
    <x v="1"/>
    <n v="0.19463866712704039"/>
    <s v="No"/>
    <n v="0"/>
    <n v="0"/>
    <x v="1"/>
    <x v="0"/>
    <x v="1"/>
    <x v="1"/>
    <x v="3"/>
    <n v="1"/>
  </r>
  <r>
    <n v="820"/>
    <x v="1"/>
    <x v="0"/>
    <x v="10"/>
    <n v="9"/>
    <n v="111336.89"/>
    <x v="1"/>
    <s v="Yes"/>
    <x v="0"/>
    <n v="16770.310000000001"/>
    <x v="0"/>
    <n v="0.29675916939124752"/>
    <s v="No"/>
    <n v="1"/>
    <n v="0"/>
    <x v="0"/>
    <x v="1"/>
    <x v="0"/>
    <x v="3"/>
    <x v="2"/>
    <n v="0"/>
  </r>
  <r>
    <n v="782"/>
    <x v="2"/>
    <x v="0"/>
    <x v="19"/>
    <n v="9"/>
    <n v="0"/>
    <x v="1"/>
    <s v="Yes"/>
    <x v="0"/>
    <n v="183021.06"/>
    <x v="0"/>
    <n v="0.10061607778444059"/>
    <s v="No"/>
    <n v="1"/>
    <n v="0"/>
    <x v="1"/>
    <x v="1"/>
    <x v="1"/>
    <x v="2"/>
    <x v="1"/>
    <n v="0"/>
  </r>
  <r>
    <n v="638"/>
    <x v="1"/>
    <x v="1"/>
    <x v="6"/>
    <n v="9"/>
    <n v="144326.09"/>
    <x v="1"/>
    <s v="Yes"/>
    <x v="0"/>
    <n v="73979.850000000006"/>
    <x v="0"/>
    <n v="0.51903890722497326"/>
    <s v="Yes"/>
    <n v="1"/>
    <n v="1"/>
    <x v="2"/>
    <x v="0"/>
    <x v="0"/>
    <x v="0"/>
    <x v="3"/>
    <n v="1"/>
  </r>
  <r>
    <n v="850"/>
    <x v="1"/>
    <x v="0"/>
    <x v="29"/>
    <n v="1"/>
    <n v="101278.25"/>
    <x v="0"/>
    <s v="Yes"/>
    <x v="1"/>
    <n v="26265.18"/>
    <x v="1"/>
    <n v="5.5861405918489218E-2"/>
    <s v="No"/>
    <n v="0"/>
    <n v="0"/>
    <x v="1"/>
    <x v="2"/>
    <x v="0"/>
    <x v="3"/>
    <x v="2"/>
    <n v="1"/>
  </r>
  <r>
    <n v="706"/>
    <x v="0"/>
    <x v="1"/>
    <x v="4"/>
    <n v="1"/>
    <n v="209490.21"/>
    <x v="1"/>
    <s v="Yes"/>
    <x v="1"/>
    <n v="133267.69"/>
    <x v="0"/>
    <n v="8.8000580077225027E-2"/>
    <s v="No"/>
    <n v="1"/>
    <n v="0"/>
    <x v="1"/>
    <x v="2"/>
    <x v="3"/>
    <x v="2"/>
    <x v="0"/>
    <n v="0"/>
  </r>
  <r>
    <n v="792"/>
    <x v="0"/>
    <x v="1"/>
    <x v="21"/>
    <n v="7"/>
    <n v="0"/>
    <x v="1"/>
    <s v="Yes"/>
    <x v="0"/>
    <n v="141652.20000000001"/>
    <x v="1"/>
    <n v="0.2403001008579729"/>
    <s v="No"/>
    <n v="0"/>
    <n v="0"/>
    <x v="0"/>
    <x v="1"/>
    <x v="1"/>
    <x v="2"/>
    <x v="0"/>
    <n v="1"/>
  </r>
  <r>
    <n v="674"/>
    <x v="2"/>
    <x v="1"/>
    <x v="13"/>
    <n v="9"/>
    <n v="120150.39"/>
    <x v="0"/>
    <s v="Yes"/>
    <x v="1"/>
    <n v="33964.03"/>
    <x v="1"/>
    <n v="2.9439651281208689E-2"/>
    <s v="No"/>
    <n v="0"/>
    <n v="0"/>
    <x v="1"/>
    <x v="2"/>
    <x v="0"/>
    <x v="0"/>
    <x v="2"/>
    <n v="1"/>
  </r>
  <r>
    <n v="652"/>
    <x v="2"/>
    <x v="0"/>
    <x v="27"/>
    <n v="3"/>
    <n v="137998.20000000001"/>
    <x v="0"/>
    <s v="No"/>
    <x v="1"/>
    <n v="168989.77"/>
    <x v="1"/>
    <n v="3.2765468442191227E-2"/>
    <s v="No"/>
    <n v="0"/>
    <n v="0"/>
    <x v="1"/>
    <x v="2"/>
    <x v="0"/>
    <x v="0"/>
    <x v="1"/>
    <n v="1"/>
  </r>
  <r>
    <n v="685"/>
    <x v="0"/>
    <x v="0"/>
    <x v="18"/>
    <n v="7"/>
    <n v="122449.31"/>
    <x v="0"/>
    <s v="Yes"/>
    <x v="1"/>
    <n v="180769.55"/>
    <x v="1"/>
    <n v="4.1304703733489843E-2"/>
    <s v="No"/>
    <n v="0"/>
    <n v="0"/>
    <x v="1"/>
    <x v="1"/>
    <x v="0"/>
    <x v="0"/>
    <x v="1"/>
    <n v="1"/>
  </r>
  <r>
    <n v="675"/>
    <x v="0"/>
    <x v="1"/>
    <x v="32"/>
    <n v="1"/>
    <n v="133204.91"/>
    <x v="1"/>
    <s v="No"/>
    <x v="1"/>
    <n v="8270.06"/>
    <x v="1"/>
    <n v="0.2692536355854982"/>
    <s v="No"/>
    <n v="0"/>
    <n v="0"/>
    <x v="0"/>
    <x v="0"/>
    <x v="0"/>
    <x v="0"/>
    <x v="2"/>
    <n v="1"/>
  </r>
  <r>
    <n v="558"/>
    <x v="2"/>
    <x v="0"/>
    <x v="5"/>
    <n v="0"/>
    <n v="108477.49"/>
    <x v="1"/>
    <s v="Yes"/>
    <x v="1"/>
    <n v="109096.71"/>
    <x v="0"/>
    <n v="5.8343372196787771E-2"/>
    <s v="No"/>
    <n v="1"/>
    <n v="0"/>
    <x v="1"/>
    <x v="1"/>
    <x v="0"/>
    <x v="1"/>
    <x v="0"/>
    <n v="0"/>
  </r>
  <r>
    <n v="557"/>
    <x v="0"/>
    <x v="0"/>
    <x v="28"/>
    <n v="1"/>
    <n v="113110.26"/>
    <x v="1"/>
    <s v="Yes"/>
    <x v="0"/>
    <n v="98413.1"/>
    <x v="1"/>
    <n v="0.19091269596803151"/>
    <s v="No"/>
    <n v="0"/>
    <n v="0"/>
    <x v="1"/>
    <x v="1"/>
    <x v="0"/>
    <x v="1"/>
    <x v="3"/>
    <n v="1"/>
  </r>
  <r>
    <n v="695"/>
    <x v="0"/>
    <x v="0"/>
    <x v="22"/>
    <n v="7"/>
    <n v="0"/>
    <x v="0"/>
    <s v="Yes"/>
    <x v="0"/>
    <n v="160387.98000000001"/>
    <x v="1"/>
    <n v="0.1096377370680466"/>
    <s v="No"/>
    <n v="0"/>
    <n v="0"/>
    <x v="1"/>
    <x v="1"/>
    <x v="1"/>
    <x v="0"/>
    <x v="1"/>
    <n v="1"/>
  </r>
  <r>
    <n v="664"/>
    <x v="2"/>
    <x v="1"/>
    <x v="2"/>
    <n v="4"/>
    <n v="74306.19"/>
    <x v="0"/>
    <s v="Yes"/>
    <x v="0"/>
    <n v="154395.56"/>
    <x v="1"/>
    <n v="0.25098619778414111"/>
    <s v="No"/>
    <n v="0"/>
    <n v="0"/>
    <x v="0"/>
    <x v="1"/>
    <x v="2"/>
    <x v="0"/>
    <x v="1"/>
    <n v="1"/>
  </r>
  <r>
    <n v="500"/>
    <x v="0"/>
    <x v="1"/>
    <x v="32"/>
    <n v="5"/>
    <n v="0"/>
    <x v="3"/>
    <s v="Yes"/>
    <x v="1"/>
    <n v="83866.350000000006"/>
    <x v="0"/>
    <n v="0.167646696103499"/>
    <s v="No"/>
    <n v="1"/>
    <n v="0"/>
    <x v="1"/>
    <x v="0"/>
    <x v="1"/>
    <x v="4"/>
    <x v="3"/>
    <n v="0"/>
  </r>
  <r>
    <n v="708"/>
    <x v="0"/>
    <x v="0"/>
    <x v="2"/>
    <n v="8"/>
    <n v="99640.89"/>
    <x v="1"/>
    <s v="Yes"/>
    <x v="0"/>
    <n v="12429.22"/>
    <x v="1"/>
    <n v="0.16490508609476959"/>
    <s v="No"/>
    <n v="0"/>
    <n v="0"/>
    <x v="1"/>
    <x v="1"/>
    <x v="2"/>
    <x v="2"/>
    <x v="2"/>
    <n v="1"/>
  </r>
  <r>
    <n v="681"/>
    <x v="2"/>
    <x v="0"/>
    <x v="12"/>
    <n v="3"/>
    <n v="66338.679999999993"/>
    <x v="1"/>
    <s v="Yes"/>
    <x v="1"/>
    <n v="18772.5"/>
    <x v="0"/>
    <n v="8.7413596217938302E-2"/>
    <s v="No"/>
    <n v="1"/>
    <n v="0"/>
    <x v="1"/>
    <x v="0"/>
    <x v="2"/>
    <x v="0"/>
    <x v="2"/>
    <n v="0"/>
  </r>
  <r>
    <n v="624"/>
    <x v="2"/>
    <x v="0"/>
    <x v="28"/>
    <n v="6"/>
    <n v="0"/>
    <x v="0"/>
    <s v="No"/>
    <x v="0"/>
    <n v="84749.96"/>
    <x v="1"/>
    <n v="0.119198906542769"/>
    <s v="No"/>
    <n v="0"/>
    <n v="0"/>
    <x v="1"/>
    <x v="1"/>
    <x v="1"/>
    <x v="0"/>
    <x v="3"/>
    <n v="1"/>
  </r>
  <r>
    <n v="813"/>
    <x v="1"/>
    <x v="0"/>
    <x v="31"/>
    <n v="2"/>
    <n v="135078.41"/>
    <x v="1"/>
    <s v="Yes"/>
    <x v="0"/>
    <n v="187636.06"/>
    <x v="0"/>
    <n v="0.71454725891183923"/>
    <s v="Yes"/>
    <n v="1"/>
    <n v="1"/>
    <x v="2"/>
    <x v="3"/>
    <x v="0"/>
    <x v="3"/>
    <x v="1"/>
    <n v="1"/>
  </r>
  <r>
    <n v="685"/>
    <x v="2"/>
    <x v="0"/>
    <x v="24"/>
    <n v="2"/>
    <n v="0"/>
    <x v="0"/>
    <s v="Yes"/>
    <x v="1"/>
    <n v="140889.32"/>
    <x v="1"/>
    <n v="2.9376321799131511E-2"/>
    <s v="No"/>
    <n v="0"/>
    <n v="0"/>
    <x v="1"/>
    <x v="2"/>
    <x v="1"/>
    <x v="0"/>
    <x v="0"/>
    <n v="1"/>
  </r>
  <r>
    <n v="812"/>
    <x v="0"/>
    <x v="1"/>
    <x v="23"/>
    <n v="1"/>
    <n v="92476.88"/>
    <x v="1"/>
    <s v="No"/>
    <x v="0"/>
    <n v="83247.14"/>
    <x v="1"/>
    <n v="0.1201694167056617"/>
    <s v="No"/>
    <n v="0"/>
    <n v="0"/>
    <x v="1"/>
    <x v="2"/>
    <x v="2"/>
    <x v="3"/>
    <x v="3"/>
    <n v="1"/>
  </r>
  <r>
    <n v="680"/>
    <x v="2"/>
    <x v="1"/>
    <x v="25"/>
    <n v="5"/>
    <n v="0"/>
    <x v="1"/>
    <s v="Yes"/>
    <x v="1"/>
    <n v="150684.23000000001"/>
    <x v="1"/>
    <n v="6.0137432373854563E-2"/>
    <s v="No"/>
    <n v="0"/>
    <n v="0"/>
    <x v="1"/>
    <x v="1"/>
    <x v="1"/>
    <x v="0"/>
    <x v="1"/>
    <n v="1"/>
  </r>
  <r>
    <n v="485"/>
    <x v="2"/>
    <x v="1"/>
    <x v="10"/>
    <n v="2"/>
    <n v="75339.64"/>
    <x v="1"/>
    <s v="Yes"/>
    <x v="1"/>
    <n v="70665.16"/>
    <x v="1"/>
    <n v="0.13166845023402671"/>
    <s v="No"/>
    <n v="0"/>
    <n v="0"/>
    <x v="1"/>
    <x v="1"/>
    <x v="2"/>
    <x v="4"/>
    <x v="3"/>
    <n v="1"/>
  </r>
  <r>
    <n v="584"/>
    <x v="2"/>
    <x v="1"/>
    <x v="6"/>
    <n v="3"/>
    <n v="0"/>
    <x v="0"/>
    <s v="Yes"/>
    <x v="1"/>
    <n v="160095.48000000001"/>
    <x v="1"/>
    <n v="0.11150398267257169"/>
    <s v="No"/>
    <n v="0"/>
    <n v="0"/>
    <x v="1"/>
    <x v="0"/>
    <x v="1"/>
    <x v="1"/>
    <x v="1"/>
    <n v="1"/>
  </r>
  <r>
    <n v="520"/>
    <x v="2"/>
    <x v="0"/>
    <x v="22"/>
    <n v="9"/>
    <n v="105387.89"/>
    <x v="1"/>
    <s v="Yes"/>
    <x v="1"/>
    <n v="25059.06"/>
    <x v="1"/>
    <n v="5.5194568360322313E-2"/>
    <s v="No"/>
    <n v="0"/>
    <n v="0"/>
    <x v="1"/>
    <x v="1"/>
    <x v="0"/>
    <x v="1"/>
    <x v="2"/>
    <n v="1"/>
  </r>
  <r>
    <n v="557"/>
    <x v="2"/>
    <x v="0"/>
    <x v="28"/>
    <n v="3"/>
    <n v="0"/>
    <x v="1"/>
    <s v="No"/>
    <x v="1"/>
    <n v="144078.01999999999"/>
    <x v="1"/>
    <n v="5.4818344863821318E-2"/>
    <s v="No"/>
    <n v="0"/>
    <n v="0"/>
    <x v="1"/>
    <x v="1"/>
    <x v="1"/>
    <x v="1"/>
    <x v="0"/>
    <n v="1"/>
  </r>
  <r>
    <n v="613"/>
    <x v="0"/>
    <x v="1"/>
    <x v="25"/>
    <n v="0"/>
    <n v="0"/>
    <x v="0"/>
    <s v="No"/>
    <x v="1"/>
    <n v="126675.62"/>
    <x v="1"/>
    <n v="6.5977781072344463E-2"/>
    <s v="No"/>
    <n v="0"/>
    <n v="0"/>
    <x v="1"/>
    <x v="1"/>
    <x v="1"/>
    <x v="0"/>
    <x v="0"/>
    <n v="1"/>
  </r>
  <r>
    <n v="657"/>
    <x v="1"/>
    <x v="1"/>
    <x v="20"/>
    <n v="5"/>
    <n v="143595.87"/>
    <x v="1"/>
    <s v="No"/>
    <x v="0"/>
    <n v="101314.65"/>
    <x v="0"/>
    <n v="0.66946261240358595"/>
    <s v="Yes"/>
    <n v="1"/>
    <n v="1"/>
    <x v="2"/>
    <x v="0"/>
    <x v="0"/>
    <x v="0"/>
    <x v="0"/>
    <n v="1"/>
  </r>
  <r>
    <n v="623"/>
    <x v="2"/>
    <x v="1"/>
    <x v="23"/>
    <n v="7"/>
    <n v="148167.82999999999"/>
    <x v="0"/>
    <s v="Yes"/>
    <x v="1"/>
    <n v="109470.34"/>
    <x v="1"/>
    <n v="4.3780101868569697E-2"/>
    <s v="No"/>
    <n v="0"/>
    <n v="0"/>
    <x v="1"/>
    <x v="2"/>
    <x v="0"/>
    <x v="0"/>
    <x v="0"/>
    <n v="1"/>
  </r>
  <r>
    <n v="570"/>
    <x v="2"/>
    <x v="1"/>
    <x v="28"/>
    <n v="3"/>
    <n v="0"/>
    <x v="0"/>
    <s v="Yes"/>
    <x v="0"/>
    <n v="92118.75"/>
    <x v="1"/>
    <n v="0.2003821594123219"/>
    <s v="No"/>
    <n v="0"/>
    <n v="0"/>
    <x v="0"/>
    <x v="1"/>
    <x v="1"/>
    <x v="1"/>
    <x v="3"/>
    <n v="1"/>
  </r>
  <r>
    <n v="678"/>
    <x v="2"/>
    <x v="1"/>
    <x v="45"/>
    <n v="5"/>
    <n v="0"/>
    <x v="1"/>
    <s v="No"/>
    <x v="1"/>
    <n v="196794.11"/>
    <x v="0"/>
    <n v="0.27133430797458669"/>
    <s v="No"/>
    <n v="1"/>
    <n v="0"/>
    <x v="0"/>
    <x v="3"/>
    <x v="1"/>
    <x v="0"/>
    <x v="1"/>
    <n v="0"/>
  </r>
  <r>
    <n v="772"/>
    <x v="2"/>
    <x v="0"/>
    <x v="19"/>
    <n v="9"/>
    <n v="0"/>
    <x v="0"/>
    <s v="Yes"/>
    <x v="0"/>
    <n v="170980.86"/>
    <x v="1"/>
    <n v="9.1635925654312597E-2"/>
    <s v="No"/>
    <n v="0"/>
    <n v="0"/>
    <x v="1"/>
    <x v="1"/>
    <x v="1"/>
    <x v="2"/>
    <x v="1"/>
    <n v="1"/>
  </r>
  <r>
    <n v="667"/>
    <x v="2"/>
    <x v="1"/>
    <x v="11"/>
    <n v="9"/>
    <n v="71786.899999999994"/>
    <x v="0"/>
    <s v="Yes"/>
    <x v="1"/>
    <n v="67734.789999999994"/>
    <x v="1"/>
    <n v="8.2167969500586316E-2"/>
    <s v="No"/>
    <n v="0"/>
    <n v="0"/>
    <x v="1"/>
    <x v="1"/>
    <x v="2"/>
    <x v="0"/>
    <x v="3"/>
    <n v="1"/>
  </r>
  <r>
    <n v="702"/>
    <x v="1"/>
    <x v="1"/>
    <x v="34"/>
    <n v="7"/>
    <n v="98775.23"/>
    <x v="1"/>
    <s v="Yes"/>
    <x v="0"/>
    <n v="114603.96"/>
    <x v="1"/>
    <n v="0.2049323368170575"/>
    <s v="No"/>
    <n v="0"/>
    <n v="0"/>
    <x v="0"/>
    <x v="2"/>
    <x v="2"/>
    <x v="2"/>
    <x v="0"/>
    <n v="1"/>
  </r>
  <r>
    <n v="664"/>
    <x v="2"/>
    <x v="0"/>
    <x v="49"/>
    <n v="8"/>
    <n v="0"/>
    <x v="1"/>
    <s v="Yes"/>
    <x v="1"/>
    <n v="162719.69"/>
    <x v="0"/>
    <n v="0.15312769001146051"/>
    <s v="No"/>
    <n v="1"/>
    <n v="0"/>
    <x v="1"/>
    <x v="3"/>
    <x v="1"/>
    <x v="0"/>
    <x v="1"/>
    <n v="0"/>
  </r>
  <r>
    <n v="518"/>
    <x v="0"/>
    <x v="0"/>
    <x v="32"/>
    <n v="4"/>
    <n v="0"/>
    <x v="1"/>
    <s v="No"/>
    <x v="0"/>
    <n v="107112.25"/>
    <x v="0"/>
    <n v="0.33256061831236028"/>
    <s v="No"/>
    <n v="1"/>
    <n v="0"/>
    <x v="0"/>
    <x v="0"/>
    <x v="1"/>
    <x v="1"/>
    <x v="0"/>
    <n v="0"/>
  </r>
  <r>
    <n v="728"/>
    <x v="0"/>
    <x v="0"/>
    <x v="3"/>
    <n v="8"/>
    <n v="0"/>
    <x v="0"/>
    <s v="No"/>
    <x v="1"/>
    <n v="41823.22"/>
    <x v="1"/>
    <n v="6.0476607548761462E-2"/>
    <s v="No"/>
    <n v="0"/>
    <n v="0"/>
    <x v="1"/>
    <x v="0"/>
    <x v="1"/>
    <x v="2"/>
    <x v="2"/>
    <n v="1"/>
  </r>
  <r>
    <n v="585"/>
    <x v="1"/>
    <x v="0"/>
    <x v="11"/>
    <n v="6"/>
    <n v="152496.82"/>
    <x v="1"/>
    <s v="Yes"/>
    <x v="1"/>
    <n v="99907.29"/>
    <x v="1"/>
    <n v="0.1511794032573317"/>
    <s v="No"/>
    <n v="0"/>
    <n v="0"/>
    <x v="1"/>
    <x v="1"/>
    <x v="3"/>
    <x v="1"/>
    <x v="3"/>
    <n v="1"/>
  </r>
  <r>
    <n v="573"/>
    <x v="2"/>
    <x v="0"/>
    <x v="42"/>
    <n v="8"/>
    <n v="0"/>
    <x v="0"/>
    <s v="No"/>
    <x v="1"/>
    <n v="178229.04"/>
    <x v="1"/>
    <n v="0.13493838587139159"/>
    <s v="No"/>
    <n v="0"/>
    <n v="0"/>
    <x v="1"/>
    <x v="3"/>
    <x v="1"/>
    <x v="1"/>
    <x v="1"/>
    <n v="1"/>
  </r>
  <r>
    <n v="568"/>
    <x v="1"/>
    <x v="0"/>
    <x v="27"/>
    <n v="1"/>
    <n v="112930.28"/>
    <x v="0"/>
    <s v="Yes"/>
    <x v="0"/>
    <n v="22095.73"/>
    <x v="1"/>
    <n v="0.16960589946327451"/>
    <s v="No"/>
    <n v="0"/>
    <n v="0"/>
    <x v="1"/>
    <x v="2"/>
    <x v="0"/>
    <x v="1"/>
    <x v="2"/>
    <n v="1"/>
  </r>
  <r>
    <n v="737"/>
    <x v="1"/>
    <x v="0"/>
    <x v="12"/>
    <n v="8"/>
    <n v="96353.8"/>
    <x v="1"/>
    <s v="No"/>
    <x v="0"/>
    <n v="10209.799999999999"/>
    <x v="1"/>
    <n v="0.37757715319407459"/>
    <s v="No"/>
    <n v="0"/>
    <n v="0"/>
    <x v="0"/>
    <x v="0"/>
    <x v="2"/>
    <x v="2"/>
    <x v="2"/>
    <n v="1"/>
  </r>
  <r>
    <n v="514"/>
    <x v="2"/>
    <x v="0"/>
    <x v="22"/>
    <n v="3"/>
    <n v="121030.9"/>
    <x v="1"/>
    <s v="Yes"/>
    <x v="0"/>
    <n v="10008.68"/>
    <x v="1"/>
    <n v="0.1686473316653862"/>
    <s v="No"/>
    <n v="0"/>
    <n v="0"/>
    <x v="1"/>
    <x v="1"/>
    <x v="0"/>
    <x v="1"/>
    <x v="2"/>
    <n v="1"/>
  </r>
  <r>
    <n v="673"/>
    <x v="0"/>
    <x v="1"/>
    <x v="22"/>
    <n v="6"/>
    <n v="0"/>
    <x v="0"/>
    <s v="Yes"/>
    <x v="0"/>
    <n v="98618.79"/>
    <x v="1"/>
    <n v="0.17559045167046941"/>
    <s v="No"/>
    <n v="0"/>
    <n v="0"/>
    <x v="1"/>
    <x v="1"/>
    <x v="1"/>
    <x v="0"/>
    <x v="3"/>
    <n v="1"/>
  </r>
  <r>
    <n v="766"/>
    <x v="0"/>
    <x v="0"/>
    <x v="28"/>
    <n v="5"/>
    <n v="78381.13"/>
    <x v="1"/>
    <s v="No"/>
    <x v="1"/>
    <n v="153831.6"/>
    <x v="1"/>
    <n v="5.8162285453053297E-2"/>
    <s v="No"/>
    <n v="0"/>
    <n v="0"/>
    <x v="1"/>
    <x v="1"/>
    <x v="2"/>
    <x v="2"/>
    <x v="1"/>
    <n v="1"/>
  </r>
  <r>
    <n v="784"/>
    <x v="1"/>
    <x v="0"/>
    <x v="17"/>
    <n v="2"/>
    <n v="109960.06"/>
    <x v="0"/>
    <s v="Yes"/>
    <x v="1"/>
    <n v="170829.87"/>
    <x v="1"/>
    <n v="6.7602221227819323E-2"/>
    <s v="No"/>
    <n v="0"/>
    <n v="0"/>
    <x v="1"/>
    <x v="2"/>
    <x v="0"/>
    <x v="2"/>
    <x v="1"/>
    <n v="1"/>
  </r>
  <r>
    <n v="547"/>
    <x v="2"/>
    <x v="1"/>
    <x v="22"/>
    <n v="4"/>
    <n v="0"/>
    <x v="1"/>
    <s v="Yes"/>
    <x v="1"/>
    <n v="133287.73000000001"/>
    <x v="1"/>
    <n v="8.1287008543255504E-2"/>
    <s v="No"/>
    <n v="0"/>
    <n v="0"/>
    <x v="1"/>
    <x v="1"/>
    <x v="1"/>
    <x v="1"/>
    <x v="0"/>
    <n v="1"/>
  </r>
  <r>
    <n v="710"/>
    <x v="2"/>
    <x v="1"/>
    <x v="5"/>
    <n v="2"/>
    <n v="0"/>
    <x v="0"/>
    <s v="Yes"/>
    <x v="0"/>
    <n v="72945.320000000007"/>
    <x v="1"/>
    <n v="0.15528306303461639"/>
    <s v="No"/>
    <n v="0"/>
    <n v="0"/>
    <x v="1"/>
    <x v="1"/>
    <x v="1"/>
    <x v="2"/>
    <x v="3"/>
    <n v="1"/>
  </r>
  <r>
    <n v="605"/>
    <x v="2"/>
    <x v="0"/>
    <x v="28"/>
    <n v="7"/>
    <n v="128829.25"/>
    <x v="1"/>
    <s v="Yes"/>
    <x v="0"/>
    <n v="190588.59"/>
    <x v="1"/>
    <n v="0.17622114823274959"/>
    <s v="No"/>
    <n v="0"/>
    <n v="0"/>
    <x v="1"/>
    <x v="1"/>
    <x v="0"/>
    <x v="0"/>
    <x v="1"/>
    <n v="1"/>
  </r>
  <r>
    <n v="661"/>
    <x v="0"/>
    <x v="0"/>
    <x v="58"/>
    <n v="8"/>
    <n v="0"/>
    <x v="1"/>
    <s v="Yes"/>
    <x v="0"/>
    <n v="110252.53"/>
    <x v="1"/>
    <n v="4.2086482080259349E-2"/>
    <s v="No"/>
    <n v="0"/>
    <n v="0"/>
    <x v="1"/>
    <x v="2"/>
    <x v="1"/>
    <x v="0"/>
    <x v="0"/>
    <n v="1"/>
  </r>
  <r>
    <n v="577"/>
    <x v="0"/>
    <x v="0"/>
    <x v="18"/>
    <n v="6"/>
    <n v="0"/>
    <x v="1"/>
    <s v="Yes"/>
    <x v="1"/>
    <n v="196395.25"/>
    <x v="1"/>
    <n v="3.7145933955166743E-2"/>
    <s v="No"/>
    <n v="0"/>
    <n v="0"/>
    <x v="1"/>
    <x v="1"/>
    <x v="1"/>
    <x v="1"/>
    <x v="1"/>
    <n v="1"/>
  </r>
  <r>
    <n v="830"/>
    <x v="1"/>
    <x v="1"/>
    <x v="21"/>
    <n v="8"/>
    <n v="77701.64"/>
    <x v="1"/>
    <s v="No"/>
    <x v="1"/>
    <n v="19512.38"/>
    <x v="1"/>
    <n v="0.20233854929275241"/>
    <s v="No"/>
    <n v="0"/>
    <n v="0"/>
    <x v="0"/>
    <x v="1"/>
    <x v="2"/>
    <x v="3"/>
    <x v="2"/>
    <n v="1"/>
  </r>
  <r>
    <n v="718"/>
    <x v="0"/>
    <x v="0"/>
    <x v="19"/>
    <n v="5"/>
    <n v="113922.44"/>
    <x v="0"/>
    <s v="Yes"/>
    <x v="0"/>
    <n v="30772.22"/>
    <x v="1"/>
    <n v="0.1276340656250014"/>
    <s v="No"/>
    <n v="0"/>
    <n v="0"/>
    <x v="1"/>
    <x v="1"/>
    <x v="0"/>
    <x v="2"/>
    <x v="2"/>
    <n v="1"/>
  </r>
  <r>
    <n v="655"/>
    <x v="1"/>
    <x v="1"/>
    <x v="8"/>
    <n v="2"/>
    <n v="183997.7"/>
    <x v="0"/>
    <s v="Yes"/>
    <x v="1"/>
    <n v="161217.18"/>
    <x v="1"/>
    <n v="0.65496809553104696"/>
    <s v="Yes"/>
    <n v="0"/>
    <n v="1"/>
    <x v="2"/>
    <x v="4"/>
    <x v="3"/>
    <x v="0"/>
    <x v="1"/>
    <n v="0"/>
  </r>
  <r>
    <n v="712"/>
    <x v="2"/>
    <x v="0"/>
    <x v="34"/>
    <n v="2"/>
    <n v="0"/>
    <x v="0"/>
    <s v="No"/>
    <x v="1"/>
    <n v="66795.78"/>
    <x v="1"/>
    <n v="1.7231505025752221E-2"/>
    <s v="No"/>
    <n v="0"/>
    <n v="0"/>
    <x v="1"/>
    <x v="2"/>
    <x v="1"/>
    <x v="2"/>
    <x v="3"/>
    <n v="1"/>
  </r>
  <r>
    <n v="727"/>
    <x v="1"/>
    <x v="0"/>
    <x v="10"/>
    <n v="5"/>
    <n v="80615.460000000006"/>
    <x v="0"/>
    <s v="No"/>
    <x v="0"/>
    <n v="180962.32"/>
    <x v="1"/>
    <n v="0.31466469378449768"/>
    <s v="No"/>
    <n v="0"/>
    <n v="0"/>
    <x v="0"/>
    <x v="1"/>
    <x v="2"/>
    <x v="2"/>
    <x v="1"/>
    <n v="1"/>
  </r>
  <r>
    <n v="630"/>
    <x v="2"/>
    <x v="0"/>
    <x v="45"/>
    <n v="2"/>
    <n v="0"/>
    <x v="1"/>
    <s v="Yes"/>
    <x v="1"/>
    <n v="106202.07"/>
    <x v="0"/>
    <n v="0.17863261144504219"/>
    <s v="No"/>
    <n v="1"/>
    <n v="0"/>
    <x v="1"/>
    <x v="3"/>
    <x v="1"/>
    <x v="0"/>
    <x v="0"/>
    <n v="0"/>
  </r>
  <r>
    <n v="470"/>
    <x v="0"/>
    <x v="1"/>
    <x v="20"/>
    <n v="6"/>
    <n v="140576.10999999999"/>
    <x v="1"/>
    <s v="Yes"/>
    <x v="1"/>
    <n v="116971.05"/>
    <x v="1"/>
    <n v="0.25813117254906992"/>
    <s v="No"/>
    <n v="0"/>
    <n v="0"/>
    <x v="0"/>
    <x v="0"/>
    <x v="0"/>
    <x v="4"/>
    <x v="0"/>
    <n v="1"/>
  </r>
  <r>
    <n v="688"/>
    <x v="1"/>
    <x v="1"/>
    <x v="19"/>
    <n v="9"/>
    <n v="91025.58"/>
    <x v="0"/>
    <s v="No"/>
    <x v="1"/>
    <n v="163783"/>
    <x v="1"/>
    <n v="0.1511588660977165"/>
    <s v="No"/>
    <n v="0"/>
    <n v="0"/>
    <x v="1"/>
    <x v="1"/>
    <x v="2"/>
    <x v="0"/>
    <x v="1"/>
    <n v="1"/>
  </r>
  <r>
    <n v="685"/>
    <x v="2"/>
    <x v="1"/>
    <x v="5"/>
    <n v="1"/>
    <n v="0"/>
    <x v="2"/>
    <s v="No"/>
    <x v="1"/>
    <n v="70221.13"/>
    <x v="0"/>
    <n v="5.6282462175057842E-2"/>
    <s v="No"/>
    <n v="1"/>
    <n v="0"/>
    <x v="1"/>
    <x v="1"/>
    <x v="1"/>
    <x v="0"/>
    <x v="3"/>
    <n v="0"/>
  </r>
  <r>
    <n v="720"/>
    <x v="0"/>
    <x v="0"/>
    <x v="54"/>
    <n v="3"/>
    <n v="45752.78"/>
    <x v="0"/>
    <s v="Yes"/>
    <x v="0"/>
    <n v="79623.28"/>
    <x v="0"/>
    <n v="0.54651328394751664"/>
    <s v="Yes"/>
    <n v="1"/>
    <n v="1"/>
    <x v="2"/>
    <x v="4"/>
    <x v="4"/>
    <x v="2"/>
    <x v="3"/>
    <n v="1"/>
  </r>
  <r>
    <n v="704"/>
    <x v="1"/>
    <x v="0"/>
    <x v="6"/>
    <n v="9"/>
    <n v="62078.21"/>
    <x v="0"/>
    <s v="Yes"/>
    <x v="0"/>
    <n v="129050.67"/>
    <x v="1"/>
    <n v="0.30939622187599819"/>
    <s v="No"/>
    <n v="0"/>
    <n v="0"/>
    <x v="0"/>
    <x v="0"/>
    <x v="2"/>
    <x v="2"/>
    <x v="0"/>
    <n v="1"/>
  </r>
  <r>
    <n v="702"/>
    <x v="1"/>
    <x v="1"/>
    <x v="37"/>
    <n v="5"/>
    <n v="138597.54"/>
    <x v="0"/>
    <s v="Yes"/>
    <x v="1"/>
    <n v="41536.589999999997"/>
    <x v="0"/>
    <n v="0.57210093403191498"/>
    <s v="Yes"/>
    <n v="1"/>
    <n v="1"/>
    <x v="2"/>
    <x v="3"/>
    <x v="0"/>
    <x v="2"/>
    <x v="2"/>
    <n v="1"/>
  </r>
  <r>
    <n v="711"/>
    <x v="2"/>
    <x v="1"/>
    <x v="61"/>
    <n v="6"/>
    <n v="0"/>
    <x v="0"/>
    <s v="Yes"/>
    <x v="1"/>
    <n v="72276.240000000005"/>
    <x v="1"/>
    <n v="0.66548495076096037"/>
    <s v="Yes"/>
    <n v="0"/>
    <n v="1"/>
    <x v="2"/>
    <x v="4"/>
    <x v="1"/>
    <x v="2"/>
    <x v="3"/>
    <n v="0"/>
  </r>
  <r>
    <n v="690"/>
    <x v="2"/>
    <x v="1"/>
    <x v="3"/>
    <n v="5"/>
    <n v="0"/>
    <x v="0"/>
    <s v="No"/>
    <x v="1"/>
    <n v="120512.08"/>
    <x v="1"/>
    <n v="0.1086727238226253"/>
    <s v="No"/>
    <n v="0"/>
    <n v="0"/>
    <x v="1"/>
    <x v="0"/>
    <x v="1"/>
    <x v="0"/>
    <x v="0"/>
    <n v="1"/>
  </r>
  <r>
    <n v="714"/>
    <x v="2"/>
    <x v="0"/>
    <x v="22"/>
    <n v="3"/>
    <n v="0"/>
    <x v="0"/>
    <s v="Yes"/>
    <x v="1"/>
    <n v="95623.28"/>
    <x v="1"/>
    <n v="3.9430958966363797E-2"/>
    <s v="No"/>
    <n v="0"/>
    <n v="0"/>
    <x v="1"/>
    <x v="1"/>
    <x v="1"/>
    <x v="2"/>
    <x v="3"/>
    <n v="1"/>
  </r>
  <r>
    <n v="527"/>
    <x v="2"/>
    <x v="0"/>
    <x v="18"/>
    <n v="4"/>
    <n v="0"/>
    <x v="1"/>
    <s v="Yes"/>
    <x v="0"/>
    <n v="169361.89"/>
    <x v="1"/>
    <n v="0.10484278618073641"/>
    <s v="No"/>
    <n v="0"/>
    <n v="0"/>
    <x v="1"/>
    <x v="1"/>
    <x v="1"/>
    <x v="1"/>
    <x v="1"/>
    <n v="1"/>
  </r>
  <r>
    <n v="595"/>
    <x v="1"/>
    <x v="1"/>
    <x v="25"/>
    <n v="0"/>
    <n v="92466.21"/>
    <x v="1"/>
    <s v="Yes"/>
    <x v="0"/>
    <n v="4721.3"/>
    <x v="1"/>
    <n v="0.36469489852666331"/>
    <s v="No"/>
    <n v="0"/>
    <n v="0"/>
    <x v="0"/>
    <x v="1"/>
    <x v="2"/>
    <x v="1"/>
    <x v="2"/>
    <n v="1"/>
  </r>
  <r>
    <n v="445"/>
    <x v="1"/>
    <x v="1"/>
    <x v="8"/>
    <n v="2"/>
    <n v="137655.31"/>
    <x v="1"/>
    <s v="No"/>
    <x v="1"/>
    <n v="29909.84"/>
    <x v="1"/>
    <n v="0.67449582071981495"/>
    <s v="Yes"/>
    <n v="0"/>
    <n v="1"/>
    <x v="2"/>
    <x v="4"/>
    <x v="0"/>
    <x v="4"/>
    <x v="2"/>
    <n v="0"/>
  </r>
  <r>
    <n v="521"/>
    <x v="1"/>
    <x v="1"/>
    <x v="4"/>
    <n v="2"/>
    <n v="87212.800000000003"/>
    <x v="1"/>
    <s v="Yes"/>
    <x v="1"/>
    <n v="994.86"/>
    <x v="1"/>
    <n v="0.1334336665598555"/>
    <s v="No"/>
    <n v="0"/>
    <n v="0"/>
    <x v="1"/>
    <x v="2"/>
    <x v="2"/>
    <x v="1"/>
    <x v="2"/>
    <n v="1"/>
  </r>
  <r>
    <n v="612"/>
    <x v="1"/>
    <x v="1"/>
    <x v="28"/>
    <n v="2"/>
    <n v="130700.92"/>
    <x v="0"/>
    <s v="No"/>
    <x v="0"/>
    <n v="77592.800000000003"/>
    <x v="1"/>
    <n v="0.43980637833910252"/>
    <s v="No"/>
    <n v="0"/>
    <n v="0"/>
    <x v="0"/>
    <x v="1"/>
    <x v="0"/>
    <x v="0"/>
    <x v="3"/>
    <n v="1"/>
  </r>
  <r>
    <n v="710"/>
    <x v="0"/>
    <x v="0"/>
    <x v="34"/>
    <n v="6"/>
    <n v="0"/>
    <x v="0"/>
    <s v="Yes"/>
    <x v="1"/>
    <n v="134188.10999999999"/>
    <x v="1"/>
    <n v="1.6667505313027062E-2"/>
    <s v="No"/>
    <n v="0"/>
    <n v="0"/>
    <x v="1"/>
    <x v="2"/>
    <x v="1"/>
    <x v="2"/>
    <x v="0"/>
    <n v="1"/>
  </r>
  <r>
    <n v="449"/>
    <x v="2"/>
    <x v="1"/>
    <x v="13"/>
    <n v="7"/>
    <n v="0"/>
    <x v="0"/>
    <s v="No"/>
    <x v="0"/>
    <n v="175743.92"/>
    <x v="1"/>
    <n v="8.2399397284369735E-2"/>
    <s v="No"/>
    <n v="0"/>
    <n v="0"/>
    <x v="1"/>
    <x v="2"/>
    <x v="1"/>
    <x v="4"/>
    <x v="1"/>
    <n v="1"/>
  </r>
  <r>
    <n v="850"/>
    <x v="1"/>
    <x v="1"/>
    <x v="12"/>
    <n v="8"/>
    <n v="92244.83"/>
    <x v="0"/>
    <s v="Yes"/>
    <x v="0"/>
    <n v="54949.73"/>
    <x v="1"/>
    <n v="0.46206101999820359"/>
    <s v="No"/>
    <n v="0"/>
    <n v="0"/>
    <x v="0"/>
    <x v="0"/>
    <x v="2"/>
    <x v="3"/>
    <x v="3"/>
    <n v="1"/>
  </r>
  <r>
    <n v="717"/>
    <x v="2"/>
    <x v="0"/>
    <x v="17"/>
    <n v="4"/>
    <n v="128206.79"/>
    <x v="1"/>
    <s v="Yes"/>
    <x v="1"/>
    <n v="54272.12"/>
    <x v="1"/>
    <n v="3.4890392348566203E-2"/>
    <s v="No"/>
    <n v="0"/>
    <n v="0"/>
    <x v="1"/>
    <x v="2"/>
    <x v="0"/>
    <x v="2"/>
    <x v="3"/>
    <n v="1"/>
  </r>
  <r>
    <n v="681"/>
    <x v="2"/>
    <x v="1"/>
    <x v="12"/>
    <n v="8"/>
    <n v="154100.29999999999"/>
    <x v="1"/>
    <s v="No"/>
    <x v="0"/>
    <n v="114659.81"/>
    <x v="1"/>
    <n v="0.37897264416836401"/>
    <s v="No"/>
    <n v="0"/>
    <n v="0"/>
    <x v="0"/>
    <x v="0"/>
    <x v="3"/>
    <x v="0"/>
    <x v="0"/>
    <n v="1"/>
  </r>
  <r>
    <n v="573"/>
    <x v="2"/>
    <x v="0"/>
    <x v="22"/>
    <n v="9"/>
    <n v="0"/>
    <x v="0"/>
    <s v="Yes"/>
    <x v="0"/>
    <n v="11743.89"/>
    <x v="1"/>
    <n v="0.10237178515751751"/>
    <s v="No"/>
    <n v="0"/>
    <n v="0"/>
    <x v="1"/>
    <x v="1"/>
    <x v="1"/>
    <x v="1"/>
    <x v="2"/>
    <n v="1"/>
  </r>
  <r>
    <n v="798"/>
    <x v="1"/>
    <x v="1"/>
    <x v="10"/>
    <n v="6"/>
    <n v="119787.76"/>
    <x v="1"/>
    <s v="Yes"/>
    <x v="1"/>
    <n v="164248.32999999999"/>
    <x v="1"/>
    <n v="0.2268534099816899"/>
    <s v="No"/>
    <n v="0"/>
    <n v="0"/>
    <x v="0"/>
    <x v="1"/>
    <x v="0"/>
    <x v="2"/>
    <x v="1"/>
    <n v="1"/>
  </r>
  <r>
    <n v="693"/>
    <x v="0"/>
    <x v="1"/>
    <x v="19"/>
    <n v="10"/>
    <n v="107556.06"/>
    <x v="0"/>
    <s v="No"/>
    <x v="0"/>
    <n v="154631.35"/>
    <x v="1"/>
    <n v="0.2024276982133188"/>
    <s v="No"/>
    <n v="0"/>
    <n v="0"/>
    <x v="0"/>
    <x v="1"/>
    <x v="0"/>
    <x v="0"/>
    <x v="1"/>
    <n v="1"/>
  </r>
  <r>
    <n v="607"/>
    <x v="1"/>
    <x v="0"/>
    <x v="25"/>
    <n v="9"/>
    <n v="144272.07"/>
    <x v="0"/>
    <s v="Yes"/>
    <x v="0"/>
    <n v="176580.63"/>
    <x v="1"/>
    <n v="0.23828498048222821"/>
    <s v="No"/>
    <n v="0"/>
    <n v="0"/>
    <x v="0"/>
    <x v="1"/>
    <x v="0"/>
    <x v="0"/>
    <x v="1"/>
    <n v="1"/>
  </r>
  <r>
    <n v="613"/>
    <x v="2"/>
    <x v="0"/>
    <x v="21"/>
    <n v="7"/>
    <n v="124339.9"/>
    <x v="1"/>
    <s v="No"/>
    <x v="0"/>
    <n v="193309.58"/>
    <x v="1"/>
    <n v="0.22624658408492199"/>
    <s v="No"/>
    <n v="0"/>
    <n v="0"/>
    <x v="0"/>
    <x v="1"/>
    <x v="0"/>
    <x v="0"/>
    <x v="1"/>
    <n v="1"/>
  </r>
  <r>
    <n v="544"/>
    <x v="2"/>
    <x v="1"/>
    <x v="27"/>
    <n v="6"/>
    <n v="0"/>
    <x v="1"/>
    <s v="Yes"/>
    <x v="0"/>
    <n v="100200.4"/>
    <x v="0"/>
    <n v="0.11334002866293121"/>
    <s v="No"/>
    <n v="1"/>
    <n v="0"/>
    <x v="1"/>
    <x v="2"/>
    <x v="1"/>
    <x v="1"/>
    <x v="0"/>
    <n v="0"/>
  </r>
  <r>
    <n v="458"/>
    <x v="1"/>
    <x v="1"/>
    <x v="12"/>
    <n v="1"/>
    <n v="106870.12"/>
    <x v="0"/>
    <s v="Yes"/>
    <x v="0"/>
    <n v="100564.37"/>
    <x v="1"/>
    <n v="0.57963708061177255"/>
    <s v="Yes"/>
    <n v="0"/>
    <n v="1"/>
    <x v="2"/>
    <x v="0"/>
    <x v="0"/>
    <x v="4"/>
    <x v="0"/>
    <n v="0"/>
  </r>
  <r>
    <n v="673"/>
    <x v="2"/>
    <x v="1"/>
    <x v="11"/>
    <n v="10"/>
    <n v="0"/>
    <x v="0"/>
    <s v="Yes"/>
    <x v="1"/>
    <n v="37411.35"/>
    <x v="1"/>
    <n v="6.6594842185944789E-2"/>
    <s v="No"/>
    <n v="0"/>
    <n v="0"/>
    <x v="1"/>
    <x v="1"/>
    <x v="1"/>
    <x v="0"/>
    <x v="2"/>
    <n v="1"/>
  </r>
  <r>
    <n v="676"/>
    <x v="1"/>
    <x v="1"/>
    <x v="20"/>
    <n v="2"/>
    <n v="124442.38"/>
    <x v="1"/>
    <s v="Yes"/>
    <x v="0"/>
    <n v="15068.53"/>
    <x v="0"/>
    <n v="0.65064065190365528"/>
    <s v="Yes"/>
    <n v="1"/>
    <n v="1"/>
    <x v="2"/>
    <x v="0"/>
    <x v="0"/>
    <x v="0"/>
    <x v="2"/>
    <n v="1"/>
  </r>
  <r>
    <n v="594"/>
    <x v="1"/>
    <x v="1"/>
    <x v="25"/>
    <n v="4"/>
    <n v="120074.97"/>
    <x v="0"/>
    <s v="Yes"/>
    <x v="1"/>
    <n v="162961.79"/>
    <x v="1"/>
    <n v="0.1588388695358868"/>
    <s v="No"/>
    <n v="0"/>
    <n v="0"/>
    <x v="1"/>
    <x v="1"/>
    <x v="0"/>
    <x v="1"/>
    <x v="1"/>
    <n v="1"/>
  </r>
  <r>
    <n v="640"/>
    <x v="0"/>
    <x v="0"/>
    <x v="35"/>
    <n v="6"/>
    <n v="89047.14"/>
    <x v="1"/>
    <s v="Yes"/>
    <x v="0"/>
    <n v="116286.25"/>
    <x v="1"/>
    <n v="0.30175915481280058"/>
    <s v="No"/>
    <n v="0"/>
    <n v="0"/>
    <x v="0"/>
    <x v="0"/>
    <x v="2"/>
    <x v="0"/>
    <x v="0"/>
    <n v="1"/>
  </r>
  <r>
    <n v="773"/>
    <x v="2"/>
    <x v="1"/>
    <x v="32"/>
    <n v="4"/>
    <n v="0"/>
    <x v="0"/>
    <s v="Yes"/>
    <x v="0"/>
    <n v="129372.94"/>
    <x v="1"/>
    <n v="0.38048482230191599"/>
    <s v="No"/>
    <n v="0"/>
    <n v="0"/>
    <x v="0"/>
    <x v="0"/>
    <x v="1"/>
    <x v="2"/>
    <x v="0"/>
    <n v="1"/>
  </r>
  <r>
    <n v="589"/>
    <x v="0"/>
    <x v="1"/>
    <x v="16"/>
    <n v="10"/>
    <n v="0"/>
    <x v="0"/>
    <s v="No"/>
    <x v="1"/>
    <n v="168369.37"/>
    <x v="1"/>
    <n v="0.1452672893742479"/>
    <s v="No"/>
    <n v="0"/>
    <n v="0"/>
    <x v="1"/>
    <x v="0"/>
    <x v="1"/>
    <x v="1"/>
    <x v="1"/>
    <n v="1"/>
  </r>
  <r>
    <n v="509"/>
    <x v="2"/>
    <x v="0"/>
    <x v="22"/>
    <n v="8"/>
    <n v="0"/>
    <x v="0"/>
    <s v="No"/>
    <x v="1"/>
    <n v="67431.28"/>
    <x v="1"/>
    <n v="4.1744556463550173E-2"/>
    <s v="No"/>
    <n v="0"/>
    <n v="0"/>
    <x v="1"/>
    <x v="1"/>
    <x v="1"/>
    <x v="1"/>
    <x v="3"/>
    <n v="1"/>
  </r>
  <r>
    <n v="546"/>
    <x v="1"/>
    <x v="1"/>
    <x v="36"/>
    <n v="3"/>
    <n v="132837.70000000001"/>
    <x v="1"/>
    <s v="Yes"/>
    <x v="0"/>
    <n v="131647.31"/>
    <x v="1"/>
    <n v="0.28438991740011249"/>
    <s v="No"/>
    <n v="0"/>
    <n v="0"/>
    <x v="0"/>
    <x v="2"/>
    <x v="0"/>
    <x v="1"/>
    <x v="0"/>
    <n v="1"/>
  </r>
  <r>
    <n v="787"/>
    <x v="0"/>
    <x v="1"/>
    <x v="10"/>
    <n v="7"/>
    <n v="171646.76"/>
    <x v="1"/>
    <s v="No"/>
    <x v="1"/>
    <n v="100791.36"/>
    <x v="1"/>
    <n v="0.13502886225882871"/>
    <s v="No"/>
    <n v="0"/>
    <n v="0"/>
    <x v="1"/>
    <x v="1"/>
    <x v="3"/>
    <x v="2"/>
    <x v="0"/>
    <n v="1"/>
  </r>
  <r>
    <n v="713"/>
    <x v="0"/>
    <x v="0"/>
    <x v="3"/>
    <n v="0"/>
    <n v="109121.71"/>
    <x v="1"/>
    <s v="No"/>
    <x v="1"/>
    <n v="167873.49"/>
    <x v="1"/>
    <n v="0.10740982518098111"/>
    <s v="No"/>
    <n v="0"/>
    <n v="0"/>
    <x v="1"/>
    <x v="0"/>
    <x v="0"/>
    <x v="2"/>
    <x v="1"/>
    <n v="1"/>
  </r>
  <r>
    <n v="541"/>
    <x v="2"/>
    <x v="1"/>
    <x v="10"/>
    <n v="6"/>
    <n v="109844.81"/>
    <x v="1"/>
    <s v="Yes"/>
    <x v="0"/>
    <n v="25289.23"/>
    <x v="1"/>
    <n v="0.29937039874705013"/>
    <s v="No"/>
    <n v="0"/>
    <n v="0"/>
    <x v="0"/>
    <x v="1"/>
    <x v="0"/>
    <x v="1"/>
    <x v="2"/>
    <n v="1"/>
  </r>
  <r>
    <n v="765"/>
    <x v="1"/>
    <x v="0"/>
    <x v="11"/>
    <n v="7"/>
    <n v="102708.77"/>
    <x v="1"/>
    <s v="Yes"/>
    <x v="0"/>
    <n v="9087.81"/>
    <x v="1"/>
    <n v="0.27692389776999082"/>
    <s v="No"/>
    <n v="0"/>
    <n v="0"/>
    <x v="0"/>
    <x v="1"/>
    <x v="0"/>
    <x v="2"/>
    <x v="2"/>
    <n v="1"/>
  </r>
  <r>
    <n v="542"/>
    <x v="2"/>
    <x v="1"/>
    <x v="18"/>
    <n v="3"/>
    <n v="0"/>
    <x v="0"/>
    <s v="Yes"/>
    <x v="1"/>
    <n v="115217.59"/>
    <x v="1"/>
    <n v="5.6709556066450201E-2"/>
    <s v="No"/>
    <n v="0"/>
    <n v="0"/>
    <x v="1"/>
    <x v="1"/>
    <x v="1"/>
    <x v="1"/>
    <x v="0"/>
    <n v="1"/>
  </r>
  <r>
    <n v="727"/>
    <x v="2"/>
    <x v="0"/>
    <x v="33"/>
    <n v="5"/>
    <n v="0"/>
    <x v="0"/>
    <s v="No"/>
    <x v="1"/>
    <n v="38652.959999999999"/>
    <x v="1"/>
    <n v="0.22384552688718831"/>
    <s v="No"/>
    <n v="0"/>
    <n v="0"/>
    <x v="0"/>
    <x v="4"/>
    <x v="1"/>
    <x v="2"/>
    <x v="2"/>
    <n v="1"/>
  </r>
  <r>
    <n v="635"/>
    <x v="1"/>
    <x v="1"/>
    <x v="28"/>
    <n v="9"/>
    <n v="81231.850000000006"/>
    <x v="0"/>
    <s v="Yes"/>
    <x v="0"/>
    <n v="196731.08"/>
    <x v="1"/>
    <n v="0.37985634118172451"/>
    <s v="No"/>
    <n v="0"/>
    <n v="0"/>
    <x v="0"/>
    <x v="1"/>
    <x v="2"/>
    <x v="0"/>
    <x v="1"/>
    <n v="1"/>
  </r>
  <r>
    <n v="461"/>
    <x v="1"/>
    <x v="1"/>
    <x v="40"/>
    <n v="1"/>
    <n v="186445.31"/>
    <x v="0"/>
    <s v="Yes"/>
    <x v="1"/>
    <n v="196767.83"/>
    <x v="1"/>
    <n v="0.85609065448350363"/>
    <s v="Yes"/>
    <n v="0"/>
    <n v="1"/>
    <x v="2"/>
    <x v="4"/>
    <x v="3"/>
    <x v="4"/>
    <x v="1"/>
    <n v="0"/>
  </r>
  <r>
    <n v="713"/>
    <x v="2"/>
    <x v="0"/>
    <x v="28"/>
    <n v="8"/>
    <n v="133889.35"/>
    <x v="1"/>
    <s v="Yes"/>
    <x v="1"/>
    <n v="143265.65"/>
    <x v="1"/>
    <n v="6.0656797330697412E-2"/>
    <s v="No"/>
    <n v="0"/>
    <n v="0"/>
    <x v="1"/>
    <x v="1"/>
    <x v="0"/>
    <x v="2"/>
    <x v="0"/>
    <n v="1"/>
  </r>
  <r>
    <n v="658"/>
    <x v="1"/>
    <x v="1"/>
    <x v="1"/>
    <n v="9"/>
    <n v="134562.79999999999"/>
    <x v="1"/>
    <s v="Yes"/>
    <x v="1"/>
    <n v="159268.67000000001"/>
    <x v="1"/>
    <n v="0.32978986427343071"/>
    <s v="No"/>
    <n v="0"/>
    <n v="0"/>
    <x v="0"/>
    <x v="0"/>
    <x v="0"/>
    <x v="0"/>
    <x v="1"/>
    <n v="1"/>
  </r>
  <r>
    <n v="586"/>
    <x v="1"/>
    <x v="1"/>
    <x v="47"/>
    <n v="9"/>
    <n v="100781.75"/>
    <x v="0"/>
    <s v="Yes"/>
    <x v="1"/>
    <n v="54448.41"/>
    <x v="1"/>
    <n v="0.47622486784481682"/>
    <s v="No"/>
    <n v="0"/>
    <n v="0"/>
    <x v="0"/>
    <x v="3"/>
    <x v="0"/>
    <x v="1"/>
    <x v="3"/>
    <n v="1"/>
  </r>
  <r>
    <n v="698"/>
    <x v="0"/>
    <x v="1"/>
    <x v="2"/>
    <n v="1"/>
    <n v="171848.38"/>
    <x v="1"/>
    <s v="No"/>
    <x v="0"/>
    <n v="16957.45"/>
    <x v="1"/>
    <n v="0.330180015809589"/>
    <s v="No"/>
    <n v="0"/>
    <n v="0"/>
    <x v="0"/>
    <x v="1"/>
    <x v="3"/>
    <x v="0"/>
    <x v="2"/>
    <n v="1"/>
  </r>
  <r>
    <n v="742"/>
    <x v="2"/>
    <x v="0"/>
    <x v="29"/>
    <n v="0"/>
    <n v="0"/>
    <x v="0"/>
    <s v="No"/>
    <x v="1"/>
    <n v="131534.96"/>
    <x v="1"/>
    <n v="2.4301013880701852E-2"/>
    <s v="No"/>
    <n v="0"/>
    <n v="0"/>
    <x v="1"/>
    <x v="2"/>
    <x v="1"/>
    <x v="2"/>
    <x v="0"/>
    <n v="1"/>
  </r>
  <r>
    <n v="651"/>
    <x v="0"/>
    <x v="0"/>
    <x v="35"/>
    <n v="2"/>
    <n v="0"/>
    <x v="0"/>
    <s v="Yes"/>
    <x v="1"/>
    <n v="119808.64"/>
    <x v="1"/>
    <n v="0.10067944855021831"/>
    <s v="No"/>
    <n v="0"/>
    <n v="0"/>
    <x v="1"/>
    <x v="0"/>
    <x v="1"/>
    <x v="0"/>
    <x v="0"/>
    <n v="1"/>
  </r>
  <r>
    <n v="636"/>
    <x v="2"/>
    <x v="0"/>
    <x v="18"/>
    <n v="6"/>
    <n v="0"/>
    <x v="0"/>
    <s v="Yes"/>
    <x v="1"/>
    <n v="2382.61"/>
    <x v="1"/>
    <n v="2.801842085810451E-2"/>
    <s v="No"/>
    <n v="0"/>
    <n v="0"/>
    <x v="1"/>
    <x v="1"/>
    <x v="1"/>
    <x v="0"/>
    <x v="2"/>
    <n v="1"/>
  </r>
  <r>
    <n v="780"/>
    <x v="1"/>
    <x v="0"/>
    <x v="60"/>
    <n v="9"/>
    <n v="142550.25"/>
    <x v="0"/>
    <s v="Yes"/>
    <x v="1"/>
    <n v="122506.78"/>
    <x v="1"/>
    <n v="0.61757605868047893"/>
    <s v="Yes"/>
    <n v="0"/>
    <n v="1"/>
    <x v="2"/>
    <x v="4"/>
    <x v="0"/>
    <x v="2"/>
    <x v="0"/>
    <n v="0"/>
  </r>
  <r>
    <n v="710"/>
    <x v="1"/>
    <x v="1"/>
    <x v="33"/>
    <n v="9"/>
    <n v="148214.35999999999"/>
    <x v="1"/>
    <s v="Yes"/>
    <x v="0"/>
    <n v="48571.14"/>
    <x v="0"/>
    <n v="0.82864619261153671"/>
    <s v="Yes"/>
    <n v="1"/>
    <n v="1"/>
    <x v="2"/>
    <x v="4"/>
    <x v="0"/>
    <x v="2"/>
    <x v="2"/>
    <n v="1"/>
  </r>
  <r>
    <n v="558"/>
    <x v="1"/>
    <x v="0"/>
    <x v="50"/>
    <n v="2"/>
    <n v="142537.18"/>
    <x v="1"/>
    <s v="Yes"/>
    <x v="1"/>
    <n v="88791.83"/>
    <x v="1"/>
    <n v="0.47359629052964708"/>
    <s v="No"/>
    <n v="0"/>
    <n v="0"/>
    <x v="0"/>
    <x v="3"/>
    <x v="0"/>
    <x v="1"/>
    <x v="3"/>
    <n v="1"/>
  </r>
  <r>
    <n v="716"/>
    <x v="2"/>
    <x v="0"/>
    <x v="6"/>
    <n v="9"/>
    <n v="0"/>
    <x v="1"/>
    <s v="Yes"/>
    <x v="1"/>
    <n v="113267.48"/>
    <x v="1"/>
    <n v="5.9768664289679467E-2"/>
    <s v="No"/>
    <n v="0"/>
    <n v="0"/>
    <x v="1"/>
    <x v="0"/>
    <x v="1"/>
    <x v="2"/>
    <x v="0"/>
    <n v="1"/>
  </r>
  <r>
    <n v="667"/>
    <x v="2"/>
    <x v="0"/>
    <x v="21"/>
    <n v="8"/>
    <n v="72945.289999999994"/>
    <x v="0"/>
    <s v="Yes"/>
    <x v="0"/>
    <n v="98931.5"/>
    <x v="1"/>
    <n v="0.16677862233945731"/>
    <s v="No"/>
    <n v="0"/>
    <n v="0"/>
    <x v="1"/>
    <x v="1"/>
    <x v="2"/>
    <x v="0"/>
    <x v="3"/>
    <n v="1"/>
  </r>
  <r>
    <n v="739"/>
    <x v="0"/>
    <x v="1"/>
    <x v="21"/>
    <n v="8"/>
    <n v="0"/>
    <x v="1"/>
    <s v="Yes"/>
    <x v="0"/>
    <n v="167030.51"/>
    <x v="1"/>
    <n v="0.246024106381492"/>
    <s v="No"/>
    <n v="0"/>
    <n v="0"/>
    <x v="0"/>
    <x v="1"/>
    <x v="1"/>
    <x v="2"/>
    <x v="1"/>
    <n v="1"/>
  </r>
  <r>
    <n v="645"/>
    <x v="1"/>
    <x v="0"/>
    <x v="12"/>
    <n v="9"/>
    <n v="140121.17000000001"/>
    <x v="1"/>
    <s v="Yes"/>
    <x v="0"/>
    <n v="11302.7"/>
    <x v="0"/>
    <n v="0.40754946180616058"/>
    <s v="No"/>
    <n v="1"/>
    <n v="0"/>
    <x v="0"/>
    <x v="0"/>
    <x v="0"/>
    <x v="0"/>
    <x v="2"/>
    <n v="0"/>
  </r>
  <r>
    <n v="552"/>
    <x v="1"/>
    <x v="0"/>
    <x v="10"/>
    <n v="2"/>
    <n v="132906.88"/>
    <x v="1"/>
    <s v="No"/>
    <x v="1"/>
    <n v="149384.43"/>
    <x v="1"/>
    <n v="0.18750951806179109"/>
    <s v="No"/>
    <n v="0"/>
    <n v="0"/>
    <x v="1"/>
    <x v="1"/>
    <x v="0"/>
    <x v="1"/>
    <x v="0"/>
    <n v="1"/>
  </r>
  <r>
    <n v="561"/>
    <x v="2"/>
    <x v="0"/>
    <x v="12"/>
    <n v="4"/>
    <n v="0"/>
    <x v="3"/>
    <s v="No"/>
    <x v="0"/>
    <n v="18522.91"/>
    <x v="0"/>
    <n v="0.1620343659054789"/>
    <s v="No"/>
    <n v="1"/>
    <n v="0"/>
    <x v="1"/>
    <x v="0"/>
    <x v="1"/>
    <x v="1"/>
    <x v="2"/>
    <n v="0"/>
  </r>
  <r>
    <n v="645"/>
    <x v="2"/>
    <x v="1"/>
    <x v="2"/>
    <n v="7"/>
    <n v="59568.57"/>
    <x v="1"/>
    <s v="Yes"/>
    <x v="1"/>
    <n v="167723.25"/>
    <x v="1"/>
    <n v="0.1037193962125777"/>
    <s v="No"/>
    <n v="0"/>
    <n v="0"/>
    <x v="1"/>
    <x v="1"/>
    <x v="2"/>
    <x v="0"/>
    <x v="1"/>
    <n v="1"/>
  </r>
  <r>
    <n v="687"/>
    <x v="1"/>
    <x v="0"/>
    <x v="0"/>
    <n v="8"/>
    <n v="95368.14"/>
    <x v="0"/>
    <s v="Yes"/>
    <x v="1"/>
    <n v="1787.85"/>
    <x v="1"/>
    <n v="0.16462738106375119"/>
    <s v="No"/>
    <n v="0"/>
    <n v="0"/>
    <x v="1"/>
    <x v="0"/>
    <x v="2"/>
    <x v="0"/>
    <x v="2"/>
    <n v="1"/>
  </r>
  <r>
    <n v="679"/>
    <x v="0"/>
    <x v="0"/>
    <x v="10"/>
    <n v="5"/>
    <n v="0"/>
    <x v="0"/>
    <s v="Yes"/>
    <x v="1"/>
    <n v="100060.54"/>
    <x v="1"/>
    <n v="5.3583588740177823E-2"/>
    <s v="No"/>
    <n v="0"/>
    <n v="0"/>
    <x v="1"/>
    <x v="1"/>
    <x v="1"/>
    <x v="0"/>
    <x v="0"/>
    <n v="1"/>
  </r>
  <r>
    <n v="766"/>
    <x v="2"/>
    <x v="1"/>
    <x v="42"/>
    <n v="7"/>
    <n v="92510.9"/>
    <x v="0"/>
    <s v="No"/>
    <x v="1"/>
    <n v="66193.61"/>
    <x v="1"/>
    <n v="0.22317604701805169"/>
    <s v="No"/>
    <n v="0"/>
    <n v="0"/>
    <x v="0"/>
    <x v="3"/>
    <x v="2"/>
    <x v="2"/>
    <x v="3"/>
    <n v="1"/>
  </r>
  <r>
    <n v="595"/>
    <x v="0"/>
    <x v="1"/>
    <x v="12"/>
    <n v="5"/>
    <n v="0"/>
    <x v="0"/>
    <s v="No"/>
    <x v="0"/>
    <n v="105149.8"/>
    <x v="1"/>
    <n v="0.30050145267569611"/>
    <s v="No"/>
    <n v="0"/>
    <n v="0"/>
    <x v="0"/>
    <x v="0"/>
    <x v="1"/>
    <x v="1"/>
    <x v="0"/>
    <n v="1"/>
  </r>
  <r>
    <n v="419"/>
    <x v="0"/>
    <x v="1"/>
    <x v="29"/>
    <n v="2"/>
    <n v="121580.42"/>
    <x v="1"/>
    <s v="No"/>
    <x v="1"/>
    <n v="134720.51"/>
    <x v="1"/>
    <n v="7.5704840958164377E-2"/>
    <s v="No"/>
    <n v="0"/>
    <n v="0"/>
    <x v="1"/>
    <x v="2"/>
    <x v="0"/>
    <x v="4"/>
    <x v="0"/>
    <n v="1"/>
  </r>
  <r>
    <n v="570"/>
    <x v="0"/>
    <x v="0"/>
    <x v="19"/>
    <n v="10"/>
    <n v="0"/>
    <x v="0"/>
    <s v="No"/>
    <x v="1"/>
    <n v="183387.12"/>
    <x v="1"/>
    <n v="3.9694160401527533E-2"/>
    <s v="No"/>
    <n v="0"/>
    <n v="0"/>
    <x v="1"/>
    <x v="1"/>
    <x v="1"/>
    <x v="1"/>
    <x v="1"/>
    <n v="1"/>
  </r>
  <r>
    <n v="640"/>
    <x v="1"/>
    <x v="1"/>
    <x v="16"/>
    <n v="5"/>
    <n v="107978.4"/>
    <x v="0"/>
    <s v="Yes"/>
    <x v="0"/>
    <n v="155876.06"/>
    <x v="1"/>
    <n v="0.59192445906364499"/>
    <s v="Yes"/>
    <n v="0"/>
    <n v="1"/>
    <x v="2"/>
    <x v="0"/>
    <x v="0"/>
    <x v="0"/>
    <x v="1"/>
    <n v="0"/>
  </r>
  <r>
    <n v="768"/>
    <x v="1"/>
    <x v="1"/>
    <x v="12"/>
    <n v="2"/>
    <n v="129264.05"/>
    <x v="0"/>
    <s v="No"/>
    <x v="0"/>
    <n v="19150.14"/>
    <x v="1"/>
    <n v="0.53284760281650201"/>
    <s v="Yes"/>
    <n v="0"/>
    <n v="1"/>
    <x v="2"/>
    <x v="0"/>
    <x v="0"/>
    <x v="2"/>
    <x v="2"/>
    <n v="0"/>
  </r>
  <r>
    <n v="689"/>
    <x v="2"/>
    <x v="1"/>
    <x v="21"/>
    <n v="1"/>
    <n v="0"/>
    <x v="0"/>
    <s v="Yes"/>
    <x v="1"/>
    <n v="119446.64"/>
    <x v="1"/>
    <n v="9.9273434805518687E-2"/>
    <s v="No"/>
    <n v="0"/>
    <n v="0"/>
    <x v="1"/>
    <x v="1"/>
    <x v="1"/>
    <x v="0"/>
    <x v="0"/>
    <n v="1"/>
  </r>
  <r>
    <n v="737"/>
    <x v="2"/>
    <x v="1"/>
    <x v="39"/>
    <n v="9"/>
    <n v="87542.89"/>
    <x v="0"/>
    <s v="Yes"/>
    <x v="1"/>
    <n v="42576.86"/>
    <x v="1"/>
    <n v="0.50170565948091728"/>
    <s v="Yes"/>
    <n v="0"/>
    <n v="1"/>
    <x v="2"/>
    <x v="4"/>
    <x v="2"/>
    <x v="2"/>
    <x v="2"/>
    <n v="0"/>
  </r>
  <r>
    <n v="651"/>
    <x v="2"/>
    <x v="1"/>
    <x v="25"/>
    <n v="8"/>
    <n v="144581.96"/>
    <x v="1"/>
    <s v="Yes"/>
    <x v="1"/>
    <n v="87609.5"/>
    <x v="1"/>
    <n v="7.9515389839974249E-2"/>
    <s v="No"/>
    <n v="0"/>
    <n v="0"/>
    <x v="1"/>
    <x v="1"/>
    <x v="0"/>
    <x v="0"/>
    <x v="3"/>
    <n v="1"/>
  </r>
  <r>
    <n v="685"/>
    <x v="1"/>
    <x v="0"/>
    <x v="2"/>
    <n v="4"/>
    <n v="111798.06"/>
    <x v="0"/>
    <s v="Yes"/>
    <x v="1"/>
    <n v="102184.66"/>
    <x v="1"/>
    <n v="0.13137403911587239"/>
    <s v="No"/>
    <n v="0"/>
    <n v="0"/>
    <x v="1"/>
    <x v="1"/>
    <x v="0"/>
    <x v="0"/>
    <x v="0"/>
    <n v="1"/>
  </r>
  <r>
    <n v="670"/>
    <x v="2"/>
    <x v="1"/>
    <x v="29"/>
    <n v="5"/>
    <n v="79336.61"/>
    <x v="1"/>
    <s v="Yes"/>
    <x v="1"/>
    <n v="26170.080000000002"/>
    <x v="1"/>
    <n v="4.8513551175512017E-2"/>
    <s v="No"/>
    <n v="0"/>
    <n v="0"/>
    <x v="1"/>
    <x v="2"/>
    <x v="2"/>
    <x v="0"/>
    <x v="2"/>
    <n v="1"/>
  </r>
  <r>
    <n v="701"/>
    <x v="1"/>
    <x v="0"/>
    <x v="52"/>
    <n v="3"/>
    <n v="120916.52"/>
    <x v="2"/>
    <s v="No"/>
    <x v="0"/>
    <n v="144727.45000000001"/>
    <x v="0"/>
    <n v="0.73799604697479659"/>
    <s v="Yes"/>
    <n v="1"/>
    <n v="1"/>
    <x v="2"/>
    <x v="4"/>
    <x v="0"/>
    <x v="2"/>
    <x v="0"/>
    <n v="1"/>
  </r>
  <r>
    <n v="544"/>
    <x v="2"/>
    <x v="0"/>
    <x v="24"/>
    <n v="4"/>
    <n v="73218.89"/>
    <x v="1"/>
    <s v="No"/>
    <x v="1"/>
    <n v="126796.69"/>
    <x v="1"/>
    <n v="4.2208880753815847E-2"/>
    <s v="No"/>
    <n v="0"/>
    <n v="0"/>
    <x v="1"/>
    <x v="2"/>
    <x v="2"/>
    <x v="1"/>
    <x v="0"/>
    <n v="1"/>
  </r>
  <r>
    <n v="663"/>
    <x v="1"/>
    <x v="0"/>
    <x v="17"/>
    <n v="8"/>
    <n v="123674.28"/>
    <x v="0"/>
    <s v="Yes"/>
    <x v="1"/>
    <n v="87985.2"/>
    <x v="1"/>
    <n v="6.4774311214083044E-2"/>
    <s v="No"/>
    <n v="0"/>
    <n v="0"/>
    <x v="1"/>
    <x v="2"/>
    <x v="0"/>
    <x v="0"/>
    <x v="3"/>
    <n v="1"/>
  </r>
  <r>
    <n v="727"/>
    <x v="2"/>
    <x v="0"/>
    <x v="42"/>
    <n v="4"/>
    <n v="0"/>
    <x v="0"/>
    <s v="Yes"/>
    <x v="1"/>
    <n v="118429.02"/>
    <x v="1"/>
    <n v="0.12443127273260531"/>
    <s v="No"/>
    <n v="0"/>
    <n v="0"/>
    <x v="1"/>
    <x v="3"/>
    <x v="1"/>
    <x v="2"/>
    <x v="0"/>
    <n v="1"/>
  </r>
  <r>
    <n v="639"/>
    <x v="2"/>
    <x v="0"/>
    <x v="10"/>
    <n v="6"/>
    <n v="150555.82999999999"/>
    <x v="1"/>
    <s v="Yes"/>
    <x v="0"/>
    <n v="30414.17"/>
    <x v="1"/>
    <n v="0.204689715240851"/>
    <s v="No"/>
    <n v="0"/>
    <n v="0"/>
    <x v="0"/>
    <x v="1"/>
    <x v="3"/>
    <x v="0"/>
    <x v="2"/>
    <n v="1"/>
  </r>
  <r>
    <n v="678"/>
    <x v="2"/>
    <x v="0"/>
    <x v="17"/>
    <n v="2"/>
    <n v="109137.12"/>
    <x v="1"/>
    <s v="Yes"/>
    <x v="1"/>
    <n v="58814.41"/>
    <x v="1"/>
    <n v="3.555962177912643E-2"/>
    <s v="No"/>
    <n v="0"/>
    <n v="0"/>
    <x v="1"/>
    <x v="2"/>
    <x v="0"/>
    <x v="0"/>
    <x v="3"/>
    <n v="1"/>
  </r>
  <r>
    <n v="800"/>
    <x v="0"/>
    <x v="1"/>
    <x v="16"/>
    <n v="6"/>
    <n v="0"/>
    <x v="0"/>
    <s v="Yes"/>
    <x v="0"/>
    <n v="171928.04"/>
    <x v="1"/>
    <n v="0.31442777525089299"/>
    <s v="No"/>
    <n v="0"/>
    <n v="0"/>
    <x v="0"/>
    <x v="0"/>
    <x v="1"/>
    <x v="2"/>
    <x v="1"/>
    <n v="1"/>
  </r>
  <r>
    <n v="664"/>
    <x v="2"/>
    <x v="0"/>
    <x v="23"/>
    <n v="7"/>
    <n v="0"/>
    <x v="1"/>
    <s v="No"/>
    <x v="1"/>
    <n v="35611.35"/>
    <x v="1"/>
    <n v="1.8906091695904102E-2"/>
    <s v="No"/>
    <n v="0"/>
    <n v="0"/>
    <x v="1"/>
    <x v="2"/>
    <x v="1"/>
    <x v="0"/>
    <x v="2"/>
    <n v="1"/>
  </r>
  <r>
    <n v="559"/>
    <x v="2"/>
    <x v="0"/>
    <x v="42"/>
    <n v="2"/>
    <n v="0"/>
    <x v="1"/>
    <s v="Yes"/>
    <x v="0"/>
    <n v="129013.59"/>
    <x v="0"/>
    <n v="0.35529728844584141"/>
    <s v="No"/>
    <n v="1"/>
    <n v="0"/>
    <x v="0"/>
    <x v="3"/>
    <x v="1"/>
    <x v="1"/>
    <x v="0"/>
    <n v="0"/>
  </r>
  <r>
    <n v="676"/>
    <x v="0"/>
    <x v="0"/>
    <x v="28"/>
    <n v="1"/>
    <n v="82729.490000000005"/>
    <x v="1"/>
    <s v="Yes"/>
    <x v="0"/>
    <n v="113810.12"/>
    <x v="1"/>
    <n v="0.16845682853888261"/>
    <s v="No"/>
    <n v="0"/>
    <n v="0"/>
    <x v="1"/>
    <x v="1"/>
    <x v="2"/>
    <x v="0"/>
    <x v="0"/>
    <n v="1"/>
  </r>
  <r>
    <n v="613"/>
    <x v="1"/>
    <x v="1"/>
    <x v="1"/>
    <n v="9"/>
    <n v="142765.24"/>
    <x v="0"/>
    <s v="Yes"/>
    <x v="0"/>
    <n v="34749.65"/>
    <x v="1"/>
    <n v="0.56460395484504766"/>
    <s v="Yes"/>
    <n v="0"/>
    <n v="1"/>
    <x v="2"/>
    <x v="0"/>
    <x v="0"/>
    <x v="0"/>
    <x v="2"/>
    <n v="0"/>
  </r>
  <r>
    <n v="751"/>
    <x v="1"/>
    <x v="1"/>
    <x v="17"/>
    <n v="10"/>
    <n v="132932.14000000001"/>
    <x v="0"/>
    <s v="Yes"/>
    <x v="1"/>
    <n v="46630.47"/>
    <x v="1"/>
    <n v="9.7787930400940817E-2"/>
    <s v="No"/>
    <n v="0"/>
    <n v="0"/>
    <x v="1"/>
    <x v="2"/>
    <x v="0"/>
    <x v="2"/>
    <x v="2"/>
    <n v="1"/>
  </r>
  <r>
    <n v="673"/>
    <x v="2"/>
    <x v="0"/>
    <x v="7"/>
    <n v="8"/>
    <n v="79563.360000000001"/>
    <x v="0"/>
    <s v="Yes"/>
    <x v="1"/>
    <n v="172200.91"/>
    <x v="1"/>
    <n v="0.13816881552336191"/>
    <s v="No"/>
    <n v="0"/>
    <n v="0"/>
    <x v="1"/>
    <x v="3"/>
    <x v="2"/>
    <x v="0"/>
    <x v="1"/>
    <n v="1"/>
  </r>
  <r>
    <n v="650"/>
    <x v="1"/>
    <x v="1"/>
    <x v="20"/>
    <n v="7"/>
    <n v="138232.24"/>
    <x v="1"/>
    <s v="Yes"/>
    <x v="0"/>
    <n v="57594.78"/>
    <x v="1"/>
    <n v="0.64575947291976399"/>
    <s v="Yes"/>
    <n v="0"/>
    <n v="1"/>
    <x v="2"/>
    <x v="0"/>
    <x v="0"/>
    <x v="0"/>
    <x v="3"/>
    <n v="0"/>
  </r>
  <r>
    <n v="781"/>
    <x v="0"/>
    <x v="0"/>
    <x v="22"/>
    <n v="1"/>
    <n v="0"/>
    <x v="0"/>
    <s v="No"/>
    <x v="0"/>
    <n v="42117.9"/>
    <x v="1"/>
    <n v="0.1121251038472129"/>
    <s v="No"/>
    <n v="0"/>
    <n v="0"/>
    <x v="1"/>
    <x v="1"/>
    <x v="1"/>
    <x v="2"/>
    <x v="2"/>
    <n v="1"/>
  </r>
  <r>
    <n v="692"/>
    <x v="2"/>
    <x v="1"/>
    <x v="28"/>
    <n v="3"/>
    <n v="79551.12"/>
    <x v="1"/>
    <s v="No"/>
    <x v="1"/>
    <n v="178267.07"/>
    <x v="1"/>
    <n v="0.1026578485065661"/>
    <s v="No"/>
    <n v="0"/>
    <n v="0"/>
    <x v="1"/>
    <x v="1"/>
    <x v="2"/>
    <x v="0"/>
    <x v="1"/>
    <n v="1"/>
  </r>
  <r>
    <n v="813"/>
    <x v="1"/>
    <x v="0"/>
    <x v="24"/>
    <n v="1"/>
    <n v="116416.94"/>
    <x v="1"/>
    <s v="No"/>
    <x v="1"/>
    <n v="85808.22"/>
    <x v="1"/>
    <n v="8.5377419059691664E-2"/>
    <s v="No"/>
    <n v="0"/>
    <n v="0"/>
    <x v="1"/>
    <x v="2"/>
    <x v="0"/>
    <x v="3"/>
    <x v="3"/>
    <n v="1"/>
  </r>
  <r>
    <n v="680"/>
    <x v="2"/>
    <x v="0"/>
    <x v="5"/>
    <n v="10"/>
    <n v="183768.47"/>
    <x v="1"/>
    <s v="Yes"/>
    <x v="0"/>
    <n v="164119.35"/>
    <x v="1"/>
    <n v="0.1483189028918335"/>
    <s v="No"/>
    <n v="0"/>
    <n v="0"/>
    <x v="1"/>
    <x v="1"/>
    <x v="3"/>
    <x v="0"/>
    <x v="1"/>
    <n v="1"/>
  </r>
  <r>
    <n v="701"/>
    <x v="2"/>
    <x v="0"/>
    <x v="11"/>
    <n v="1"/>
    <n v="0"/>
    <x v="0"/>
    <s v="Yes"/>
    <x v="0"/>
    <n v="163457.54999999999"/>
    <x v="1"/>
    <n v="0.13370443855242689"/>
    <s v="No"/>
    <n v="0"/>
    <n v="0"/>
    <x v="1"/>
    <x v="1"/>
    <x v="1"/>
    <x v="2"/>
    <x v="1"/>
    <n v="1"/>
  </r>
  <r>
    <n v="790"/>
    <x v="0"/>
    <x v="0"/>
    <x v="4"/>
    <n v="3"/>
    <n v="46057.96"/>
    <x v="0"/>
    <s v="Yes"/>
    <x v="1"/>
    <n v="189777.66"/>
    <x v="1"/>
    <n v="2.991345533384053E-2"/>
    <s v="No"/>
    <n v="0"/>
    <n v="0"/>
    <x v="1"/>
    <x v="2"/>
    <x v="4"/>
    <x v="2"/>
    <x v="1"/>
    <n v="1"/>
  </r>
  <r>
    <n v="671"/>
    <x v="2"/>
    <x v="1"/>
    <x v="20"/>
    <n v="6"/>
    <n v="119769.77"/>
    <x v="1"/>
    <s v="No"/>
    <x v="1"/>
    <n v="66032.649999999994"/>
    <x v="1"/>
    <n v="0.21695563860770889"/>
    <s v="No"/>
    <n v="0"/>
    <n v="0"/>
    <x v="0"/>
    <x v="0"/>
    <x v="0"/>
    <x v="0"/>
    <x v="3"/>
    <n v="1"/>
  </r>
  <r>
    <n v="808"/>
    <x v="2"/>
    <x v="0"/>
    <x v="6"/>
    <n v="0"/>
    <n v="0"/>
    <x v="1"/>
    <s v="Yes"/>
    <x v="1"/>
    <n v="79888.78"/>
    <x v="1"/>
    <n v="6.5380022325626258E-2"/>
    <s v="No"/>
    <n v="0"/>
    <n v="0"/>
    <x v="1"/>
    <x v="0"/>
    <x v="1"/>
    <x v="3"/>
    <x v="3"/>
    <n v="1"/>
  </r>
  <r>
    <n v="688"/>
    <x v="2"/>
    <x v="0"/>
    <x v="4"/>
    <n v="1"/>
    <n v="0"/>
    <x v="0"/>
    <s v="Yes"/>
    <x v="0"/>
    <n v="154695.57"/>
    <x v="1"/>
    <n v="7.8968777748054039E-2"/>
    <s v="No"/>
    <n v="0"/>
    <n v="0"/>
    <x v="1"/>
    <x v="2"/>
    <x v="1"/>
    <x v="0"/>
    <x v="1"/>
    <n v="1"/>
  </r>
  <r>
    <n v="515"/>
    <x v="2"/>
    <x v="0"/>
    <x v="20"/>
    <n v="5"/>
    <n v="129387.94"/>
    <x v="1"/>
    <s v="No"/>
    <x v="1"/>
    <n v="147955.91"/>
    <x v="0"/>
    <n v="0.16349957744811711"/>
    <s v="No"/>
    <n v="1"/>
    <n v="0"/>
    <x v="1"/>
    <x v="0"/>
    <x v="0"/>
    <x v="1"/>
    <x v="0"/>
    <n v="0"/>
  </r>
  <r>
    <n v="845"/>
    <x v="2"/>
    <x v="1"/>
    <x v="17"/>
    <n v="9"/>
    <n v="0"/>
    <x v="0"/>
    <s v="Yes"/>
    <x v="1"/>
    <n v="56185.98"/>
    <x v="1"/>
    <n v="3.2454013478120838E-2"/>
    <s v="No"/>
    <n v="0"/>
    <n v="0"/>
    <x v="1"/>
    <x v="2"/>
    <x v="1"/>
    <x v="3"/>
    <x v="3"/>
    <n v="1"/>
  </r>
  <r>
    <n v="618"/>
    <x v="2"/>
    <x v="1"/>
    <x v="16"/>
    <n v="6"/>
    <n v="150213.71"/>
    <x v="1"/>
    <s v="Yes"/>
    <x v="0"/>
    <n v="120668.46"/>
    <x v="0"/>
    <n v="0.44332830728398742"/>
    <s v="No"/>
    <n v="1"/>
    <n v="0"/>
    <x v="0"/>
    <x v="0"/>
    <x v="3"/>
    <x v="0"/>
    <x v="0"/>
    <n v="0"/>
  </r>
  <r>
    <n v="642"/>
    <x v="1"/>
    <x v="0"/>
    <x v="51"/>
    <n v="5"/>
    <n v="111183.53"/>
    <x v="0"/>
    <s v="No"/>
    <x v="1"/>
    <n v="10063.75"/>
    <x v="1"/>
    <n v="3.2937139199327052E-2"/>
    <s v="No"/>
    <n v="0"/>
    <n v="0"/>
    <x v="1"/>
    <x v="5"/>
    <x v="0"/>
    <x v="0"/>
    <x v="2"/>
    <n v="1"/>
  </r>
  <r>
    <n v="850"/>
    <x v="2"/>
    <x v="1"/>
    <x v="21"/>
    <n v="9"/>
    <n v="99816.46"/>
    <x v="1"/>
    <s v="Yes"/>
    <x v="1"/>
    <n v="163989.66"/>
    <x v="0"/>
    <n v="0.11028283958324291"/>
    <s v="No"/>
    <n v="1"/>
    <n v="0"/>
    <x v="1"/>
    <x v="1"/>
    <x v="2"/>
    <x v="3"/>
    <x v="1"/>
    <n v="0"/>
  </r>
  <r>
    <n v="739"/>
    <x v="2"/>
    <x v="0"/>
    <x v="19"/>
    <n v="9"/>
    <n v="0"/>
    <x v="1"/>
    <s v="Yes"/>
    <x v="0"/>
    <n v="60584.33"/>
    <x v="1"/>
    <n v="9.7165099475963274E-2"/>
    <s v="No"/>
    <n v="0"/>
    <n v="0"/>
    <x v="1"/>
    <x v="1"/>
    <x v="1"/>
    <x v="2"/>
    <x v="3"/>
    <n v="1"/>
  </r>
  <r>
    <n v="508"/>
    <x v="2"/>
    <x v="1"/>
    <x v="6"/>
    <n v="5"/>
    <n v="0"/>
    <x v="0"/>
    <s v="Yes"/>
    <x v="1"/>
    <n v="94170.84"/>
    <x v="1"/>
    <n v="0.1091637382476813"/>
    <s v="No"/>
    <n v="0"/>
    <n v="0"/>
    <x v="1"/>
    <x v="0"/>
    <x v="1"/>
    <x v="1"/>
    <x v="3"/>
    <n v="1"/>
  </r>
  <r>
    <n v="773"/>
    <x v="0"/>
    <x v="0"/>
    <x v="42"/>
    <n v="2"/>
    <n v="0"/>
    <x v="0"/>
    <s v="Yes"/>
    <x v="0"/>
    <n v="57337.79"/>
    <x v="1"/>
    <n v="0.29958387458010322"/>
    <s v="No"/>
    <n v="0"/>
    <n v="0"/>
    <x v="0"/>
    <x v="3"/>
    <x v="1"/>
    <x v="2"/>
    <x v="3"/>
    <n v="1"/>
  </r>
  <r>
    <n v="550"/>
    <x v="1"/>
    <x v="1"/>
    <x v="3"/>
    <n v="10"/>
    <n v="128707.31"/>
    <x v="1"/>
    <s v="Yes"/>
    <x v="0"/>
    <n v="63092.65"/>
    <x v="0"/>
    <n v="0.53612466103843437"/>
    <s v="Yes"/>
    <n v="1"/>
    <n v="1"/>
    <x v="2"/>
    <x v="0"/>
    <x v="0"/>
    <x v="1"/>
    <x v="3"/>
    <n v="1"/>
  </r>
  <r>
    <n v="783"/>
    <x v="2"/>
    <x v="0"/>
    <x v="21"/>
    <n v="6"/>
    <n v="0"/>
    <x v="0"/>
    <s v="Yes"/>
    <x v="0"/>
    <n v="109742.55"/>
    <x v="1"/>
    <n v="0.13795538505667171"/>
    <s v="No"/>
    <n v="0"/>
    <n v="0"/>
    <x v="1"/>
    <x v="1"/>
    <x v="1"/>
    <x v="2"/>
    <x v="0"/>
    <n v="1"/>
  </r>
  <r>
    <n v="727"/>
    <x v="1"/>
    <x v="0"/>
    <x v="16"/>
    <n v="3"/>
    <n v="115248.11"/>
    <x v="3"/>
    <s v="Yes"/>
    <x v="0"/>
    <n v="130752.01"/>
    <x v="0"/>
    <n v="0.40163916138172667"/>
    <s v="No"/>
    <n v="1"/>
    <n v="0"/>
    <x v="0"/>
    <x v="0"/>
    <x v="0"/>
    <x v="2"/>
    <x v="0"/>
    <n v="0"/>
  </r>
  <r>
    <n v="626"/>
    <x v="2"/>
    <x v="1"/>
    <x v="19"/>
    <n v="3"/>
    <n v="0"/>
    <x v="0"/>
    <s v="Yes"/>
    <x v="1"/>
    <n v="37870.29"/>
    <x v="1"/>
    <n v="6.3513577304814758E-2"/>
    <s v="No"/>
    <n v="0"/>
    <n v="0"/>
    <x v="1"/>
    <x v="1"/>
    <x v="1"/>
    <x v="0"/>
    <x v="2"/>
    <n v="1"/>
  </r>
  <r>
    <n v="664"/>
    <x v="2"/>
    <x v="1"/>
    <x v="6"/>
    <n v="5"/>
    <n v="0"/>
    <x v="1"/>
    <s v="Yes"/>
    <x v="1"/>
    <n v="152054.32999999999"/>
    <x v="1"/>
    <n v="0.1119158512981942"/>
    <s v="No"/>
    <n v="0"/>
    <n v="0"/>
    <x v="1"/>
    <x v="0"/>
    <x v="1"/>
    <x v="0"/>
    <x v="1"/>
    <n v="1"/>
  </r>
  <r>
    <n v="623"/>
    <x v="0"/>
    <x v="0"/>
    <x v="16"/>
    <n v="4"/>
    <n v="0"/>
    <x v="1"/>
    <s v="Yes"/>
    <x v="0"/>
    <n v="5549.11"/>
    <x v="0"/>
    <n v="0.2396992650678057"/>
    <s v="No"/>
    <n v="1"/>
    <n v="0"/>
    <x v="0"/>
    <x v="0"/>
    <x v="1"/>
    <x v="0"/>
    <x v="2"/>
    <n v="0"/>
  </r>
  <r>
    <n v="582"/>
    <x v="2"/>
    <x v="1"/>
    <x v="2"/>
    <n v="9"/>
    <n v="135979.01"/>
    <x v="3"/>
    <s v="Yes"/>
    <x v="1"/>
    <n v="76582.95"/>
    <x v="0"/>
    <n v="8.9781374146458801E-2"/>
    <s v="No"/>
    <n v="1"/>
    <n v="0"/>
    <x v="1"/>
    <x v="1"/>
    <x v="0"/>
    <x v="1"/>
    <x v="3"/>
    <n v="0"/>
  </r>
  <r>
    <n v="724"/>
    <x v="2"/>
    <x v="0"/>
    <x v="4"/>
    <n v="4"/>
    <n v="0"/>
    <x v="1"/>
    <s v="Yes"/>
    <x v="0"/>
    <n v="8982.75"/>
    <x v="1"/>
    <n v="7.4561739606333874E-2"/>
    <s v="No"/>
    <n v="0"/>
    <n v="0"/>
    <x v="1"/>
    <x v="2"/>
    <x v="1"/>
    <x v="2"/>
    <x v="2"/>
    <n v="1"/>
  </r>
  <r>
    <n v="710"/>
    <x v="0"/>
    <x v="1"/>
    <x v="24"/>
    <n v="10"/>
    <n v="0"/>
    <x v="0"/>
    <s v="Yes"/>
    <x v="0"/>
    <n v="19500.099999999999"/>
    <x v="1"/>
    <n v="0.1124944688127643"/>
    <s v="No"/>
    <n v="0"/>
    <n v="0"/>
    <x v="1"/>
    <x v="2"/>
    <x v="1"/>
    <x v="2"/>
    <x v="2"/>
    <n v="1"/>
  </r>
  <r>
    <n v="739"/>
    <x v="0"/>
    <x v="1"/>
    <x v="6"/>
    <n v="8"/>
    <n v="0"/>
    <x v="1"/>
    <s v="Yes"/>
    <x v="0"/>
    <n v="191694.77"/>
    <x v="0"/>
    <n v="0.26266967870442898"/>
    <s v="No"/>
    <n v="1"/>
    <n v="0"/>
    <x v="0"/>
    <x v="0"/>
    <x v="1"/>
    <x v="2"/>
    <x v="1"/>
    <n v="0"/>
  </r>
  <r>
    <n v="662"/>
    <x v="2"/>
    <x v="0"/>
    <x v="19"/>
    <n v="2"/>
    <n v="117731.79"/>
    <x v="0"/>
    <s v="No"/>
    <x v="1"/>
    <n v="55120.79"/>
    <x v="1"/>
    <n v="5.2327381482666642E-2"/>
    <s v="No"/>
    <n v="0"/>
    <n v="0"/>
    <x v="1"/>
    <x v="1"/>
    <x v="0"/>
    <x v="0"/>
    <x v="3"/>
    <n v="1"/>
  </r>
  <r>
    <n v="783"/>
    <x v="2"/>
    <x v="0"/>
    <x v="2"/>
    <n v="9"/>
    <n v="114135.17"/>
    <x v="1"/>
    <s v="Yes"/>
    <x v="0"/>
    <n v="153269.98000000001"/>
    <x v="1"/>
    <n v="0.16576439214541031"/>
    <s v="No"/>
    <n v="0"/>
    <n v="0"/>
    <x v="1"/>
    <x v="1"/>
    <x v="0"/>
    <x v="2"/>
    <x v="1"/>
    <n v="1"/>
  </r>
  <r>
    <n v="850"/>
    <x v="2"/>
    <x v="1"/>
    <x v="17"/>
    <n v="9"/>
    <n v="0"/>
    <x v="0"/>
    <s v="Yes"/>
    <x v="1"/>
    <n v="164864.67000000001"/>
    <x v="1"/>
    <n v="3.4303654952550798E-2"/>
    <s v="No"/>
    <n v="0"/>
    <n v="0"/>
    <x v="1"/>
    <x v="2"/>
    <x v="1"/>
    <x v="3"/>
    <x v="1"/>
    <n v="1"/>
  </r>
  <r>
    <n v="563"/>
    <x v="1"/>
    <x v="0"/>
    <x v="6"/>
    <n v="2"/>
    <n v="100520.92"/>
    <x v="1"/>
    <s v="Yes"/>
    <x v="1"/>
    <n v="19412.8"/>
    <x v="0"/>
    <n v="0.18023279072871179"/>
    <s v="No"/>
    <n v="1"/>
    <n v="0"/>
    <x v="1"/>
    <x v="0"/>
    <x v="0"/>
    <x v="1"/>
    <x v="2"/>
    <n v="0"/>
  </r>
  <r>
    <n v="708"/>
    <x v="0"/>
    <x v="0"/>
    <x v="21"/>
    <n v="8"/>
    <n v="83015.710000000006"/>
    <x v="1"/>
    <s v="Yes"/>
    <x v="0"/>
    <n v="101089.76"/>
    <x v="1"/>
    <n v="0.18729630247637369"/>
    <s v="No"/>
    <n v="0"/>
    <n v="0"/>
    <x v="1"/>
    <x v="1"/>
    <x v="2"/>
    <x v="2"/>
    <x v="0"/>
    <n v="1"/>
  </r>
  <r>
    <n v="668"/>
    <x v="1"/>
    <x v="1"/>
    <x v="17"/>
    <n v="1"/>
    <n v="124511.01"/>
    <x v="1"/>
    <s v="No"/>
    <x v="0"/>
    <n v="114258.18"/>
    <x v="1"/>
    <n v="0.32195670528834069"/>
    <s v="No"/>
    <n v="0"/>
    <n v="0"/>
    <x v="0"/>
    <x v="2"/>
    <x v="0"/>
    <x v="0"/>
    <x v="0"/>
    <n v="1"/>
  </r>
  <r>
    <n v="738"/>
    <x v="2"/>
    <x v="1"/>
    <x v="46"/>
    <n v="1"/>
    <n v="130652.52"/>
    <x v="1"/>
    <s v="No"/>
    <x v="1"/>
    <n v="22762.23"/>
    <x v="1"/>
    <n v="0.54461180581456337"/>
    <s v="Yes"/>
    <n v="0"/>
    <n v="1"/>
    <x v="2"/>
    <x v="4"/>
    <x v="0"/>
    <x v="2"/>
    <x v="2"/>
    <n v="0"/>
  </r>
  <r>
    <n v="508"/>
    <x v="2"/>
    <x v="0"/>
    <x v="22"/>
    <n v="1"/>
    <n v="86893.28"/>
    <x v="1"/>
    <s v="No"/>
    <x v="0"/>
    <n v="59374.82"/>
    <x v="1"/>
    <n v="0.17077289360199041"/>
    <s v="No"/>
    <n v="0"/>
    <n v="0"/>
    <x v="1"/>
    <x v="1"/>
    <x v="2"/>
    <x v="1"/>
    <x v="3"/>
    <n v="1"/>
  </r>
  <r>
    <n v="659"/>
    <x v="2"/>
    <x v="1"/>
    <x v="5"/>
    <n v="7"/>
    <n v="89939.62"/>
    <x v="1"/>
    <s v="Yes"/>
    <x v="0"/>
    <n v="136540.09"/>
    <x v="1"/>
    <n v="0.200193274143773"/>
    <s v="No"/>
    <n v="0"/>
    <n v="0"/>
    <x v="0"/>
    <x v="1"/>
    <x v="2"/>
    <x v="0"/>
    <x v="0"/>
    <n v="1"/>
  </r>
  <r>
    <n v="675"/>
    <x v="2"/>
    <x v="0"/>
    <x v="10"/>
    <n v="7"/>
    <n v="0"/>
    <x v="0"/>
    <s v="No"/>
    <x v="1"/>
    <n v="36267.21"/>
    <x v="1"/>
    <n v="4.9729579257650113E-2"/>
    <s v="No"/>
    <n v="0"/>
    <n v="0"/>
    <x v="1"/>
    <x v="1"/>
    <x v="1"/>
    <x v="0"/>
    <x v="2"/>
    <n v="1"/>
  </r>
  <r>
    <n v="455"/>
    <x v="2"/>
    <x v="0"/>
    <x v="21"/>
    <n v="1"/>
    <n v="0"/>
    <x v="2"/>
    <s v="No"/>
    <x v="1"/>
    <n v="129975.34"/>
    <x v="1"/>
    <n v="6.5601829671786141E-2"/>
    <s v="No"/>
    <n v="0"/>
    <n v="0"/>
    <x v="1"/>
    <x v="1"/>
    <x v="1"/>
    <x v="4"/>
    <x v="0"/>
    <n v="1"/>
  </r>
  <r>
    <n v="746"/>
    <x v="2"/>
    <x v="1"/>
    <x v="11"/>
    <n v="4"/>
    <n v="0"/>
    <x v="0"/>
    <s v="No"/>
    <x v="1"/>
    <n v="171039.56"/>
    <x v="1"/>
    <n v="7.8344900693217964E-2"/>
    <s v="No"/>
    <n v="0"/>
    <n v="0"/>
    <x v="1"/>
    <x v="1"/>
    <x v="1"/>
    <x v="2"/>
    <x v="1"/>
    <n v="1"/>
  </r>
  <r>
    <n v="813"/>
    <x v="0"/>
    <x v="0"/>
    <x v="29"/>
    <n v="1"/>
    <n v="137275.35999999999"/>
    <x v="1"/>
    <s v="No"/>
    <x v="1"/>
    <n v="115733.16"/>
    <x v="1"/>
    <n v="3.6523364287267962E-2"/>
    <s v="No"/>
    <n v="0"/>
    <n v="0"/>
    <x v="1"/>
    <x v="2"/>
    <x v="0"/>
    <x v="3"/>
    <x v="0"/>
    <n v="1"/>
  </r>
  <r>
    <n v="669"/>
    <x v="2"/>
    <x v="1"/>
    <x v="18"/>
    <n v="6"/>
    <n v="113000.66"/>
    <x v="1"/>
    <s v="Yes"/>
    <x v="0"/>
    <n v="40467.82"/>
    <x v="1"/>
    <n v="0.18031877930133419"/>
    <s v="No"/>
    <n v="0"/>
    <n v="0"/>
    <x v="1"/>
    <x v="1"/>
    <x v="0"/>
    <x v="0"/>
    <x v="2"/>
    <n v="1"/>
  </r>
  <r>
    <n v="696"/>
    <x v="1"/>
    <x v="0"/>
    <x v="25"/>
    <n v="4"/>
    <n v="84421.62"/>
    <x v="1"/>
    <s v="No"/>
    <x v="1"/>
    <n v="52314.71"/>
    <x v="1"/>
    <n v="9.0836105038366921E-2"/>
    <s v="No"/>
    <n v="0"/>
    <n v="0"/>
    <x v="1"/>
    <x v="1"/>
    <x v="2"/>
    <x v="0"/>
    <x v="3"/>
    <n v="1"/>
  </r>
  <r>
    <n v="550"/>
    <x v="2"/>
    <x v="1"/>
    <x v="24"/>
    <n v="4"/>
    <n v="0"/>
    <x v="0"/>
    <s v="Yes"/>
    <x v="0"/>
    <n v="89216.29"/>
    <x v="1"/>
    <n v="0.1375925049094833"/>
    <s v="No"/>
    <n v="0"/>
    <n v="0"/>
    <x v="1"/>
    <x v="2"/>
    <x v="1"/>
    <x v="1"/>
    <x v="3"/>
    <n v="1"/>
  </r>
  <r>
    <n v="758"/>
    <x v="0"/>
    <x v="0"/>
    <x v="22"/>
    <n v="5"/>
    <n v="0"/>
    <x v="0"/>
    <s v="Yes"/>
    <x v="0"/>
    <n v="95009.600000000006"/>
    <x v="1"/>
    <n v="0.1057350778199759"/>
    <s v="No"/>
    <n v="0"/>
    <n v="0"/>
    <x v="1"/>
    <x v="1"/>
    <x v="1"/>
    <x v="2"/>
    <x v="3"/>
    <n v="1"/>
  </r>
  <r>
    <n v="596"/>
    <x v="2"/>
    <x v="0"/>
    <x v="11"/>
    <n v="2"/>
    <n v="0"/>
    <x v="1"/>
    <s v="No"/>
    <x v="1"/>
    <n v="121175.86"/>
    <x v="1"/>
    <n v="5.7682672917731839E-2"/>
    <s v="No"/>
    <n v="0"/>
    <n v="0"/>
    <x v="1"/>
    <x v="1"/>
    <x v="1"/>
    <x v="1"/>
    <x v="0"/>
    <n v="1"/>
  </r>
  <r>
    <n v="649"/>
    <x v="1"/>
    <x v="0"/>
    <x v="64"/>
    <n v="4"/>
    <n v="68345.86"/>
    <x v="0"/>
    <s v="Yes"/>
    <x v="1"/>
    <n v="142566.75"/>
    <x v="1"/>
    <n v="0.73218930317002717"/>
    <s v="Yes"/>
    <n v="0"/>
    <n v="1"/>
    <x v="2"/>
    <x v="4"/>
    <x v="2"/>
    <x v="0"/>
    <x v="0"/>
    <n v="0"/>
  </r>
  <r>
    <n v="600"/>
    <x v="2"/>
    <x v="0"/>
    <x v="18"/>
    <n v="8"/>
    <n v="0"/>
    <x v="0"/>
    <s v="Yes"/>
    <x v="1"/>
    <n v="121555.51"/>
    <x v="1"/>
    <n v="2.9470494001560571E-2"/>
    <s v="No"/>
    <n v="0"/>
    <n v="0"/>
    <x v="1"/>
    <x v="1"/>
    <x v="1"/>
    <x v="1"/>
    <x v="0"/>
    <n v="1"/>
  </r>
  <r>
    <n v="686"/>
    <x v="1"/>
    <x v="1"/>
    <x v="10"/>
    <n v="4"/>
    <n v="157731.6"/>
    <x v="0"/>
    <s v="Yes"/>
    <x v="0"/>
    <n v="162820.6"/>
    <x v="1"/>
    <n v="0.49368799313122808"/>
    <s v="No"/>
    <n v="0"/>
    <n v="0"/>
    <x v="0"/>
    <x v="1"/>
    <x v="3"/>
    <x v="0"/>
    <x v="1"/>
    <n v="1"/>
  </r>
  <r>
    <n v="779"/>
    <x v="2"/>
    <x v="0"/>
    <x v="9"/>
    <n v="9"/>
    <n v="106160.37"/>
    <x v="1"/>
    <s v="No"/>
    <x v="0"/>
    <n v="116893.87"/>
    <x v="1"/>
    <n v="0.30830376971116119"/>
    <s v="No"/>
    <n v="0"/>
    <n v="0"/>
    <x v="0"/>
    <x v="0"/>
    <x v="0"/>
    <x v="2"/>
    <x v="0"/>
    <n v="1"/>
  </r>
  <r>
    <n v="642"/>
    <x v="2"/>
    <x v="1"/>
    <x v="6"/>
    <n v="7"/>
    <n v="115171.71"/>
    <x v="1"/>
    <s v="Yes"/>
    <x v="1"/>
    <n v="37674.47"/>
    <x v="1"/>
    <n v="0.1345684418617269"/>
    <s v="No"/>
    <n v="0"/>
    <n v="0"/>
    <x v="1"/>
    <x v="0"/>
    <x v="0"/>
    <x v="0"/>
    <x v="2"/>
    <n v="1"/>
  </r>
  <r>
    <n v="637"/>
    <x v="2"/>
    <x v="0"/>
    <x v="25"/>
    <n v="3"/>
    <n v="0"/>
    <x v="0"/>
    <s v="Yes"/>
    <x v="1"/>
    <n v="197827.06"/>
    <x v="1"/>
    <n v="3.541834820468142E-2"/>
    <s v="No"/>
    <n v="0"/>
    <n v="0"/>
    <x v="1"/>
    <x v="1"/>
    <x v="1"/>
    <x v="0"/>
    <x v="1"/>
    <n v="1"/>
  </r>
  <r>
    <n v="812"/>
    <x v="1"/>
    <x v="0"/>
    <x v="10"/>
    <n v="5"/>
    <n v="115730.71"/>
    <x v="2"/>
    <s v="Yes"/>
    <x v="1"/>
    <n v="185599.34"/>
    <x v="0"/>
    <n v="0.12246042239868909"/>
    <s v="No"/>
    <n v="1"/>
    <n v="0"/>
    <x v="1"/>
    <x v="1"/>
    <x v="0"/>
    <x v="3"/>
    <x v="1"/>
    <n v="0"/>
  </r>
  <r>
    <n v="803"/>
    <x v="2"/>
    <x v="1"/>
    <x v="21"/>
    <n v="6"/>
    <n v="165526.71"/>
    <x v="1"/>
    <s v="Yes"/>
    <x v="0"/>
    <n v="12328.08"/>
    <x v="1"/>
    <n v="0.30562999563733451"/>
    <s v="No"/>
    <n v="0"/>
    <n v="0"/>
    <x v="0"/>
    <x v="1"/>
    <x v="3"/>
    <x v="3"/>
    <x v="2"/>
    <n v="1"/>
  </r>
  <r>
    <n v="679"/>
    <x v="2"/>
    <x v="1"/>
    <x v="28"/>
    <n v="3"/>
    <n v="0"/>
    <x v="0"/>
    <s v="Yes"/>
    <x v="1"/>
    <n v="2243.41"/>
    <x v="1"/>
    <n v="6.9169275661578003E-2"/>
    <s v="No"/>
    <n v="0"/>
    <n v="0"/>
    <x v="1"/>
    <x v="1"/>
    <x v="1"/>
    <x v="0"/>
    <x v="2"/>
    <n v="1"/>
  </r>
  <r>
    <n v="651"/>
    <x v="2"/>
    <x v="0"/>
    <x v="34"/>
    <n v="10"/>
    <n v="0"/>
    <x v="0"/>
    <s v="Yes"/>
    <x v="1"/>
    <n v="170099.23"/>
    <x v="1"/>
    <n v="1.5764223298083871E-2"/>
    <s v="No"/>
    <n v="0"/>
    <n v="0"/>
    <x v="1"/>
    <x v="2"/>
    <x v="1"/>
    <x v="0"/>
    <x v="1"/>
    <n v="1"/>
  </r>
  <r>
    <n v="586"/>
    <x v="1"/>
    <x v="0"/>
    <x v="16"/>
    <n v="8"/>
    <n v="106968.96000000001"/>
    <x v="1"/>
    <s v="Yes"/>
    <x v="1"/>
    <n v="79366.98"/>
    <x v="0"/>
    <n v="0.22632136386182519"/>
    <s v="No"/>
    <n v="1"/>
    <n v="0"/>
    <x v="0"/>
    <x v="0"/>
    <x v="0"/>
    <x v="1"/>
    <x v="3"/>
    <n v="0"/>
  </r>
  <r>
    <n v="490"/>
    <x v="1"/>
    <x v="1"/>
    <x v="6"/>
    <n v="0"/>
    <n v="139659.04"/>
    <x v="1"/>
    <s v="Yes"/>
    <x v="1"/>
    <n v="176254.12"/>
    <x v="1"/>
    <n v="0.33447893975922238"/>
    <s v="No"/>
    <n v="0"/>
    <n v="0"/>
    <x v="0"/>
    <x v="0"/>
    <x v="0"/>
    <x v="4"/>
    <x v="1"/>
    <n v="1"/>
  </r>
  <r>
    <n v="656"/>
    <x v="1"/>
    <x v="0"/>
    <x v="44"/>
    <n v="7"/>
    <n v="153545.10999999999"/>
    <x v="1"/>
    <s v="Yes"/>
    <x v="1"/>
    <n v="186574.68"/>
    <x v="1"/>
    <n v="0.63429071735661224"/>
    <s v="Yes"/>
    <n v="0"/>
    <n v="1"/>
    <x v="2"/>
    <x v="4"/>
    <x v="3"/>
    <x v="0"/>
    <x v="1"/>
    <n v="0"/>
  </r>
  <r>
    <n v="673"/>
    <x v="0"/>
    <x v="0"/>
    <x v="21"/>
    <n v="1"/>
    <n v="121629.22"/>
    <x v="1"/>
    <s v="Yes"/>
    <x v="1"/>
    <n v="3258.6"/>
    <x v="1"/>
    <n v="8.710936803988252E-2"/>
    <s v="No"/>
    <n v="0"/>
    <n v="0"/>
    <x v="1"/>
    <x v="1"/>
    <x v="0"/>
    <x v="0"/>
    <x v="2"/>
    <n v="1"/>
  </r>
  <r>
    <n v="556"/>
    <x v="1"/>
    <x v="1"/>
    <x v="12"/>
    <n v="4"/>
    <n v="125890.72"/>
    <x v="1"/>
    <s v="Yes"/>
    <x v="1"/>
    <n v="74854.97"/>
    <x v="1"/>
    <n v="0.31923940236911741"/>
    <s v="No"/>
    <n v="0"/>
    <n v="0"/>
    <x v="0"/>
    <x v="0"/>
    <x v="0"/>
    <x v="1"/>
    <x v="3"/>
    <n v="1"/>
  </r>
  <r>
    <n v="520"/>
    <x v="2"/>
    <x v="0"/>
    <x v="9"/>
    <n v="5"/>
    <n v="121197.64"/>
    <x v="1"/>
    <s v="Yes"/>
    <x v="0"/>
    <n v="72577.33"/>
    <x v="0"/>
    <n v="0.36178334984644112"/>
    <s v="No"/>
    <n v="1"/>
    <n v="0"/>
    <x v="0"/>
    <x v="0"/>
    <x v="0"/>
    <x v="1"/>
    <x v="3"/>
    <n v="0"/>
  </r>
  <r>
    <n v="732"/>
    <x v="2"/>
    <x v="1"/>
    <x v="12"/>
    <n v="9"/>
    <n v="0"/>
    <x v="0"/>
    <s v="Yes"/>
    <x v="0"/>
    <n v="183147.17"/>
    <x v="1"/>
    <n v="0.26001109601093703"/>
    <s v="No"/>
    <n v="0"/>
    <n v="0"/>
    <x v="0"/>
    <x v="0"/>
    <x v="1"/>
    <x v="2"/>
    <x v="1"/>
    <n v="1"/>
  </r>
  <r>
    <n v="515"/>
    <x v="0"/>
    <x v="0"/>
    <x v="21"/>
    <n v="10"/>
    <n v="121355.99"/>
    <x v="1"/>
    <s v="Yes"/>
    <x v="0"/>
    <n v="138360.29"/>
    <x v="1"/>
    <n v="0.222110505411937"/>
    <s v="No"/>
    <n v="0"/>
    <n v="0"/>
    <x v="0"/>
    <x v="1"/>
    <x v="0"/>
    <x v="1"/>
    <x v="0"/>
    <n v="1"/>
  </r>
  <r>
    <n v="601"/>
    <x v="1"/>
    <x v="1"/>
    <x v="9"/>
    <n v="4"/>
    <n v="96252.98"/>
    <x v="0"/>
    <s v="Yes"/>
    <x v="0"/>
    <n v="104263.82"/>
    <x v="1"/>
    <n v="0.64139616144738054"/>
    <s v="Yes"/>
    <n v="0"/>
    <n v="1"/>
    <x v="2"/>
    <x v="0"/>
    <x v="2"/>
    <x v="0"/>
    <x v="0"/>
    <n v="0"/>
  </r>
  <r>
    <n v="553"/>
    <x v="2"/>
    <x v="0"/>
    <x v="25"/>
    <n v="7"/>
    <n v="64082.09"/>
    <x v="1"/>
    <s v="No"/>
    <x v="1"/>
    <n v="109159.58"/>
    <x v="1"/>
    <n v="4.4228260995733522E-2"/>
    <s v="No"/>
    <n v="0"/>
    <n v="0"/>
    <x v="1"/>
    <x v="1"/>
    <x v="2"/>
    <x v="1"/>
    <x v="0"/>
    <n v="1"/>
  </r>
  <r>
    <n v="610"/>
    <x v="2"/>
    <x v="1"/>
    <x v="1"/>
    <n v="1"/>
    <n v="0"/>
    <x v="0"/>
    <s v="Yes"/>
    <x v="1"/>
    <n v="199657.46"/>
    <x v="1"/>
    <n v="0.1498486752391994"/>
    <s v="No"/>
    <n v="0"/>
    <n v="0"/>
    <x v="1"/>
    <x v="0"/>
    <x v="1"/>
    <x v="0"/>
    <x v="1"/>
    <n v="1"/>
  </r>
  <r>
    <n v="627"/>
    <x v="0"/>
    <x v="0"/>
    <x v="21"/>
    <n v="10"/>
    <n v="0"/>
    <x v="0"/>
    <s v="Yes"/>
    <x v="1"/>
    <n v="194792.42"/>
    <x v="1"/>
    <n v="5.6926439277566777E-2"/>
    <s v="No"/>
    <n v="0"/>
    <n v="0"/>
    <x v="1"/>
    <x v="1"/>
    <x v="1"/>
    <x v="0"/>
    <x v="1"/>
    <n v="1"/>
  </r>
  <r>
    <n v="762"/>
    <x v="0"/>
    <x v="1"/>
    <x v="22"/>
    <n v="3"/>
    <n v="119349.69"/>
    <x v="2"/>
    <s v="Yes"/>
    <x v="1"/>
    <n v="47114.18"/>
    <x v="0"/>
    <n v="7.8584918473874485E-2"/>
    <s v="No"/>
    <n v="1"/>
    <n v="0"/>
    <x v="1"/>
    <x v="1"/>
    <x v="0"/>
    <x v="2"/>
    <x v="2"/>
    <n v="0"/>
  </r>
  <r>
    <n v="644"/>
    <x v="2"/>
    <x v="0"/>
    <x v="5"/>
    <n v="7"/>
    <n v="174571.36"/>
    <x v="1"/>
    <s v="No"/>
    <x v="1"/>
    <n v="43943.09"/>
    <x v="1"/>
    <n v="5.6663876370334522E-2"/>
    <s v="No"/>
    <n v="0"/>
    <n v="0"/>
    <x v="1"/>
    <x v="1"/>
    <x v="3"/>
    <x v="0"/>
    <x v="2"/>
    <n v="1"/>
  </r>
  <r>
    <n v="603"/>
    <x v="2"/>
    <x v="1"/>
    <x v="10"/>
    <n v="9"/>
    <n v="76769.679999999993"/>
    <x v="1"/>
    <s v="No"/>
    <x v="0"/>
    <n v="48224.72"/>
    <x v="1"/>
    <n v="0.27026799201913271"/>
    <s v="No"/>
    <n v="0"/>
    <n v="0"/>
    <x v="0"/>
    <x v="1"/>
    <x v="2"/>
    <x v="0"/>
    <x v="2"/>
    <n v="1"/>
  </r>
  <r>
    <n v="712"/>
    <x v="0"/>
    <x v="0"/>
    <x v="29"/>
    <n v="10"/>
    <n v="0"/>
    <x v="1"/>
    <s v="Yes"/>
    <x v="0"/>
    <n v="94544.88"/>
    <x v="1"/>
    <n v="6.352132192752255E-2"/>
    <s v="No"/>
    <n v="0"/>
    <n v="0"/>
    <x v="1"/>
    <x v="2"/>
    <x v="1"/>
    <x v="2"/>
    <x v="3"/>
    <n v="1"/>
  </r>
  <r>
    <n v="604"/>
    <x v="2"/>
    <x v="0"/>
    <x v="19"/>
    <n v="7"/>
    <n v="0"/>
    <x v="0"/>
    <s v="Yes"/>
    <x v="1"/>
    <n v="188078.55"/>
    <x v="1"/>
    <n v="3.8485189825773258E-2"/>
    <s v="No"/>
    <n v="0"/>
    <n v="0"/>
    <x v="1"/>
    <x v="1"/>
    <x v="1"/>
    <x v="0"/>
    <x v="1"/>
    <n v="1"/>
  </r>
  <r>
    <n v="637"/>
    <x v="1"/>
    <x v="0"/>
    <x v="7"/>
    <n v="1"/>
    <n v="104682.83"/>
    <x v="1"/>
    <s v="Yes"/>
    <x v="0"/>
    <n v="55266.96"/>
    <x v="0"/>
    <n v="0.57796588625060097"/>
    <s v="Yes"/>
    <n v="1"/>
    <n v="1"/>
    <x v="2"/>
    <x v="3"/>
    <x v="0"/>
    <x v="0"/>
    <x v="3"/>
    <n v="1"/>
  </r>
  <r>
    <n v="808"/>
    <x v="1"/>
    <x v="0"/>
    <x v="10"/>
    <n v="3"/>
    <n v="124216.93"/>
    <x v="1"/>
    <s v="No"/>
    <x v="1"/>
    <n v="171442.36"/>
    <x v="1"/>
    <n v="0.15796082336514691"/>
    <s v="No"/>
    <n v="0"/>
    <n v="0"/>
    <x v="1"/>
    <x v="1"/>
    <x v="0"/>
    <x v="3"/>
    <x v="1"/>
    <n v="1"/>
  </r>
  <r>
    <n v="838"/>
    <x v="2"/>
    <x v="0"/>
    <x v="18"/>
    <n v="2"/>
    <n v="0"/>
    <x v="0"/>
    <s v="Yes"/>
    <x v="0"/>
    <n v="8222.9599999999991"/>
    <x v="1"/>
    <n v="7.4879805388745446E-2"/>
    <s v="No"/>
    <n v="0"/>
    <n v="0"/>
    <x v="1"/>
    <x v="1"/>
    <x v="1"/>
    <x v="3"/>
    <x v="2"/>
    <n v="1"/>
  </r>
  <r>
    <n v="581"/>
    <x v="1"/>
    <x v="0"/>
    <x v="10"/>
    <n v="1"/>
    <n v="121523.51"/>
    <x v="1"/>
    <s v="No"/>
    <x v="0"/>
    <n v="161655.54999999999"/>
    <x v="0"/>
    <n v="0.40147197565545328"/>
    <s v="No"/>
    <n v="1"/>
    <n v="0"/>
    <x v="0"/>
    <x v="1"/>
    <x v="0"/>
    <x v="1"/>
    <x v="1"/>
    <n v="0"/>
  </r>
  <r>
    <n v="484"/>
    <x v="2"/>
    <x v="0"/>
    <x v="6"/>
    <n v="5"/>
    <n v="0"/>
    <x v="1"/>
    <s v="Yes"/>
    <x v="1"/>
    <n v="74267.350000000006"/>
    <x v="1"/>
    <n v="7.3257618663090315E-2"/>
    <s v="No"/>
    <n v="0"/>
    <n v="0"/>
    <x v="1"/>
    <x v="0"/>
    <x v="1"/>
    <x v="4"/>
    <x v="3"/>
    <n v="1"/>
  </r>
  <r>
    <n v="576"/>
    <x v="0"/>
    <x v="0"/>
    <x v="27"/>
    <n v="8"/>
    <n v="0"/>
    <x v="0"/>
    <s v="No"/>
    <x v="1"/>
    <n v="34101.06"/>
    <x v="1"/>
    <n v="2.1329728781267931E-2"/>
    <s v="No"/>
    <n v="0"/>
    <n v="0"/>
    <x v="1"/>
    <x v="2"/>
    <x v="1"/>
    <x v="1"/>
    <x v="2"/>
    <n v="1"/>
  </r>
  <r>
    <n v="646"/>
    <x v="1"/>
    <x v="0"/>
    <x v="23"/>
    <n v="0"/>
    <n v="92398.080000000002"/>
    <x v="1"/>
    <s v="Yes"/>
    <x v="1"/>
    <n v="18897.29"/>
    <x v="1"/>
    <n v="5.6685406956667357E-2"/>
    <s v="No"/>
    <n v="0"/>
    <n v="0"/>
    <x v="1"/>
    <x v="2"/>
    <x v="2"/>
    <x v="0"/>
    <x v="2"/>
    <n v="1"/>
  </r>
  <r>
    <n v="671"/>
    <x v="1"/>
    <x v="0"/>
    <x v="17"/>
    <n v="8"/>
    <n v="119859.52"/>
    <x v="0"/>
    <s v="Yes"/>
    <x v="0"/>
    <n v="125422.66"/>
    <x v="1"/>
    <n v="0.17157688683380651"/>
    <s v="No"/>
    <n v="0"/>
    <n v="0"/>
    <x v="1"/>
    <x v="2"/>
    <x v="0"/>
    <x v="0"/>
    <x v="0"/>
    <n v="1"/>
  </r>
  <r>
    <n v="719"/>
    <x v="0"/>
    <x v="0"/>
    <x v="11"/>
    <n v="10"/>
    <n v="145382.60999999999"/>
    <x v="1"/>
    <s v="Yes"/>
    <x v="0"/>
    <n v="80408.59"/>
    <x v="1"/>
    <n v="0.16983826783643111"/>
    <s v="No"/>
    <n v="0"/>
    <n v="0"/>
    <x v="1"/>
    <x v="1"/>
    <x v="0"/>
    <x v="2"/>
    <x v="3"/>
    <n v="1"/>
  </r>
  <r>
    <n v="775"/>
    <x v="2"/>
    <x v="1"/>
    <x v="24"/>
    <n v="10"/>
    <n v="191091.74"/>
    <x v="0"/>
    <s v="Yes"/>
    <x v="1"/>
    <n v="96170.38"/>
    <x v="1"/>
    <n v="6.2935733737783051E-2"/>
    <s v="No"/>
    <n v="0"/>
    <n v="0"/>
    <x v="1"/>
    <x v="2"/>
    <x v="3"/>
    <x v="2"/>
    <x v="3"/>
    <n v="1"/>
  </r>
  <r>
    <n v="544"/>
    <x v="2"/>
    <x v="0"/>
    <x v="2"/>
    <n v="8"/>
    <n v="0"/>
    <x v="1"/>
    <s v="Yes"/>
    <x v="1"/>
    <n v="98208.62"/>
    <x v="1"/>
    <n v="5.4827216024875773E-2"/>
    <s v="No"/>
    <n v="0"/>
    <n v="0"/>
    <x v="1"/>
    <x v="1"/>
    <x v="1"/>
    <x v="1"/>
    <x v="3"/>
    <n v="1"/>
  </r>
  <r>
    <n v="742"/>
    <x v="1"/>
    <x v="0"/>
    <x v="5"/>
    <n v="1"/>
    <n v="137937.95000000001"/>
    <x v="1"/>
    <s v="Yes"/>
    <x v="1"/>
    <n v="51387.1"/>
    <x v="1"/>
    <n v="0.1094872862035451"/>
    <s v="No"/>
    <n v="0"/>
    <n v="0"/>
    <x v="1"/>
    <x v="1"/>
    <x v="0"/>
    <x v="2"/>
    <x v="3"/>
    <n v="1"/>
  </r>
  <r>
    <n v="591"/>
    <x v="2"/>
    <x v="0"/>
    <x v="9"/>
    <n v="3"/>
    <n v="0"/>
    <x v="0"/>
    <s v="Yes"/>
    <x v="0"/>
    <n v="50123.44"/>
    <x v="1"/>
    <n v="0.26746860185242849"/>
    <s v="No"/>
    <n v="0"/>
    <n v="0"/>
    <x v="0"/>
    <x v="0"/>
    <x v="1"/>
    <x v="1"/>
    <x v="3"/>
    <n v="1"/>
  </r>
  <r>
    <n v="667"/>
    <x v="2"/>
    <x v="0"/>
    <x v="23"/>
    <n v="4"/>
    <n v="0"/>
    <x v="0"/>
    <s v="No"/>
    <x v="0"/>
    <n v="180329.83"/>
    <x v="1"/>
    <n v="5.600521237449109E-2"/>
    <s v="No"/>
    <n v="0"/>
    <n v="0"/>
    <x v="1"/>
    <x v="2"/>
    <x v="1"/>
    <x v="0"/>
    <x v="1"/>
    <n v="1"/>
  </r>
  <r>
    <n v="724"/>
    <x v="1"/>
    <x v="1"/>
    <x v="5"/>
    <n v="9"/>
    <n v="119278.44"/>
    <x v="1"/>
    <s v="Yes"/>
    <x v="1"/>
    <n v="197148.24"/>
    <x v="1"/>
    <n v="0.1596052803566167"/>
    <s v="No"/>
    <n v="0"/>
    <n v="0"/>
    <x v="1"/>
    <x v="1"/>
    <x v="0"/>
    <x v="2"/>
    <x v="1"/>
    <n v="1"/>
  </r>
  <r>
    <n v="584"/>
    <x v="1"/>
    <x v="0"/>
    <x v="3"/>
    <n v="3"/>
    <n v="137479.13"/>
    <x v="1"/>
    <s v="Yes"/>
    <x v="0"/>
    <n v="25669.1"/>
    <x v="1"/>
    <n v="0.42899570102184209"/>
    <s v="No"/>
    <n v="0"/>
    <n v="0"/>
    <x v="0"/>
    <x v="0"/>
    <x v="0"/>
    <x v="1"/>
    <x v="2"/>
    <n v="1"/>
  </r>
  <r>
    <n v="751"/>
    <x v="2"/>
    <x v="1"/>
    <x v="20"/>
    <n v="4"/>
    <n v="0"/>
    <x v="1"/>
    <s v="No"/>
    <x v="1"/>
    <n v="30165.06"/>
    <x v="0"/>
    <n v="0.16385885360804131"/>
    <s v="No"/>
    <n v="1"/>
    <n v="0"/>
    <x v="1"/>
    <x v="0"/>
    <x v="1"/>
    <x v="2"/>
    <x v="2"/>
    <n v="0"/>
  </r>
  <r>
    <n v="684"/>
    <x v="0"/>
    <x v="0"/>
    <x v="23"/>
    <n v="8"/>
    <n v="143582.89000000001"/>
    <x v="1"/>
    <s v="Yes"/>
    <x v="1"/>
    <n v="22527.27"/>
    <x v="1"/>
    <n v="2.6293403221047701E-2"/>
    <s v="No"/>
    <n v="0"/>
    <n v="0"/>
    <x v="1"/>
    <x v="2"/>
    <x v="0"/>
    <x v="0"/>
    <x v="2"/>
    <n v="1"/>
  </r>
  <r>
    <n v="662"/>
    <x v="0"/>
    <x v="0"/>
    <x v="11"/>
    <n v="4"/>
    <n v="155187.29999999999"/>
    <x v="1"/>
    <s v="Yes"/>
    <x v="0"/>
    <n v="48930.8"/>
    <x v="1"/>
    <n v="0.19453867590357729"/>
    <s v="No"/>
    <n v="0"/>
    <n v="0"/>
    <x v="1"/>
    <x v="1"/>
    <x v="3"/>
    <x v="0"/>
    <x v="2"/>
    <n v="1"/>
  </r>
  <r>
    <n v="521"/>
    <x v="2"/>
    <x v="1"/>
    <x v="65"/>
    <n v="6"/>
    <n v="0"/>
    <x v="0"/>
    <s v="Yes"/>
    <x v="1"/>
    <n v="49054.1"/>
    <x v="1"/>
    <n v="0.62490291096582506"/>
    <s v="Yes"/>
    <n v="0"/>
    <n v="1"/>
    <x v="2"/>
    <x v="4"/>
    <x v="1"/>
    <x v="1"/>
    <x v="2"/>
    <n v="0"/>
  </r>
  <r>
    <n v="589"/>
    <x v="2"/>
    <x v="0"/>
    <x v="2"/>
    <n v="4"/>
    <n v="0"/>
    <x v="1"/>
    <s v="Yes"/>
    <x v="0"/>
    <n v="95483.48"/>
    <x v="0"/>
    <n v="0.1530544359025835"/>
    <s v="No"/>
    <n v="1"/>
    <n v="0"/>
    <x v="1"/>
    <x v="1"/>
    <x v="1"/>
    <x v="1"/>
    <x v="3"/>
    <n v="0"/>
  </r>
  <r>
    <n v="682"/>
    <x v="2"/>
    <x v="0"/>
    <x v="0"/>
    <n v="3"/>
    <n v="115282.3"/>
    <x v="1"/>
    <s v="No"/>
    <x v="0"/>
    <n v="23766.400000000001"/>
    <x v="1"/>
    <n v="0.26490953314560112"/>
    <s v="No"/>
    <n v="0"/>
    <n v="0"/>
    <x v="0"/>
    <x v="0"/>
    <x v="0"/>
    <x v="0"/>
    <x v="2"/>
    <n v="1"/>
  </r>
  <r>
    <n v="814"/>
    <x v="2"/>
    <x v="1"/>
    <x v="18"/>
    <n v="6"/>
    <n v="87772.52"/>
    <x v="1"/>
    <s v="Yes"/>
    <x v="0"/>
    <n v="188516.45"/>
    <x v="1"/>
    <n v="0.1683826809698212"/>
    <s v="No"/>
    <n v="0"/>
    <n v="0"/>
    <x v="1"/>
    <x v="1"/>
    <x v="2"/>
    <x v="3"/>
    <x v="1"/>
    <n v="1"/>
  </r>
  <r>
    <n v="755"/>
    <x v="1"/>
    <x v="0"/>
    <x v="2"/>
    <n v="4"/>
    <n v="111096.91"/>
    <x v="1"/>
    <s v="Yes"/>
    <x v="1"/>
    <n v="19762.88"/>
    <x v="1"/>
    <n v="0.13219992376643541"/>
    <s v="No"/>
    <n v="0"/>
    <n v="0"/>
    <x v="1"/>
    <x v="1"/>
    <x v="0"/>
    <x v="2"/>
    <x v="2"/>
    <n v="1"/>
  </r>
  <r>
    <n v="677"/>
    <x v="0"/>
    <x v="0"/>
    <x v="51"/>
    <n v="8"/>
    <n v="134796.87"/>
    <x v="0"/>
    <s v="Yes"/>
    <x v="1"/>
    <n v="114858.9"/>
    <x v="1"/>
    <n v="1.5896536259679791E-2"/>
    <s v="No"/>
    <n v="0"/>
    <n v="0"/>
    <x v="1"/>
    <x v="5"/>
    <x v="0"/>
    <x v="0"/>
    <x v="0"/>
    <n v="1"/>
  </r>
  <r>
    <n v="748"/>
    <x v="2"/>
    <x v="1"/>
    <x v="58"/>
    <n v="7"/>
    <n v="0"/>
    <x v="0"/>
    <s v="No"/>
    <x v="0"/>
    <n v="10792.42"/>
    <x v="1"/>
    <n v="5.822405223999514E-2"/>
    <s v="No"/>
    <n v="0"/>
    <n v="0"/>
    <x v="1"/>
    <x v="2"/>
    <x v="1"/>
    <x v="2"/>
    <x v="2"/>
    <n v="1"/>
  </r>
  <r>
    <n v="645"/>
    <x v="2"/>
    <x v="0"/>
    <x v="0"/>
    <n v="10"/>
    <n v="0"/>
    <x v="0"/>
    <s v="No"/>
    <x v="1"/>
    <n v="166707.22"/>
    <x v="1"/>
    <n v="7.270937858228213E-2"/>
    <s v="No"/>
    <n v="0"/>
    <n v="0"/>
    <x v="1"/>
    <x v="0"/>
    <x v="1"/>
    <x v="0"/>
    <x v="1"/>
    <n v="1"/>
  </r>
  <r>
    <n v="850"/>
    <x v="2"/>
    <x v="1"/>
    <x v="35"/>
    <n v="9"/>
    <n v="137301.87"/>
    <x v="1"/>
    <s v="Yes"/>
    <x v="0"/>
    <n v="44351.77"/>
    <x v="1"/>
    <n v="0.38940432472839209"/>
    <s v="No"/>
    <n v="0"/>
    <n v="0"/>
    <x v="0"/>
    <x v="0"/>
    <x v="0"/>
    <x v="3"/>
    <x v="2"/>
    <n v="1"/>
  </r>
  <r>
    <n v="520"/>
    <x v="2"/>
    <x v="1"/>
    <x v="16"/>
    <n v="10"/>
    <n v="85216.61"/>
    <x v="1"/>
    <s v="Yes"/>
    <x v="0"/>
    <n v="117369.52"/>
    <x v="0"/>
    <n v="0.39908657152917609"/>
    <s v="No"/>
    <n v="1"/>
    <n v="0"/>
    <x v="0"/>
    <x v="0"/>
    <x v="2"/>
    <x v="1"/>
    <x v="0"/>
    <n v="0"/>
  </r>
  <r>
    <n v="795"/>
    <x v="1"/>
    <x v="1"/>
    <x v="5"/>
    <n v="9"/>
    <n v="104552.72"/>
    <x v="1"/>
    <s v="Yes"/>
    <x v="1"/>
    <n v="120853.83"/>
    <x v="0"/>
    <n v="0.1429288735458929"/>
    <s v="No"/>
    <n v="1"/>
    <n v="0"/>
    <x v="1"/>
    <x v="1"/>
    <x v="0"/>
    <x v="2"/>
    <x v="0"/>
    <n v="0"/>
  </r>
  <r>
    <n v="479"/>
    <x v="0"/>
    <x v="0"/>
    <x v="22"/>
    <n v="4"/>
    <n v="125920.98"/>
    <x v="1"/>
    <s v="Yes"/>
    <x v="1"/>
    <n v="20393.439999999999"/>
    <x v="1"/>
    <n v="6.7624868876679636E-2"/>
    <s v="No"/>
    <n v="0"/>
    <n v="0"/>
    <x v="1"/>
    <x v="1"/>
    <x v="0"/>
    <x v="4"/>
    <x v="2"/>
    <n v="1"/>
  </r>
  <r>
    <n v="602"/>
    <x v="1"/>
    <x v="0"/>
    <x v="22"/>
    <n v="7"/>
    <n v="90602.42"/>
    <x v="0"/>
    <s v="Yes"/>
    <x v="1"/>
    <n v="51695.41"/>
    <x v="1"/>
    <n v="0.1001169580699523"/>
    <s v="No"/>
    <n v="0"/>
    <n v="0"/>
    <x v="1"/>
    <x v="1"/>
    <x v="2"/>
    <x v="0"/>
    <x v="3"/>
    <n v="1"/>
  </r>
  <r>
    <n v="659"/>
    <x v="2"/>
    <x v="0"/>
    <x v="28"/>
    <n v="6"/>
    <n v="123841.49"/>
    <x v="0"/>
    <s v="Yes"/>
    <x v="0"/>
    <n v="96833"/>
    <x v="1"/>
    <n v="0.15074724139934689"/>
    <s v="No"/>
    <n v="0"/>
    <n v="0"/>
    <x v="1"/>
    <x v="1"/>
    <x v="0"/>
    <x v="0"/>
    <x v="3"/>
    <n v="1"/>
  </r>
  <r>
    <n v="673"/>
    <x v="1"/>
    <x v="0"/>
    <x v="35"/>
    <n v="1"/>
    <n v="183579.54"/>
    <x v="0"/>
    <s v="No"/>
    <x v="1"/>
    <n v="34047.54"/>
    <x v="1"/>
    <n v="0.27386126587524628"/>
    <s v="No"/>
    <n v="0"/>
    <n v="0"/>
    <x v="0"/>
    <x v="0"/>
    <x v="3"/>
    <x v="0"/>
    <x v="2"/>
    <n v="1"/>
  </r>
  <r>
    <n v="606"/>
    <x v="0"/>
    <x v="0"/>
    <x v="24"/>
    <n v="8"/>
    <n v="180307.73"/>
    <x v="0"/>
    <s v="Yes"/>
    <x v="1"/>
    <n v="1914.41"/>
    <x v="1"/>
    <n v="4.1734688054890508E-2"/>
    <s v="No"/>
    <n v="0"/>
    <n v="0"/>
    <x v="1"/>
    <x v="2"/>
    <x v="3"/>
    <x v="0"/>
    <x v="2"/>
    <n v="1"/>
  </r>
  <r>
    <n v="841"/>
    <x v="0"/>
    <x v="0"/>
    <x v="17"/>
    <n v="4"/>
    <n v="0"/>
    <x v="0"/>
    <s v="Yes"/>
    <x v="1"/>
    <n v="179436.6"/>
    <x v="1"/>
    <n v="2.3354718398704601E-2"/>
    <s v="No"/>
    <n v="0"/>
    <n v="0"/>
    <x v="1"/>
    <x v="2"/>
    <x v="1"/>
    <x v="3"/>
    <x v="1"/>
    <n v="1"/>
  </r>
  <r>
    <n v="714"/>
    <x v="1"/>
    <x v="0"/>
    <x v="5"/>
    <n v="3"/>
    <n v="35016.6"/>
    <x v="1"/>
    <s v="Yes"/>
    <x v="0"/>
    <n v="53667.08"/>
    <x v="1"/>
    <n v="0.2155504054811358"/>
    <s v="No"/>
    <n v="0"/>
    <n v="0"/>
    <x v="0"/>
    <x v="1"/>
    <x v="4"/>
    <x v="2"/>
    <x v="3"/>
    <n v="1"/>
  </r>
  <r>
    <n v="800"/>
    <x v="2"/>
    <x v="1"/>
    <x v="4"/>
    <n v="2"/>
    <n v="0"/>
    <x v="0"/>
    <s v="No"/>
    <x v="0"/>
    <n v="167773.55"/>
    <x v="1"/>
    <n v="0.12273667381683249"/>
    <s v="No"/>
    <n v="0"/>
    <n v="0"/>
    <x v="1"/>
    <x v="2"/>
    <x v="1"/>
    <x v="2"/>
    <x v="1"/>
    <n v="1"/>
  </r>
  <r>
    <n v="516"/>
    <x v="2"/>
    <x v="0"/>
    <x v="22"/>
    <n v="10"/>
    <n v="57369.61"/>
    <x v="1"/>
    <s v="Yes"/>
    <x v="1"/>
    <n v="101699.77"/>
    <x v="1"/>
    <n v="5.0272941261780571E-2"/>
    <s v="No"/>
    <n v="0"/>
    <n v="0"/>
    <x v="1"/>
    <x v="1"/>
    <x v="2"/>
    <x v="1"/>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E3DAB3-7749-0444-AAE4-42F8DDABA93B}"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 Of Products">
  <location ref="A31:C36" firstHeaderRow="0" firstDataRow="1" firstDataCol="1"/>
  <pivotFields count="21">
    <pivotField showAll="0"/>
    <pivotField showAll="0">
      <items count="4">
        <item x="2"/>
        <item x="1"/>
        <item x="0"/>
        <item t="default"/>
      </items>
    </pivotField>
    <pivotField showAll="0">
      <items count="3">
        <item x="1"/>
        <item x="0"/>
        <item t="default"/>
      </items>
    </pivotField>
    <pivotField showAll="0"/>
    <pivotField showAll="0"/>
    <pivotField showAll="0"/>
    <pivotField axis="axisRow" showAll="0">
      <items count="5">
        <item x="1"/>
        <item x="0"/>
        <item x="2"/>
        <item x="3"/>
        <item t="default"/>
      </items>
    </pivotField>
    <pivotField showAll="0"/>
    <pivotField showAll="0">
      <items count="3">
        <item x="0"/>
        <item x="1"/>
        <item t="default"/>
      </items>
    </pivotField>
    <pivotField showAll="0"/>
    <pivotField showAll="0">
      <items count="3">
        <item x="1"/>
        <item x="0"/>
        <item t="default"/>
      </items>
    </pivotField>
    <pivotField dataField="1" showAll="0"/>
    <pivotField showAll="0"/>
    <pivotField dataField="1" showAll="0"/>
    <pivotField showAll="0"/>
    <pivotField showAll="0">
      <items count="4">
        <item x="2"/>
        <item x="1"/>
        <item x="0"/>
        <item t="default"/>
      </items>
    </pivotField>
    <pivotField showAll="0">
      <items count="7">
        <item x="2"/>
        <item x="1"/>
        <item x="0"/>
        <item x="3"/>
        <item x="4"/>
        <item h="1" x="5"/>
        <item t="default"/>
      </items>
    </pivotField>
    <pivotField showAll="0"/>
    <pivotField showAll="0"/>
    <pivotField showAll="0"/>
    <pivotField showAll="0"/>
  </pivotFields>
  <rowFields count="1">
    <field x="6"/>
  </rowFields>
  <rowItems count="5">
    <i>
      <x/>
    </i>
    <i>
      <x v="1"/>
    </i>
    <i>
      <x v="2"/>
    </i>
    <i>
      <x v="3"/>
    </i>
    <i t="grand">
      <x/>
    </i>
  </rowItems>
  <colFields count="1">
    <field x="-2"/>
  </colFields>
  <colItems count="2">
    <i>
      <x/>
    </i>
    <i i="1">
      <x v="1"/>
    </i>
  </colItems>
  <dataFields count="2">
    <dataField name="Actual Churn Rate" fld="13" subtotal="average" baseField="0" baseItem="0"/>
    <dataField name="Average Predicted Churn Probability" fld="11" subtotal="average" baseField="0" baseItem="0"/>
  </dataFields>
  <formats count="20">
    <format dxfId="4018">
      <pivotArea type="all" dataOnly="0" outline="0" fieldPosition="0"/>
    </format>
    <format dxfId="4019">
      <pivotArea outline="0" collapsedLevelsAreSubtotals="1" fieldPosition="0"/>
    </format>
    <format dxfId="4020">
      <pivotArea field="6" type="button" dataOnly="0" labelOnly="1" outline="0" axis="axisRow" fieldPosition="0"/>
    </format>
    <format dxfId="4021">
      <pivotArea dataOnly="0" labelOnly="1" fieldPosition="0">
        <references count="1">
          <reference field="6" count="0"/>
        </references>
      </pivotArea>
    </format>
    <format dxfId="4022">
      <pivotArea dataOnly="0" labelOnly="1" grandRow="1" outline="0" fieldPosition="0"/>
    </format>
    <format dxfId="4023">
      <pivotArea dataOnly="0" labelOnly="1" outline="0" fieldPosition="0">
        <references count="1">
          <reference field="4294967294" count="2">
            <x v="0"/>
            <x v="1"/>
          </reference>
        </references>
      </pivotArea>
    </format>
    <format dxfId="4024">
      <pivotArea collapsedLevelsAreSubtotals="1" fieldPosition="0">
        <references count="1">
          <reference field="6" count="0"/>
        </references>
      </pivotArea>
    </format>
    <format dxfId="4025">
      <pivotArea dataOnly="0" labelOnly="1" fieldPosition="0">
        <references count="1">
          <reference field="6" count="0"/>
        </references>
      </pivotArea>
    </format>
    <format dxfId="4026">
      <pivotArea collapsedLevelsAreSubtotals="1" fieldPosition="0">
        <references count="2">
          <reference field="4294967294" count="1" selected="0">
            <x v="0"/>
          </reference>
          <reference field="6" count="0"/>
        </references>
      </pivotArea>
    </format>
    <format dxfId="4027">
      <pivotArea collapsedLevelsAreSubtotals="1" fieldPosition="0">
        <references count="2">
          <reference field="4294967294" count="1" selected="0">
            <x v="1"/>
          </reference>
          <reference field="6" count="0"/>
        </references>
      </pivotArea>
    </format>
    <format dxfId="4028">
      <pivotArea type="all" dataOnly="0" outline="0" fieldPosition="0"/>
    </format>
    <format dxfId="4029">
      <pivotArea outline="0" collapsedLevelsAreSubtotals="1" fieldPosition="0"/>
    </format>
    <format dxfId="4030">
      <pivotArea field="6" type="button" dataOnly="0" labelOnly="1" outline="0" axis="axisRow" fieldPosition="0"/>
    </format>
    <format dxfId="4031">
      <pivotArea dataOnly="0" labelOnly="1" fieldPosition="0">
        <references count="1">
          <reference field="6" count="0"/>
        </references>
      </pivotArea>
    </format>
    <format dxfId="4032">
      <pivotArea dataOnly="0" labelOnly="1" grandRow="1" outline="0" fieldPosition="0"/>
    </format>
    <format dxfId="4033">
      <pivotArea dataOnly="0" labelOnly="1" outline="0" fieldPosition="0">
        <references count="1">
          <reference field="4294967294" count="2">
            <x v="0"/>
            <x v="1"/>
          </reference>
        </references>
      </pivotArea>
    </format>
    <format dxfId="4034">
      <pivotArea field="6" type="button" dataOnly="0" labelOnly="1" outline="0" axis="axisRow" fieldPosition="0"/>
    </format>
    <format dxfId="4035">
      <pivotArea dataOnly="0" labelOnly="1" outline="0" fieldPosition="0">
        <references count="1">
          <reference field="4294967294" count="2">
            <x v="0"/>
            <x v="1"/>
          </reference>
        </references>
      </pivotArea>
    </format>
    <format dxfId="4036">
      <pivotArea field="6" type="button" dataOnly="0" labelOnly="1" outline="0" axis="axisRow" fieldPosition="0"/>
    </format>
    <format dxfId="4037">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BE5FDA-BB05-CF43-82DB-45DBD2098878}"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ctive Status">
  <location ref="F20:H23" firstHeaderRow="0" firstDataRow="1" firstDataCol="1"/>
  <pivotFields count="21">
    <pivotField showAll="0"/>
    <pivotField showAll="0">
      <items count="4">
        <item x="2"/>
        <item x="1"/>
        <item x="0"/>
        <item t="default"/>
      </items>
    </pivotField>
    <pivotField showAll="0">
      <items count="3">
        <item x="1"/>
        <item x="0"/>
        <item t="default"/>
      </items>
    </pivotField>
    <pivotField showAll="0"/>
    <pivotField showAll="0"/>
    <pivotField showAll="0"/>
    <pivotField showAll="0">
      <items count="5">
        <item x="1"/>
        <item x="0"/>
        <item x="2"/>
        <item x="3"/>
        <item t="default"/>
      </items>
    </pivotField>
    <pivotField showAll="0"/>
    <pivotField axis="axisRow" showAll="0">
      <items count="3">
        <item x="0"/>
        <item x="1"/>
        <item t="default"/>
      </items>
    </pivotField>
    <pivotField showAll="0"/>
    <pivotField showAll="0">
      <items count="3">
        <item x="1"/>
        <item x="0"/>
        <item t="default"/>
      </items>
    </pivotField>
    <pivotField dataField="1" showAll="0"/>
    <pivotField showAll="0"/>
    <pivotField dataField="1" showAll="0"/>
    <pivotField showAll="0"/>
    <pivotField showAll="0">
      <items count="4">
        <item x="2"/>
        <item x="1"/>
        <item x="0"/>
        <item t="default"/>
      </items>
    </pivotField>
    <pivotField showAll="0">
      <items count="7">
        <item x="2"/>
        <item x="1"/>
        <item x="0"/>
        <item x="3"/>
        <item x="4"/>
        <item h="1" x="5"/>
        <item t="default"/>
      </items>
    </pivotField>
    <pivotField showAll="0"/>
    <pivotField showAll="0"/>
    <pivotField showAll="0"/>
    <pivotField showAll="0"/>
  </pivotFields>
  <rowFields count="1">
    <field x="8"/>
  </rowFields>
  <rowItems count="3">
    <i>
      <x/>
    </i>
    <i>
      <x v="1"/>
    </i>
    <i t="grand">
      <x/>
    </i>
  </rowItems>
  <colFields count="1">
    <field x="-2"/>
  </colFields>
  <colItems count="2">
    <i>
      <x/>
    </i>
    <i i="1">
      <x v="1"/>
    </i>
  </colItems>
  <dataFields count="2">
    <dataField name="Actual Churn Rate" fld="13" subtotal="average" baseField="0" baseItem="0" numFmtId="9"/>
    <dataField name="Average Predicted Churn Probability" fld="11" subtotal="average" baseField="0" baseItem="0" numFmtId="9"/>
  </dataFields>
  <formats count="16">
    <format dxfId="4002">
      <pivotArea type="all" dataOnly="0" outline="0" fieldPosition="0"/>
    </format>
    <format dxfId="4003">
      <pivotArea outline="0" collapsedLevelsAreSubtotals="1" fieldPosition="0"/>
    </format>
    <format dxfId="4004">
      <pivotArea field="8" type="button" dataOnly="0" labelOnly="1" outline="0" axis="axisRow" fieldPosition="0"/>
    </format>
    <format dxfId="4005">
      <pivotArea dataOnly="0" labelOnly="1" fieldPosition="0">
        <references count="1">
          <reference field="8" count="0"/>
        </references>
      </pivotArea>
    </format>
    <format dxfId="4006">
      <pivotArea dataOnly="0" labelOnly="1" grandRow="1" outline="0" fieldPosition="0"/>
    </format>
    <format dxfId="4007">
      <pivotArea dataOnly="0" labelOnly="1" outline="0" fieldPosition="0">
        <references count="1">
          <reference field="4294967294" count="2">
            <x v="0"/>
            <x v="1"/>
          </reference>
        </references>
      </pivotArea>
    </format>
    <format dxfId="4008">
      <pivotArea outline="0" collapsedLevelsAreSubtotals="1" fieldPosition="0">
        <references count="1">
          <reference field="4294967294" count="1" selected="0">
            <x v="0"/>
          </reference>
        </references>
      </pivotArea>
    </format>
    <format dxfId="4009">
      <pivotArea outline="0" collapsedLevelsAreSubtotals="1" fieldPosition="0">
        <references count="1">
          <reference field="4294967294" count="1" selected="0">
            <x v="1"/>
          </reference>
        </references>
      </pivotArea>
    </format>
    <format dxfId="4010">
      <pivotArea collapsedLevelsAreSubtotals="1" fieldPosition="0">
        <references count="1">
          <reference field="8" count="0"/>
        </references>
      </pivotArea>
    </format>
    <format dxfId="4011">
      <pivotArea dataOnly="0" labelOnly="1" fieldPosition="0">
        <references count="1">
          <reference field="8" count="0"/>
        </references>
      </pivotArea>
    </format>
    <format dxfId="4012">
      <pivotArea type="all" dataOnly="0" outline="0" fieldPosition="0"/>
    </format>
    <format dxfId="4013">
      <pivotArea outline="0" collapsedLevelsAreSubtotals="1" fieldPosition="0"/>
    </format>
    <format dxfId="4014">
      <pivotArea field="8" type="button" dataOnly="0" labelOnly="1" outline="0" axis="axisRow" fieldPosition="0"/>
    </format>
    <format dxfId="4015">
      <pivotArea dataOnly="0" labelOnly="1" fieldPosition="0">
        <references count="1">
          <reference field="8" count="0"/>
        </references>
      </pivotArea>
    </format>
    <format dxfId="4016">
      <pivotArea dataOnly="0" labelOnly="1" grandRow="1" outline="0" fieldPosition="0"/>
    </format>
    <format dxfId="4017">
      <pivotArea dataOnly="0" labelOnly="1" outline="0" fieldPosition="0">
        <references count="1">
          <reference field="4294967294" count="2">
            <x v="0"/>
            <x v="1"/>
          </reference>
        </references>
      </pivotArea>
    </format>
  </formats>
  <chartFormats count="2">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DC8633-7A01-484D-9834-AA909525B46D}"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ge Range">
  <location ref="A20:C26" firstHeaderRow="0" firstDataRow="1" firstDataCol="1"/>
  <pivotFields count="21">
    <pivotField showAll="0"/>
    <pivotField showAll="0">
      <items count="4">
        <item x="2"/>
        <item x="1"/>
        <item x="0"/>
        <item t="default"/>
      </items>
    </pivotField>
    <pivotField showAll="0">
      <items count="3">
        <item x="1"/>
        <item x="0"/>
        <item t="default"/>
      </items>
    </pivotField>
    <pivotField showAll="0">
      <items count="67">
        <item x="51"/>
        <item x="63"/>
        <item x="58"/>
        <item x="13"/>
        <item x="15"/>
        <item x="34"/>
        <item x="23"/>
        <item x="36"/>
        <item x="27"/>
        <item x="29"/>
        <item x="17"/>
        <item x="4"/>
        <item x="24"/>
        <item x="18"/>
        <item x="25"/>
        <item x="5"/>
        <item x="19"/>
        <item x="22"/>
        <item x="28"/>
        <item x="11"/>
        <item x="2"/>
        <item x="10"/>
        <item x="21"/>
        <item x="6"/>
        <item x="3"/>
        <item x="12"/>
        <item x="0"/>
        <item x="1"/>
        <item x="16"/>
        <item x="35"/>
        <item x="20"/>
        <item x="9"/>
        <item x="32"/>
        <item x="7"/>
        <item x="42"/>
        <item x="38"/>
        <item x="49"/>
        <item x="45"/>
        <item x="47"/>
        <item x="26"/>
        <item x="50"/>
        <item x="31"/>
        <item x="37"/>
        <item x="8"/>
        <item x="33"/>
        <item x="52"/>
        <item x="54"/>
        <item x="53"/>
        <item x="41"/>
        <item x="46"/>
        <item x="44"/>
        <item x="48"/>
        <item x="39"/>
        <item x="60"/>
        <item x="59"/>
        <item x="55"/>
        <item x="40"/>
        <item x="14"/>
        <item x="43"/>
        <item x="65"/>
        <item x="64"/>
        <item x="62"/>
        <item x="30"/>
        <item x="61"/>
        <item x="57"/>
        <item x="56"/>
        <item t="default"/>
      </items>
    </pivotField>
    <pivotField showAll="0"/>
    <pivotField showAll="0"/>
    <pivotField showAll="0">
      <items count="5">
        <item x="1"/>
        <item x="0"/>
        <item x="2"/>
        <item x="3"/>
        <item t="default"/>
      </items>
    </pivotField>
    <pivotField showAll="0"/>
    <pivotField showAll="0">
      <items count="3">
        <item x="0"/>
        <item x="1"/>
        <item t="default"/>
      </items>
    </pivotField>
    <pivotField showAll="0"/>
    <pivotField showAll="0">
      <items count="3">
        <item x="1"/>
        <item x="0"/>
        <item t="default"/>
      </items>
    </pivotField>
    <pivotField dataField="1" showAll="0"/>
    <pivotField showAll="0"/>
    <pivotField dataField="1" showAll="0"/>
    <pivotField showAll="0"/>
    <pivotField showAll="0">
      <items count="4">
        <item x="2"/>
        <item x="1"/>
        <item x="0"/>
        <item t="default"/>
      </items>
    </pivotField>
    <pivotField axis="axisRow" showAll="0">
      <items count="7">
        <item x="2"/>
        <item x="1"/>
        <item x="0"/>
        <item x="3"/>
        <item x="4"/>
        <item h="1" x="5"/>
        <item t="default"/>
      </items>
    </pivotField>
    <pivotField showAll="0"/>
    <pivotField showAll="0"/>
    <pivotField showAll="0"/>
    <pivotField showAll="0"/>
  </pivotFields>
  <rowFields count="1">
    <field x="16"/>
  </rowFields>
  <rowItems count="6">
    <i>
      <x/>
    </i>
    <i>
      <x v="1"/>
    </i>
    <i>
      <x v="2"/>
    </i>
    <i>
      <x v="3"/>
    </i>
    <i>
      <x v="4"/>
    </i>
    <i t="grand">
      <x/>
    </i>
  </rowItems>
  <colFields count="1">
    <field x="-2"/>
  </colFields>
  <colItems count="2">
    <i>
      <x/>
    </i>
    <i i="1">
      <x v="1"/>
    </i>
  </colItems>
  <dataFields count="2">
    <dataField name="Actual Churn Rate" fld="11" subtotal="average" baseField="0" baseItem="0"/>
    <dataField name="Average Predicted Churn Probability" fld="13" subtotal="average" baseField="0" baseItem="0"/>
  </dataFields>
  <formats count="15">
    <format dxfId="3509">
      <pivotArea collapsedLevelsAreSubtotals="1" fieldPosition="0">
        <references count="1">
          <reference field="16" count="0"/>
        </references>
      </pivotArea>
    </format>
    <format dxfId="3510">
      <pivotArea field="16" type="button" dataOnly="0" labelOnly="1" outline="0" axis="axisRow" fieldPosition="0"/>
    </format>
    <format dxfId="3511">
      <pivotArea dataOnly="0" labelOnly="1" outline="0" fieldPosition="0">
        <references count="1">
          <reference field="4294967294" count="2">
            <x v="0"/>
            <x v="1"/>
          </reference>
        </references>
      </pivotArea>
    </format>
    <format dxfId="3512">
      <pivotArea dataOnly="0" fieldPosition="0">
        <references count="1">
          <reference field="16" count="0"/>
        </references>
      </pivotArea>
    </format>
    <format dxfId="3513">
      <pivotArea grandRow="1" outline="0" collapsedLevelsAreSubtotals="1" fieldPosition="0"/>
    </format>
    <format dxfId="3514">
      <pivotArea dataOnly="0" labelOnly="1" grandRow="1" outline="0" fieldPosition="0"/>
    </format>
    <format dxfId="3515">
      <pivotArea field="16" type="button" dataOnly="0" labelOnly="1" outline="0" axis="axisRow" fieldPosition="0"/>
    </format>
    <format dxfId="3516">
      <pivotArea dataOnly="0" labelOnly="1" outline="0" fieldPosition="0">
        <references count="1">
          <reference field="4294967294" count="2">
            <x v="0"/>
            <x v="1"/>
          </reference>
        </references>
      </pivotArea>
    </format>
    <format dxfId="3517">
      <pivotArea dataOnly="0" labelOnly="1" outline="0" fieldPosition="0">
        <references count="1">
          <reference field="4294967294" count="1">
            <x v="1"/>
          </reference>
        </references>
      </pivotArea>
    </format>
    <format dxfId="3518">
      <pivotArea type="all" dataOnly="0" outline="0" fieldPosition="0"/>
    </format>
    <format dxfId="3519">
      <pivotArea outline="0" collapsedLevelsAreSubtotals="1" fieldPosition="0"/>
    </format>
    <format dxfId="3520">
      <pivotArea field="16" type="button" dataOnly="0" labelOnly="1" outline="0" axis="axisRow" fieldPosition="0"/>
    </format>
    <format dxfId="3521">
      <pivotArea dataOnly="0" labelOnly="1" fieldPosition="0">
        <references count="1">
          <reference field="16" count="0"/>
        </references>
      </pivotArea>
    </format>
    <format dxfId="3522">
      <pivotArea dataOnly="0" labelOnly="1" grandRow="1" outline="0" fieldPosition="0"/>
    </format>
    <format dxfId="3523">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871724-D3FE-1843-8C85-F6DA524F063C}"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redit Score Group">
  <location ref="F40:I46" firstHeaderRow="0" firstDataRow="1" firstDataCol="1"/>
  <pivotFields count="21">
    <pivotField showAll="0"/>
    <pivotField showAll="0">
      <items count="4">
        <item x="2"/>
        <item x="1"/>
        <item x="0"/>
        <item t="default"/>
      </items>
    </pivotField>
    <pivotField showAll="0">
      <items count="3">
        <item x="1"/>
        <item x="0"/>
        <item t="default"/>
      </items>
    </pivotField>
    <pivotField showAll="0"/>
    <pivotField showAll="0"/>
    <pivotField showAll="0"/>
    <pivotField showAll="0">
      <items count="5">
        <item x="1"/>
        <item x="0"/>
        <item x="2"/>
        <item x="3"/>
        <item t="default"/>
      </items>
    </pivotField>
    <pivotField showAll="0"/>
    <pivotField showAll="0">
      <items count="3">
        <item x="0"/>
        <item x="1"/>
        <item t="default"/>
      </items>
    </pivotField>
    <pivotField showAll="0"/>
    <pivotField dataField="1" showAll="0">
      <items count="3">
        <item x="1"/>
        <item x="0"/>
        <item t="default"/>
      </items>
    </pivotField>
    <pivotField dataField="1" showAll="0"/>
    <pivotField showAll="0"/>
    <pivotField dataField="1" showAll="0"/>
    <pivotField showAll="0"/>
    <pivotField showAll="0">
      <items count="4">
        <item x="2"/>
        <item x="1"/>
        <item x="0"/>
        <item t="default"/>
      </items>
    </pivotField>
    <pivotField showAll="0">
      <items count="7">
        <item x="2"/>
        <item x="1"/>
        <item x="0"/>
        <item x="3"/>
        <item x="4"/>
        <item h="1" x="5"/>
        <item t="default"/>
      </items>
    </pivotField>
    <pivotField showAll="0"/>
    <pivotField axis="axisRow" showAll="0">
      <items count="6">
        <item x="1"/>
        <item x="4"/>
        <item x="0"/>
        <item x="2"/>
        <item x="3"/>
        <item t="default"/>
      </items>
    </pivotField>
    <pivotField showAll="0"/>
    <pivotField showAll="0"/>
  </pivotFields>
  <rowFields count="1">
    <field x="18"/>
  </rowFields>
  <rowItems count="6">
    <i>
      <x/>
    </i>
    <i>
      <x v="1"/>
    </i>
    <i>
      <x v="2"/>
    </i>
    <i>
      <x v="3"/>
    </i>
    <i>
      <x v="4"/>
    </i>
    <i t="grand">
      <x/>
    </i>
  </rowItems>
  <colFields count="1">
    <field x="-2"/>
  </colFields>
  <colItems count="3">
    <i>
      <x/>
    </i>
    <i i="1">
      <x v="1"/>
    </i>
    <i i="2">
      <x v="2"/>
    </i>
  </colItems>
  <dataFields count="3">
    <dataField name="Actual Churn Rate" fld="11" subtotal="average" baseField="0" baseItem="0"/>
    <dataField name="Average Predicted Churn Probability" fld="13" subtotal="average" baseField="0" baseItem="0"/>
    <dataField name="Customer Count" fld="10" subtotal="count" baseField="0" baseItem="0"/>
  </dataFields>
  <formats count="14">
    <format dxfId="3988">
      <pivotArea type="all" dataOnly="0" outline="0" fieldPosition="0"/>
    </format>
    <format dxfId="3989">
      <pivotArea outline="0" collapsedLevelsAreSubtotals="1" fieldPosition="0"/>
    </format>
    <format dxfId="3990">
      <pivotArea field="18" type="button" dataOnly="0" labelOnly="1" outline="0" axis="axisRow" fieldPosition="0"/>
    </format>
    <format dxfId="3991">
      <pivotArea dataOnly="0" labelOnly="1" fieldPosition="0">
        <references count="1">
          <reference field="18" count="0"/>
        </references>
      </pivotArea>
    </format>
    <format dxfId="3992">
      <pivotArea dataOnly="0" labelOnly="1" grandRow="1" outline="0" fieldPosition="0"/>
    </format>
    <format dxfId="3993">
      <pivotArea dataOnly="0" labelOnly="1" outline="0" fieldPosition="0">
        <references count="1">
          <reference field="4294967294" count="3">
            <x v="0"/>
            <x v="1"/>
            <x v="2"/>
          </reference>
        </references>
      </pivotArea>
    </format>
    <format dxfId="3994">
      <pivotArea dataOnly="0" fieldPosition="0">
        <references count="1">
          <reference field="18" count="0"/>
        </references>
      </pivotArea>
    </format>
    <format dxfId="3995">
      <pivotArea collapsedLevelsAreSubtotals="1" fieldPosition="0">
        <references count="2">
          <reference field="4294967294" count="2" selected="0">
            <x v="0"/>
            <x v="1"/>
          </reference>
          <reference field="18" count="0"/>
        </references>
      </pivotArea>
    </format>
    <format dxfId="3996">
      <pivotArea type="all" dataOnly="0" outline="0" fieldPosition="0"/>
    </format>
    <format dxfId="3997">
      <pivotArea outline="0" collapsedLevelsAreSubtotals="1" fieldPosition="0"/>
    </format>
    <format dxfId="3998">
      <pivotArea field="18" type="button" dataOnly="0" labelOnly="1" outline="0" axis="axisRow" fieldPosition="0"/>
    </format>
    <format dxfId="3999">
      <pivotArea dataOnly="0" labelOnly="1" fieldPosition="0">
        <references count="1">
          <reference field="18" count="0"/>
        </references>
      </pivotArea>
    </format>
    <format dxfId="4000">
      <pivotArea dataOnly="0" labelOnly="1" grandRow="1" outline="0" fieldPosition="0"/>
    </format>
    <format dxfId="400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D7A3E7-8147-C048-9670-09314196BD12}"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Gender">
  <location ref="H11:I14" firstHeaderRow="1" firstDataRow="1" firstDataCol="1"/>
  <pivotFields count="21">
    <pivotField showAll="0"/>
    <pivotField showAll="0">
      <items count="4">
        <item x="2"/>
        <item x="1"/>
        <item x="0"/>
        <item t="default"/>
      </items>
    </pivotField>
    <pivotField axis="axisRow" showAll="0">
      <items count="3">
        <item x="1"/>
        <item x="0"/>
        <item t="default"/>
      </items>
    </pivotField>
    <pivotField showAll="0"/>
    <pivotField showAll="0"/>
    <pivotField showAll="0"/>
    <pivotField showAll="0">
      <items count="5">
        <item x="1"/>
        <item x="0"/>
        <item x="2"/>
        <item x="3"/>
        <item t="default"/>
      </items>
    </pivotField>
    <pivotField showAll="0"/>
    <pivotField showAll="0">
      <items count="3">
        <item x="0"/>
        <item x="1"/>
        <item t="default"/>
      </items>
    </pivotField>
    <pivotField showAll="0"/>
    <pivotField showAll="0">
      <items count="3">
        <item x="1"/>
        <item x="0"/>
        <item t="default"/>
      </items>
    </pivotField>
    <pivotField showAll="0"/>
    <pivotField showAll="0"/>
    <pivotField dataField="1" showAll="0"/>
    <pivotField showAll="0"/>
    <pivotField showAll="0">
      <items count="4">
        <item x="2"/>
        <item x="1"/>
        <item x="0"/>
        <item t="default"/>
      </items>
    </pivotField>
    <pivotField showAll="0">
      <items count="7">
        <item x="2"/>
        <item x="1"/>
        <item x="0"/>
        <item x="3"/>
        <item x="4"/>
        <item h="1" x="5"/>
        <item t="default"/>
      </items>
    </pivotField>
    <pivotField showAll="0"/>
    <pivotField showAll="0"/>
    <pivotField showAll="0"/>
    <pivotField showAll="0"/>
  </pivotFields>
  <rowFields count="1">
    <field x="2"/>
  </rowFields>
  <rowItems count="3">
    <i>
      <x/>
    </i>
    <i>
      <x v="1"/>
    </i>
    <i t="grand">
      <x/>
    </i>
  </rowItems>
  <colItems count="1">
    <i/>
  </colItems>
  <dataFields count="1">
    <dataField name="Churn Rate" fld="13" subtotal="average" baseField="0" baseItem="0"/>
  </dataFields>
  <formats count="15">
    <format dxfId="3973">
      <pivotArea type="all" dataOnly="0" outline="0" fieldPosition="0"/>
    </format>
    <format dxfId="3974">
      <pivotArea outline="0" collapsedLevelsAreSubtotals="1" fieldPosition="0"/>
    </format>
    <format dxfId="3975">
      <pivotArea field="2" type="button" dataOnly="0" labelOnly="1" outline="0" axis="axisRow" fieldPosition="0"/>
    </format>
    <format dxfId="3976">
      <pivotArea dataOnly="0" labelOnly="1" fieldPosition="0">
        <references count="1">
          <reference field="2" count="0"/>
        </references>
      </pivotArea>
    </format>
    <format dxfId="3977">
      <pivotArea dataOnly="0" labelOnly="1" grandRow="1" outline="0" fieldPosition="0"/>
    </format>
    <format dxfId="3978">
      <pivotArea dataOnly="0" labelOnly="1" outline="0" fieldPosition="0">
        <references count="1">
          <reference field="4294967294" count="1">
            <x v="0"/>
          </reference>
        </references>
      </pivotArea>
    </format>
    <format dxfId="3979">
      <pivotArea dataOnly="0" outline="0" fieldPosition="0">
        <references count="1">
          <reference field="4294967294" count="1">
            <x v="0"/>
          </reference>
        </references>
      </pivotArea>
    </format>
    <format dxfId="3980">
      <pivotArea type="all" dataOnly="0" outline="0" fieldPosition="0"/>
    </format>
    <format dxfId="3981">
      <pivotArea outline="0" collapsedLevelsAreSubtotals="1" fieldPosition="0"/>
    </format>
    <format dxfId="3982">
      <pivotArea field="2" type="button" dataOnly="0" labelOnly="1" outline="0" axis="axisRow" fieldPosition="0"/>
    </format>
    <format dxfId="3983">
      <pivotArea dataOnly="0" labelOnly="1" fieldPosition="0">
        <references count="1">
          <reference field="2" count="0"/>
        </references>
      </pivotArea>
    </format>
    <format dxfId="3984">
      <pivotArea dataOnly="0" labelOnly="1" grandRow="1" outline="0" fieldPosition="0"/>
    </format>
    <format dxfId="3985">
      <pivotArea dataOnly="0" labelOnly="1" outline="0" fieldPosition="0">
        <references count="1">
          <reference field="4294967294" count="1">
            <x v="0"/>
          </reference>
        </references>
      </pivotArea>
    </format>
    <format dxfId="3986">
      <pivotArea dataOnly="0" fieldPosition="0">
        <references count="1">
          <reference field="2" count="0"/>
        </references>
      </pivotArea>
    </format>
    <format dxfId="3987">
      <pivotArea collapsedLevelsAreSubtotals="1" fieldPosition="0">
        <references count="2">
          <reference field="4294967294" count="1" selected="0">
            <x v="0"/>
          </reference>
          <reference field="2" count="0"/>
        </references>
      </pivotArea>
    </format>
  </formats>
  <chartFormats count="3">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4DEF91-C0D9-7B45-AF4E-7DF7601CBA08}"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Balance Group">
  <location ref="A40:C46" firstHeaderRow="0" firstDataRow="1" firstDataCol="1"/>
  <pivotFields count="21">
    <pivotField showAll="0"/>
    <pivotField showAll="0">
      <items count="4">
        <item x="2"/>
        <item x="1"/>
        <item x="0"/>
        <item t="default"/>
      </items>
    </pivotField>
    <pivotField showAll="0">
      <items count="3">
        <item x="1"/>
        <item x="0"/>
        <item t="default"/>
      </items>
    </pivotField>
    <pivotField showAll="0"/>
    <pivotField showAll="0"/>
    <pivotField showAll="0"/>
    <pivotField showAll="0">
      <items count="5">
        <item x="1"/>
        <item x="0"/>
        <item x="2"/>
        <item x="3"/>
        <item t="default"/>
      </items>
    </pivotField>
    <pivotField showAll="0"/>
    <pivotField showAll="0">
      <items count="3">
        <item x="0"/>
        <item x="1"/>
        <item t="default"/>
      </items>
    </pivotField>
    <pivotField showAll="0"/>
    <pivotField showAll="0">
      <items count="3">
        <item x="1"/>
        <item x="0"/>
        <item t="default"/>
      </items>
    </pivotField>
    <pivotField dataField="1" showAll="0"/>
    <pivotField showAll="0"/>
    <pivotField dataField="1" showAll="0"/>
    <pivotField showAll="0"/>
    <pivotField showAll="0">
      <items count="4">
        <item x="2"/>
        <item x="1"/>
        <item x="0"/>
        <item t="default"/>
      </items>
    </pivotField>
    <pivotField showAll="0">
      <items count="7">
        <item x="2"/>
        <item x="1"/>
        <item x="0"/>
        <item x="3"/>
        <item x="4"/>
        <item h="1" x="5"/>
        <item t="default"/>
      </items>
    </pivotField>
    <pivotField axis="axisRow" showAll="0">
      <items count="6">
        <item x="1"/>
        <item x="4"/>
        <item x="2"/>
        <item x="0"/>
        <item x="3"/>
        <item t="default"/>
      </items>
    </pivotField>
    <pivotField showAll="0"/>
    <pivotField showAll="0"/>
    <pivotField showAll="0"/>
  </pivotFields>
  <rowFields count="1">
    <field x="17"/>
  </rowFields>
  <rowItems count="6">
    <i>
      <x/>
    </i>
    <i>
      <x v="1"/>
    </i>
    <i>
      <x v="2"/>
    </i>
    <i>
      <x v="3"/>
    </i>
    <i>
      <x v="4"/>
    </i>
    <i t="grand">
      <x/>
    </i>
  </rowItems>
  <colFields count="1">
    <field x="-2"/>
  </colFields>
  <colItems count="2">
    <i>
      <x/>
    </i>
    <i i="1">
      <x v="1"/>
    </i>
  </colItems>
  <dataFields count="2">
    <dataField name="Actual Churn Rate" fld="13" subtotal="average" baseField="0" baseItem="0" numFmtId="9"/>
    <dataField name="Average Predicted Churn Probability" fld="11" subtotal="average" baseField="0" baseItem="0" numFmtId="9"/>
  </dataFields>
  <formats count="23">
    <format dxfId="3951">
      <pivotArea type="all" dataOnly="0" outline="0" fieldPosition="0"/>
    </format>
    <format dxfId="3952">
      <pivotArea outline="0" collapsedLevelsAreSubtotals="1" fieldPosition="0"/>
    </format>
    <format dxfId="3953">
      <pivotArea field="6" type="button" dataOnly="0" labelOnly="1" outline="0"/>
    </format>
    <format dxfId="3954">
      <pivotArea dataOnly="0" labelOnly="1" grandRow="1" outline="0" fieldPosition="0"/>
    </format>
    <format dxfId="3955">
      <pivotArea dataOnly="0" labelOnly="1" outline="0" fieldPosition="0">
        <references count="1">
          <reference field="4294967294" count="2">
            <x v="0"/>
            <x v="1"/>
          </reference>
        </references>
      </pivotArea>
    </format>
    <format dxfId="3956">
      <pivotArea type="all" dataOnly="0" outline="0" fieldPosition="0"/>
    </format>
    <format dxfId="3957">
      <pivotArea outline="0" collapsedLevelsAreSubtotals="1" fieldPosition="0"/>
    </format>
    <format dxfId="3958">
      <pivotArea field="6" type="button" dataOnly="0" labelOnly="1" outline="0"/>
    </format>
    <format dxfId="3959">
      <pivotArea dataOnly="0" labelOnly="1" grandRow="1" outline="0" fieldPosition="0"/>
    </format>
    <format dxfId="3960">
      <pivotArea dataOnly="0" labelOnly="1" outline="0" fieldPosition="0">
        <references count="1">
          <reference field="4294967294" count="2">
            <x v="0"/>
            <x v="1"/>
          </reference>
        </references>
      </pivotArea>
    </format>
    <format dxfId="3961">
      <pivotArea field="6" type="button" dataOnly="0" labelOnly="1" outline="0"/>
    </format>
    <format dxfId="3962">
      <pivotArea dataOnly="0" labelOnly="1" outline="0" fieldPosition="0">
        <references count="1">
          <reference field="4294967294" count="2">
            <x v="0"/>
            <x v="1"/>
          </reference>
        </references>
      </pivotArea>
    </format>
    <format dxfId="3963">
      <pivotArea type="all" dataOnly="0" outline="0" fieldPosition="0"/>
    </format>
    <format dxfId="3964">
      <pivotArea outline="0" collapsedLevelsAreSubtotals="1" fieldPosition="0"/>
    </format>
    <format dxfId="3965">
      <pivotArea field="17" type="button" dataOnly="0" labelOnly="1" outline="0" axis="axisRow" fieldPosition="0"/>
    </format>
    <format dxfId="3966">
      <pivotArea dataOnly="0" labelOnly="1" fieldPosition="0">
        <references count="1">
          <reference field="17" count="0"/>
        </references>
      </pivotArea>
    </format>
    <format dxfId="3967">
      <pivotArea dataOnly="0" labelOnly="1" grandRow="1" outline="0" fieldPosition="0"/>
    </format>
    <format dxfId="3968">
      <pivotArea dataOnly="0" labelOnly="1" outline="0" fieldPosition="0">
        <references count="1">
          <reference field="4294967294" count="2">
            <x v="0"/>
            <x v="1"/>
          </reference>
        </references>
      </pivotArea>
    </format>
    <format dxfId="3969">
      <pivotArea dataOnly="0" fieldPosition="0">
        <references count="1">
          <reference field="17" count="1">
            <x v="0"/>
          </reference>
        </references>
      </pivotArea>
    </format>
    <format dxfId="3970">
      <pivotArea collapsedLevelsAreSubtotals="1" fieldPosition="0">
        <references count="1">
          <reference field="17" count="4">
            <x v="1"/>
            <x v="2"/>
            <x v="3"/>
            <x v="4"/>
          </reference>
        </references>
      </pivotArea>
    </format>
    <format dxfId="3971">
      <pivotArea outline="0" collapsedLevelsAreSubtotals="1" fieldPosition="0">
        <references count="1">
          <reference field="4294967294" count="1" selected="0">
            <x v="0"/>
          </reference>
        </references>
      </pivotArea>
    </format>
    <format dxfId="3972">
      <pivotArea outline="0" collapsedLevelsAreSubtotals="1" fieldPosition="0">
        <references count="1">
          <reference field="4294967294" count="1" selected="0">
            <x v="1"/>
          </reference>
        </references>
      </pivotArea>
    </format>
    <format dxfId="836">
      <pivotArea type="all" dataOnly="0" outline="0"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454F54-1E1E-5B4F-8E2F-2801E0112781}"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untry">
  <location ref="D11:E15" firstHeaderRow="1" firstDataRow="1" firstDataCol="1"/>
  <pivotFields count="21">
    <pivotField showAll="0"/>
    <pivotField axis="axisRow" showAll="0">
      <items count="4">
        <item x="2"/>
        <item x="1"/>
        <item x="0"/>
        <item t="default"/>
      </items>
    </pivotField>
    <pivotField showAll="0">
      <items count="3">
        <item x="1"/>
        <item x="0"/>
        <item t="default"/>
      </items>
    </pivotField>
    <pivotField showAll="0"/>
    <pivotField showAll="0"/>
    <pivotField showAll="0"/>
    <pivotField showAll="0">
      <items count="5">
        <item x="1"/>
        <item x="0"/>
        <item x="2"/>
        <item x="3"/>
        <item t="default"/>
      </items>
    </pivotField>
    <pivotField showAll="0"/>
    <pivotField showAll="0">
      <items count="3">
        <item x="0"/>
        <item x="1"/>
        <item t="default"/>
      </items>
    </pivotField>
    <pivotField showAll="0"/>
    <pivotField showAll="0">
      <items count="3">
        <item x="1"/>
        <item x="0"/>
        <item t="default"/>
      </items>
    </pivotField>
    <pivotField showAll="0"/>
    <pivotField showAll="0"/>
    <pivotField dataField="1" showAll="0"/>
    <pivotField showAll="0"/>
    <pivotField showAll="0">
      <items count="4">
        <item x="2"/>
        <item x="1"/>
        <item x="0"/>
        <item t="default"/>
      </items>
    </pivotField>
    <pivotField showAll="0">
      <items count="7">
        <item x="2"/>
        <item x="1"/>
        <item x="0"/>
        <item x="3"/>
        <item x="4"/>
        <item h="1" x="5"/>
        <item t="default"/>
      </items>
    </pivotField>
    <pivotField showAll="0"/>
    <pivotField showAll="0"/>
    <pivotField showAll="0"/>
    <pivotField showAll="0"/>
  </pivotFields>
  <rowFields count="1">
    <field x="1"/>
  </rowFields>
  <rowItems count="4">
    <i>
      <x/>
    </i>
    <i>
      <x v="1"/>
    </i>
    <i>
      <x v="2"/>
    </i>
    <i t="grand">
      <x/>
    </i>
  </rowItems>
  <colItems count="1">
    <i/>
  </colItems>
  <dataFields count="1">
    <dataField name="Churn Rate" fld="13" subtotal="average" baseField="0" baseItem="0"/>
  </dataFields>
  <formats count="22">
    <format dxfId="3930">
      <pivotArea collapsedLevelsAreSubtotals="1" fieldPosition="0">
        <references count="1">
          <reference field="1" count="0"/>
        </references>
      </pivotArea>
    </format>
    <format dxfId="3931">
      <pivotArea type="all" dataOnly="0" outline="0" fieldPosition="0"/>
    </format>
    <format dxfId="3932">
      <pivotArea outline="0" collapsedLevelsAreSubtotals="1" fieldPosition="0"/>
    </format>
    <format dxfId="3933">
      <pivotArea field="1" type="button" dataOnly="0" labelOnly="1" outline="0" axis="axisRow" fieldPosition="0"/>
    </format>
    <format dxfId="3934">
      <pivotArea dataOnly="0" labelOnly="1" fieldPosition="0">
        <references count="1">
          <reference field="1" count="0"/>
        </references>
      </pivotArea>
    </format>
    <format dxfId="3935">
      <pivotArea dataOnly="0" labelOnly="1" grandRow="1" outline="0" fieldPosition="0"/>
    </format>
    <format dxfId="3936">
      <pivotArea dataOnly="0" labelOnly="1" outline="0" fieldPosition="0">
        <references count="1">
          <reference field="4294967294" count="1">
            <x v="0"/>
          </reference>
        </references>
      </pivotArea>
    </format>
    <format dxfId="3937">
      <pivotArea field="1" type="button" dataOnly="0" labelOnly="1" outline="0" axis="axisRow" fieldPosition="0"/>
    </format>
    <format dxfId="3938">
      <pivotArea dataOnly="0" labelOnly="1" outline="0" fieldPosition="0">
        <references count="1">
          <reference field="4294967294" count="1">
            <x v="0"/>
          </reference>
        </references>
      </pivotArea>
    </format>
    <format dxfId="3939">
      <pivotArea collapsedLevelsAreSubtotals="1" fieldPosition="0">
        <references count="1">
          <reference field="1" count="0"/>
        </references>
      </pivotArea>
    </format>
    <format dxfId="3940">
      <pivotArea dataOnly="0" labelOnly="1" fieldPosition="0">
        <references count="1">
          <reference field="1" count="0"/>
        </references>
      </pivotArea>
    </format>
    <format dxfId="3941">
      <pivotArea grandRow="1" outline="0" collapsedLevelsAreSubtotals="1" fieldPosition="0"/>
    </format>
    <format dxfId="3942">
      <pivotArea dataOnly="0" labelOnly="1" grandRow="1" outline="0" fieldPosition="0"/>
    </format>
    <format dxfId="3943">
      <pivotArea field="1" grandRow="1" outline="0" collapsedLevelsAreSubtotals="1" axis="axisRow" fieldPosition="0">
        <references count="1">
          <reference field="4294967294" count="1" selected="0">
            <x v="0"/>
          </reference>
        </references>
      </pivotArea>
    </format>
    <format dxfId="3944">
      <pivotArea collapsedLevelsAreSubtotals="1" fieldPosition="0">
        <references count="2">
          <reference field="4294967294" count="1" selected="0">
            <x v="0"/>
          </reference>
          <reference field="1" count="0"/>
        </references>
      </pivotArea>
    </format>
    <format dxfId="3945">
      <pivotArea type="all" dataOnly="0" outline="0" fieldPosition="0"/>
    </format>
    <format dxfId="3946">
      <pivotArea outline="0" collapsedLevelsAreSubtotals="1" fieldPosition="0"/>
    </format>
    <format dxfId="3947">
      <pivotArea field="1" type="button" dataOnly="0" labelOnly="1" outline="0" axis="axisRow" fieldPosition="0"/>
    </format>
    <format dxfId="3948">
      <pivotArea dataOnly="0" labelOnly="1" fieldPosition="0">
        <references count="1">
          <reference field="1" count="0"/>
        </references>
      </pivotArea>
    </format>
    <format dxfId="3949">
      <pivotArea dataOnly="0" labelOnly="1" grandRow="1" outline="0" fieldPosition="0"/>
    </format>
    <format dxfId="3950">
      <pivotArea dataOnly="0" labelOnly="1" outline="0" fieldPosition="0">
        <references count="1">
          <reference field="4294967294" count="1">
            <x v="0"/>
          </reference>
        </references>
      </pivotArea>
    </format>
    <format dxfId="835">
      <pivotArea dataOnly="0" fieldPosition="0">
        <references count="1">
          <reference field="1" count="0"/>
        </references>
      </pivotArea>
    </format>
  </formats>
  <chartFormats count="2">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AFF8D7-5630-844B-BAA6-904BE8FE0D55}"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B14" firstHeaderRow="1" firstDataRow="1" firstDataCol="1"/>
  <pivotFields count="21">
    <pivotField showAll="0"/>
    <pivotField showAll="0">
      <items count="4">
        <item x="2"/>
        <item x="1"/>
        <item x="0"/>
        <item t="default"/>
      </items>
    </pivotField>
    <pivotField showAll="0">
      <items count="3">
        <item x="1"/>
        <item x="0"/>
        <item t="default"/>
      </items>
    </pivotField>
    <pivotField showAll="0"/>
    <pivotField showAll="0"/>
    <pivotField showAll="0"/>
    <pivotField showAll="0">
      <items count="5">
        <item x="1"/>
        <item x="0"/>
        <item x="2"/>
        <item x="3"/>
        <item t="default"/>
      </items>
    </pivotField>
    <pivotField showAll="0"/>
    <pivotField showAll="0">
      <items count="3">
        <item x="0"/>
        <item x="1"/>
        <item t="default"/>
      </items>
    </pivotField>
    <pivotField showAll="0"/>
    <pivotField axis="axisRow" dataField="1" showAll="0">
      <items count="3">
        <item x="1"/>
        <item x="0"/>
        <item t="default"/>
      </items>
    </pivotField>
    <pivotField showAll="0"/>
    <pivotField showAll="0"/>
    <pivotField showAll="0"/>
    <pivotField showAll="0"/>
    <pivotField showAll="0">
      <items count="4">
        <item x="2"/>
        <item x="1"/>
        <item x="0"/>
        <item t="default"/>
      </items>
    </pivotField>
    <pivotField showAll="0">
      <items count="7">
        <item x="2"/>
        <item x="1"/>
        <item x="0"/>
        <item x="3"/>
        <item x="4"/>
        <item h="1" x="5"/>
        <item t="default"/>
      </items>
    </pivotField>
    <pivotField showAll="0"/>
    <pivotField showAll="0"/>
    <pivotField showAll="0"/>
    <pivotField showAll="0"/>
  </pivotFields>
  <rowFields count="1">
    <field x="10"/>
  </rowFields>
  <rowItems count="3">
    <i>
      <x/>
    </i>
    <i>
      <x v="1"/>
    </i>
    <i t="grand">
      <x/>
    </i>
  </rowItems>
  <colItems count="1">
    <i/>
  </colItems>
  <dataFields count="1">
    <dataField name="Customer Count" fld="10" subtotal="count" baseField="0" baseItem="0"/>
  </dataFields>
  <formats count="24">
    <format dxfId="3906">
      <pivotArea type="all" dataOnly="0" outline="0" fieldPosition="0"/>
    </format>
    <format dxfId="3907">
      <pivotArea outline="0" collapsedLevelsAreSubtotals="1" fieldPosition="0"/>
    </format>
    <format dxfId="3908">
      <pivotArea field="10" type="button" dataOnly="0" labelOnly="1" outline="0" axis="axisRow" fieldPosition="0"/>
    </format>
    <format dxfId="3909">
      <pivotArea dataOnly="0" labelOnly="1" fieldPosition="0">
        <references count="1">
          <reference field="10" count="0"/>
        </references>
      </pivotArea>
    </format>
    <format dxfId="3910">
      <pivotArea dataOnly="0" labelOnly="1" grandRow="1" outline="0" fieldPosition="0"/>
    </format>
    <format dxfId="3911">
      <pivotArea dataOnly="0" labelOnly="1" outline="0" axis="axisValues" fieldPosition="0"/>
    </format>
    <format dxfId="3912">
      <pivotArea type="all" dataOnly="0" outline="0" fieldPosition="0"/>
    </format>
    <format dxfId="3913">
      <pivotArea outline="0" collapsedLevelsAreSubtotals="1" fieldPosition="0"/>
    </format>
    <format dxfId="3914">
      <pivotArea dataOnly="0" labelOnly="1" fieldPosition="0">
        <references count="1">
          <reference field="10" count="0"/>
        </references>
      </pivotArea>
    </format>
    <format dxfId="3915">
      <pivotArea dataOnly="0" labelOnly="1" grandRow="1" outline="0" fieldPosition="0"/>
    </format>
    <format dxfId="3916">
      <pivotArea field="10" type="button" dataOnly="0" labelOnly="1" outline="0" axis="axisRow" fieldPosition="0"/>
    </format>
    <format dxfId="3917">
      <pivotArea dataOnly="0" labelOnly="1" outline="0" axis="axisValues" fieldPosition="0"/>
    </format>
    <format dxfId="3918">
      <pivotArea type="all" dataOnly="0" outline="0" fieldPosition="0"/>
    </format>
    <format dxfId="3919">
      <pivotArea outline="0" collapsedLevelsAreSubtotals="1" fieldPosition="0"/>
    </format>
    <format dxfId="3920">
      <pivotArea field="10" type="button" dataOnly="0" labelOnly="1" outline="0" axis="axisRow" fieldPosition="0"/>
    </format>
    <format dxfId="3921">
      <pivotArea dataOnly="0" labelOnly="1" fieldPosition="0">
        <references count="1">
          <reference field="10" count="0"/>
        </references>
      </pivotArea>
    </format>
    <format dxfId="3922">
      <pivotArea dataOnly="0" labelOnly="1" grandRow="1" outline="0" fieldPosition="0"/>
    </format>
    <format dxfId="3923">
      <pivotArea dataOnly="0" labelOnly="1" outline="0" axis="axisValues" fieldPosition="0"/>
    </format>
    <format dxfId="3924">
      <pivotArea type="all" dataOnly="0" outline="0" fieldPosition="0"/>
    </format>
    <format dxfId="3925">
      <pivotArea outline="0" collapsedLevelsAreSubtotals="1" fieldPosition="0"/>
    </format>
    <format dxfId="3926">
      <pivotArea field="10" type="button" dataOnly="0" labelOnly="1" outline="0" axis="axisRow" fieldPosition="0"/>
    </format>
    <format dxfId="3927">
      <pivotArea dataOnly="0" labelOnly="1" fieldPosition="0">
        <references count="1">
          <reference field="10" count="0"/>
        </references>
      </pivotArea>
    </format>
    <format dxfId="3928">
      <pivotArea dataOnly="0" labelOnly="1" grandRow="1" outline="0" fieldPosition="0"/>
    </format>
    <format dxfId="3929">
      <pivotArea dataOnly="0" labelOnly="1" outline="0" axis="axisValues"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0" count="1" selected="0">
            <x v="0"/>
          </reference>
        </references>
      </pivotArea>
    </chartFormat>
    <chartFormat chart="3"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619DD3-803A-7541-9489-2CA87888F543}"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isk Category">
  <location ref="F31:I35" firstHeaderRow="0" firstDataRow="1" firstDataCol="1"/>
  <pivotFields count="21">
    <pivotField showAll="0"/>
    <pivotField showAll="0">
      <items count="4">
        <item x="2"/>
        <item x="1"/>
        <item x="0"/>
        <item t="default"/>
      </items>
    </pivotField>
    <pivotField showAll="0">
      <items count="3">
        <item x="1"/>
        <item x="0"/>
        <item t="default"/>
      </items>
    </pivotField>
    <pivotField showAll="0"/>
    <pivotField showAll="0"/>
    <pivotField showAll="0"/>
    <pivotField showAll="0">
      <items count="5">
        <item x="1"/>
        <item x="0"/>
        <item x="2"/>
        <item x="3"/>
        <item t="default"/>
      </items>
    </pivotField>
    <pivotField showAll="0"/>
    <pivotField showAll="0">
      <items count="3">
        <item x="0"/>
        <item x="1"/>
        <item t="default"/>
      </items>
    </pivotField>
    <pivotField showAll="0"/>
    <pivotField dataField="1" showAll="0">
      <items count="3">
        <item x="1"/>
        <item x="0"/>
        <item t="default"/>
      </items>
    </pivotField>
    <pivotField dataField="1" showAll="0"/>
    <pivotField showAll="0"/>
    <pivotField dataField="1" showAll="0"/>
    <pivotField showAll="0"/>
    <pivotField axis="axisRow" showAll="0">
      <items count="4">
        <item x="1"/>
        <item x="2"/>
        <item x="0"/>
        <item t="default"/>
      </items>
    </pivotField>
    <pivotField showAll="0">
      <items count="7">
        <item x="2"/>
        <item x="1"/>
        <item x="0"/>
        <item x="3"/>
        <item x="4"/>
        <item h="1" x="5"/>
        <item t="default"/>
      </items>
    </pivotField>
    <pivotField showAll="0"/>
    <pivotField showAll="0"/>
    <pivotField showAll="0"/>
    <pivotField showAll="0"/>
  </pivotFields>
  <rowFields count="1">
    <field x="15"/>
  </rowFields>
  <rowItems count="4">
    <i>
      <x/>
    </i>
    <i>
      <x v="1"/>
    </i>
    <i>
      <x v="2"/>
    </i>
    <i t="grand">
      <x/>
    </i>
  </rowItems>
  <colFields count="1">
    <field x="-2"/>
  </colFields>
  <colItems count="3">
    <i>
      <x/>
    </i>
    <i i="1">
      <x v="1"/>
    </i>
    <i i="2">
      <x v="2"/>
    </i>
  </colItems>
  <dataFields count="3">
    <dataField name="Actual Churn Rate" fld="11" subtotal="average" baseField="0" baseItem="0"/>
    <dataField name="Average Predicted Churn Probability" fld="13" subtotal="average" baseField="0" baseItem="0"/>
    <dataField name="Customer Count" fld="10" subtotal="count" baseField="0" baseItem="0"/>
  </dataFields>
  <formats count="18">
    <format dxfId="3888">
      <pivotArea collapsedLevelsAreSubtotals="1" fieldPosition="0">
        <references count="2">
          <reference field="4294967294" count="1" selected="0">
            <x v="0"/>
          </reference>
          <reference field="15" count="0"/>
        </references>
      </pivotArea>
    </format>
    <format dxfId="3889">
      <pivotArea collapsedLevelsAreSubtotals="1" fieldPosition="0">
        <references count="2">
          <reference field="4294967294" count="1" selected="0">
            <x v="1"/>
          </reference>
          <reference field="15" count="0"/>
        </references>
      </pivotArea>
    </format>
    <format dxfId="3890">
      <pivotArea field="15" grandRow="1" outline="0" collapsedLevelsAreSubtotals="1" axis="axisRow" fieldPosition="0">
        <references count="1">
          <reference field="4294967294" count="1" selected="0">
            <x v="0"/>
          </reference>
        </references>
      </pivotArea>
    </format>
    <format dxfId="3891">
      <pivotArea field="15" grandRow="1" outline="0" collapsedLevelsAreSubtotals="1" axis="axisRow" fieldPosition="0">
        <references count="1">
          <reference field="4294967294" count="1" selected="0">
            <x v="1"/>
          </reference>
        </references>
      </pivotArea>
    </format>
    <format dxfId="3892">
      <pivotArea type="all" dataOnly="0" outline="0" fieldPosition="0"/>
    </format>
    <format dxfId="3893">
      <pivotArea outline="0" collapsedLevelsAreSubtotals="1" fieldPosition="0"/>
    </format>
    <format dxfId="3894">
      <pivotArea field="15" type="button" dataOnly="0" labelOnly="1" outline="0" axis="axisRow" fieldPosition="0"/>
    </format>
    <format dxfId="3895">
      <pivotArea dataOnly="0" labelOnly="1" fieldPosition="0">
        <references count="1">
          <reference field="15" count="0"/>
        </references>
      </pivotArea>
    </format>
    <format dxfId="3896">
      <pivotArea dataOnly="0" labelOnly="1" grandRow="1" outline="0" fieldPosition="0"/>
    </format>
    <format dxfId="3897">
      <pivotArea dataOnly="0" labelOnly="1" outline="0" fieldPosition="0">
        <references count="1">
          <reference field="4294967294" count="3">
            <x v="0"/>
            <x v="1"/>
            <x v="2"/>
          </reference>
        </references>
      </pivotArea>
    </format>
    <format dxfId="3898">
      <pivotArea collapsedLevelsAreSubtotals="1" fieldPosition="0">
        <references count="1">
          <reference field="15" count="0"/>
        </references>
      </pivotArea>
    </format>
    <format dxfId="3899">
      <pivotArea dataOnly="0" labelOnly="1" fieldPosition="0">
        <references count="1">
          <reference field="15" count="0"/>
        </references>
      </pivotArea>
    </format>
    <format dxfId="3900">
      <pivotArea type="all" dataOnly="0" outline="0" fieldPosition="0"/>
    </format>
    <format dxfId="3901">
      <pivotArea outline="0" collapsedLevelsAreSubtotals="1" fieldPosition="0"/>
    </format>
    <format dxfId="3902">
      <pivotArea field="15" type="button" dataOnly="0" labelOnly="1" outline="0" axis="axisRow" fieldPosition="0"/>
    </format>
    <format dxfId="3903">
      <pivotArea dataOnly="0" labelOnly="1" fieldPosition="0">
        <references count="1">
          <reference field="15" count="0"/>
        </references>
      </pivotArea>
    </format>
    <format dxfId="3904">
      <pivotArea dataOnly="0" labelOnly="1" grandRow="1" outline="0" fieldPosition="0"/>
    </format>
    <format dxfId="390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5E915B5-A2A2-8742-B1E5-7F7CAEA617F7}" sourceName="countr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45229581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3D6B845-179D-314A-A5EB-468E622E121C}" sourceName="gende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45229581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e_member" xr10:uid="{B797D483-AC43-A341-BD50-4F9B619E8FF2}" sourceName="active_membe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45229581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_number" xr10:uid="{BCBE48FE-8027-AA4F-AA7D-50871F067105}" sourceName="products_numbe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452295812">
      <items count="4">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BFF1531A-884D-0D43-911A-5D1C73EF2F5B}" sourceName="risk_categor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452295812">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54FA503-52EF-5143-84FB-C3A10FE28A4C}" sourceName="age_group">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s>
  <data>
    <tabular pivotCacheId="1452295812" showMissing="0">
      <items count="6">
        <i x="2" s="1"/>
        <i x="1" s="1"/>
        <i x="0" s="1"/>
        <i x="3" s="1"/>
        <i x="4" s="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BDE8452F-4254-0A49-8BB3-E7026453D31F}" cache="Slicer_country" caption="country" style="SlicerStyleDark6" rowHeight="230716"/>
  <slicer name="gender 1" xr10:uid="{094616F6-17E5-2540-BF03-7B2E07B0E9BC}" cache="Slicer_gender" caption="gender" style="SlicerStyleDark6" rowHeight="230716"/>
  <slicer name="active_member 1" xr10:uid="{82F20935-EECE-3D41-BEE1-C1EB1FA1D362}" cache="Slicer_active_member" caption="active_member" style="SlicerStyleDark6" rowHeight="230716"/>
  <slicer name="products_number" xr10:uid="{821E29CB-8A04-1E4D-A1E3-73E59E79E8A8}" cache="Slicer_products_number" caption="products_number" style="SlicerStyleDark6" rowHeight="230716"/>
  <slicer name="risk_category 1" xr10:uid="{5CC83606-7481-AD46-BB15-4ACBF1F083C5}" cache="Slicer_risk_category" caption="risk_category" style="SlicerStyleDark6" rowHeight="230716"/>
  <slicer name="age_group 1" xr10:uid="{3CAEBD9A-BAB5-AE40-BECE-05997507948E}" cache="Slicer_age_group" caption="age_group" style="SlicerStyleDark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9B5419-8CEC-8248-8D8C-FFC244A2C666}" name="tbl_churn" displayName="tbl_churn" ref="A1:U2001" totalsRowShown="0" headerRowDxfId="5423">
  <autoFilter ref="A1:U2001" xr:uid="{B09B5419-8CEC-8248-8D8C-FFC244A2C666}"/>
  <tableColumns count="21">
    <tableColumn id="1" xr3:uid="{F585BCFC-1F41-1A4C-A624-D1862582E1DF}" name="credit_score"/>
    <tableColumn id="2" xr3:uid="{554132B7-D403-DD4D-8FAB-F94399E8D9AE}" name="country"/>
    <tableColumn id="3" xr3:uid="{D99F0469-B3AD-074F-9EDE-9688AF71D45F}" name="gender"/>
    <tableColumn id="4" xr3:uid="{578C432C-3F11-674C-9274-1A52A262C947}" name="age"/>
    <tableColumn id="5" xr3:uid="{C5CAB0B8-B181-1C49-A560-2D5D4004E689}" name="tenure"/>
    <tableColumn id="6" xr3:uid="{3C44C46D-212A-3F45-9466-FD80615B6499}" name="balance"/>
    <tableColumn id="7" xr3:uid="{2ED89300-95EA-024E-8030-54BD3C00030A}" name="products_number"/>
    <tableColumn id="8" xr3:uid="{AC753B48-703D-9F4A-9266-CCECA6E7182B}" name="credit_card"/>
    <tableColumn id="9" xr3:uid="{5BEAFD45-0102-4044-8B05-29A20072A47B}" name="active_member"/>
    <tableColumn id="10" xr3:uid="{24654796-9DEB-9D4C-AFE4-9399C01B68E7}" name="estimated_salary"/>
    <tableColumn id="11" xr3:uid="{FC65AC72-3AB0-C340-9286-98F7BB8900F4}" name="churn"/>
    <tableColumn id="12" xr3:uid="{8149214E-306D-0C44-BF92-3690686D9C3E}" name="predicted_churn_probability"/>
    <tableColumn id="13" xr3:uid="{5A16B6C2-BEE3-9140-B702-A719001A38BC}" name="predicted_churn"/>
    <tableColumn id="14" xr3:uid="{B3192119-A639-3641-BBA8-49473CBCED80}" name="actual_churn_numeric"/>
    <tableColumn id="15" xr3:uid="{E729D9CD-1A9C-B74C-9DFB-B859FC9FCDE8}" name="predicted_churn_numeric"/>
    <tableColumn id="16" xr3:uid="{EFF11E5A-6FE0-2D47-8A19-276CAF12C70A}" name="risk_category"/>
    <tableColumn id="17" xr3:uid="{FA36703F-DE59-3E4E-8F8C-F7261515563A}" name="age_group"/>
    <tableColumn id="18" xr3:uid="{A4FA45C4-FD03-B245-AB65-3A17C2641EE1}" name="balance_group"/>
    <tableColumn id="19" xr3:uid="{B6143C86-473C-9748-AFDF-6C107BE7F696}" name="credit_score_group"/>
    <tableColumn id="20" xr3:uid="{E94D0CF9-7139-CD43-86A9-957DB1522FF8}" name="salary_group"/>
    <tableColumn id="21" xr3:uid="{D878C4AC-E202-8741-B79F-1FEDAD93E0DE}" name="Correct Prediction" dataDxfId="5422">
      <calculatedColumnFormula>IF(K2=M2,1,0)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01"/>
  <sheetViews>
    <sheetView topLeftCell="H1947" workbookViewId="0">
      <selection activeCell="O1983" sqref="O1983"/>
    </sheetView>
  </sheetViews>
  <sheetFormatPr baseColWidth="10" defaultColWidth="8.83203125" defaultRowHeight="15" x14ac:dyDescent="0.2"/>
  <cols>
    <col min="1" max="1" width="13.1640625" customWidth="1"/>
    <col min="2" max="2" width="9.5" customWidth="1"/>
    <col min="3" max="3" width="9" customWidth="1"/>
    <col min="6" max="6" width="9.5" customWidth="1"/>
    <col min="7" max="7" width="17.33203125" customWidth="1"/>
    <col min="8" max="8" width="12.33203125" customWidth="1"/>
    <col min="9" max="9" width="15.6640625" customWidth="1"/>
    <col min="10" max="10" width="16.5" customWidth="1"/>
    <col min="12" max="12" width="25.83203125" customWidth="1"/>
    <col min="13" max="13" width="19.1640625" customWidth="1"/>
    <col min="14" max="14" width="20.83203125" customWidth="1"/>
    <col min="15" max="15" width="23.83203125" customWidth="1"/>
    <col min="16" max="16" width="15" customWidth="1"/>
    <col min="17" max="17" width="14" customWidth="1"/>
    <col min="18" max="18" width="14.83203125" customWidth="1"/>
    <col min="19" max="19" width="18.5" customWidth="1"/>
    <col min="20" max="20" width="14" customWidth="1"/>
    <col min="21" max="21" width="17" customWidth="1"/>
  </cols>
  <sheetData>
    <row r="1" spans="1:21"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54</v>
      </c>
    </row>
    <row r="2" spans="1:21" x14ac:dyDescent="0.2">
      <c r="A2">
        <v>645</v>
      </c>
      <c r="B2" t="s">
        <v>20</v>
      </c>
      <c r="C2" t="s">
        <v>21</v>
      </c>
      <c r="D2">
        <v>44</v>
      </c>
      <c r="E2">
        <v>8</v>
      </c>
      <c r="F2">
        <v>113755.78</v>
      </c>
      <c r="G2">
        <v>2</v>
      </c>
      <c r="H2" t="s">
        <v>22</v>
      </c>
      <c r="I2" t="s">
        <v>23</v>
      </c>
      <c r="J2">
        <v>149756.71</v>
      </c>
      <c r="K2" t="s">
        <v>22</v>
      </c>
      <c r="L2">
        <v>0.24512257891501579</v>
      </c>
      <c r="M2" t="s">
        <v>23</v>
      </c>
      <c r="N2">
        <v>1</v>
      </c>
      <c r="O2">
        <v>0</v>
      </c>
      <c r="P2" t="s">
        <v>24</v>
      </c>
      <c r="Q2" t="s">
        <v>25</v>
      </c>
      <c r="R2" t="s">
        <v>26</v>
      </c>
      <c r="S2" t="s">
        <v>27</v>
      </c>
      <c r="T2" t="s">
        <v>28</v>
      </c>
      <c r="U2">
        <f t="shared" ref="U2:U65" si="0">IF(K2=M2,1,0)</f>
        <v>0</v>
      </c>
    </row>
    <row r="3" spans="1:21" x14ac:dyDescent="0.2">
      <c r="A3">
        <v>587</v>
      </c>
      <c r="B3" t="s">
        <v>20</v>
      </c>
      <c r="C3" t="s">
        <v>21</v>
      </c>
      <c r="D3">
        <v>45</v>
      </c>
      <c r="E3">
        <v>6</v>
      </c>
      <c r="F3">
        <v>0</v>
      </c>
      <c r="G3">
        <v>1</v>
      </c>
      <c r="H3" t="s">
        <v>23</v>
      </c>
      <c r="I3" t="s">
        <v>23</v>
      </c>
      <c r="J3">
        <v>158684.81</v>
      </c>
      <c r="K3" t="s">
        <v>23</v>
      </c>
      <c r="L3">
        <v>0.24506937130014</v>
      </c>
      <c r="M3" t="s">
        <v>23</v>
      </c>
      <c r="N3">
        <v>0</v>
      </c>
      <c r="O3">
        <v>0</v>
      </c>
      <c r="P3" t="s">
        <v>24</v>
      </c>
      <c r="Q3" t="s">
        <v>25</v>
      </c>
      <c r="R3" t="s">
        <v>29</v>
      </c>
      <c r="S3" t="s">
        <v>30</v>
      </c>
      <c r="T3" t="s">
        <v>31</v>
      </c>
      <c r="U3">
        <f t="shared" si="0"/>
        <v>1</v>
      </c>
    </row>
    <row r="4" spans="1:21" x14ac:dyDescent="0.2">
      <c r="A4">
        <v>510</v>
      </c>
      <c r="B4" t="s">
        <v>20</v>
      </c>
      <c r="C4" t="s">
        <v>32</v>
      </c>
      <c r="D4">
        <v>38</v>
      </c>
      <c r="E4">
        <v>4</v>
      </c>
      <c r="F4">
        <v>0</v>
      </c>
      <c r="G4">
        <v>1</v>
      </c>
      <c r="H4" t="s">
        <v>22</v>
      </c>
      <c r="I4" t="s">
        <v>23</v>
      </c>
      <c r="J4">
        <v>118913.53</v>
      </c>
      <c r="K4" t="s">
        <v>22</v>
      </c>
      <c r="L4">
        <v>0.25785567670384563</v>
      </c>
      <c r="M4" t="s">
        <v>23</v>
      </c>
      <c r="N4">
        <v>1</v>
      </c>
      <c r="O4">
        <v>0</v>
      </c>
      <c r="P4" t="s">
        <v>24</v>
      </c>
      <c r="Q4" t="s">
        <v>33</v>
      </c>
      <c r="R4" t="s">
        <v>29</v>
      </c>
      <c r="S4" t="s">
        <v>30</v>
      </c>
      <c r="T4" t="s">
        <v>28</v>
      </c>
      <c r="U4">
        <f t="shared" si="0"/>
        <v>0</v>
      </c>
    </row>
    <row r="5" spans="1:21" x14ac:dyDescent="0.2">
      <c r="A5">
        <v>520</v>
      </c>
      <c r="B5" t="s">
        <v>20</v>
      </c>
      <c r="C5" t="s">
        <v>32</v>
      </c>
      <c r="D5">
        <v>42</v>
      </c>
      <c r="E5">
        <v>6</v>
      </c>
      <c r="F5">
        <v>0</v>
      </c>
      <c r="G5">
        <v>2</v>
      </c>
      <c r="H5" t="s">
        <v>22</v>
      </c>
      <c r="I5" t="s">
        <v>22</v>
      </c>
      <c r="J5">
        <v>34410.550000000003</v>
      </c>
      <c r="K5" t="s">
        <v>23</v>
      </c>
      <c r="L5">
        <v>0.1142116454935402</v>
      </c>
      <c r="M5" t="s">
        <v>23</v>
      </c>
      <c r="N5">
        <v>0</v>
      </c>
      <c r="O5">
        <v>0</v>
      </c>
      <c r="P5" t="s">
        <v>34</v>
      </c>
      <c r="Q5" t="s">
        <v>25</v>
      </c>
      <c r="R5" t="s">
        <v>29</v>
      </c>
      <c r="S5" t="s">
        <v>30</v>
      </c>
      <c r="T5" t="s">
        <v>35</v>
      </c>
      <c r="U5">
        <f t="shared" si="0"/>
        <v>1</v>
      </c>
    </row>
    <row r="6" spans="1:21" x14ac:dyDescent="0.2">
      <c r="A6">
        <v>722</v>
      </c>
      <c r="B6" t="s">
        <v>20</v>
      </c>
      <c r="C6" t="s">
        <v>32</v>
      </c>
      <c r="D6">
        <v>29</v>
      </c>
      <c r="E6">
        <v>9</v>
      </c>
      <c r="F6">
        <v>0</v>
      </c>
      <c r="G6">
        <v>2</v>
      </c>
      <c r="H6" t="s">
        <v>22</v>
      </c>
      <c r="I6" t="s">
        <v>22</v>
      </c>
      <c r="J6">
        <v>142033.07</v>
      </c>
      <c r="K6" t="s">
        <v>23</v>
      </c>
      <c r="L6">
        <v>4.1117427493216632E-2</v>
      </c>
      <c r="M6" t="s">
        <v>23</v>
      </c>
      <c r="N6">
        <v>0</v>
      </c>
      <c r="O6">
        <v>0</v>
      </c>
      <c r="P6" t="s">
        <v>34</v>
      </c>
      <c r="Q6" t="s">
        <v>36</v>
      </c>
      <c r="R6" t="s">
        <v>29</v>
      </c>
      <c r="S6" t="s">
        <v>37</v>
      </c>
      <c r="T6" t="s">
        <v>28</v>
      </c>
      <c r="U6">
        <f t="shared" si="0"/>
        <v>1</v>
      </c>
    </row>
    <row r="7" spans="1:21" x14ac:dyDescent="0.2">
      <c r="A7">
        <v>804</v>
      </c>
      <c r="B7" t="s">
        <v>20</v>
      </c>
      <c r="C7" t="s">
        <v>21</v>
      </c>
      <c r="D7">
        <v>33</v>
      </c>
      <c r="E7">
        <v>7</v>
      </c>
      <c r="F7">
        <v>76548.600000000006</v>
      </c>
      <c r="G7">
        <v>1</v>
      </c>
      <c r="H7" t="s">
        <v>23</v>
      </c>
      <c r="I7" t="s">
        <v>22</v>
      </c>
      <c r="J7">
        <v>98453.45</v>
      </c>
      <c r="K7" t="s">
        <v>23</v>
      </c>
      <c r="L7">
        <v>4.2770633106992528E-2</v>
      </c>
      <c r="M7" t="s">
        <v>23</v>
      </c>
      <c r="N7">
        <v>0</v>
      </c>
      <c r="O7">
        <v>0</v>
      </c>
      <c r="P7" t="s">
        <v>34</v>
      </c>
      <c r="Q7" t="s">
        <v>33</v>
      </c>
      <c r="R7" t="s">
        <v>38</v>
      </c>
      <c r="S7" t="s">
        <v>39</v>
      </c>
      <c r="T7" t="s">
        <v>40</v>
      </c>
      <c r="U7">
        <f t="shared" si="0"/>
        <v>1</v>
      </c>
    </row>
    <row r="8" spans="1:21" x14ac:dyDescent="0.2">
      <c r="A8">
        <v>582</v>
      </c>
      <c r="B8" t="s">
        <v>41</v>
      </c>
      <c r="C8" t="s">
        <v>21</v>
      </c>
      <c r="D8">
        <v>41</v>
      </c>
      <c r="E8">
        <v>6</v>
      </c>
      <c r="F8">
        <v>70349.48</v>
      </c>
      <c r="G8">
        <v>2</v>
      </c>
      <c r="H8" t="s">
        <v>23</v>
      </c>
      <c r="I8" t="s">
        <v>22</v>
      </c>
      <c r="J8">
        <v>178074.04</v>
      </c>
      <c r="K8" t="s">
        <v>23</v>
      </c>
      <c r="L8">
        <v>0.15870375208352691</v>
      </c>
      <c r="M8" t="s">
        <v>23</v>
      </c>
      <c r="N8">
        <v>0</v>
      </c>
      <c r="O8">
        <v>0</v>
      </c>
      <c r="P8" t="s">
        <v>34</v>
      </c>
      <c r="Q8" t="s">
        <v>25</v>
      </c>
      <c r="R8" t="s">
        <v>38</v>
      </c>
      <c r="S8" t="s">
        <v>30</v>
      </c>
      <c r="T8" t="s">
        <v>31</v>
      </c>
      <c r="U8">
        <f t="shared" si="0"/>
        <v>1</v>
      </c>
    </row>
    <row r="9" spans="1:21" x14ac:dyDescent="0.2">
      <c r="A9">
        <v>465</v>
      </c>
      <c r="B9" t="s">
        <v>42</v>
      </c>
      <c r="C9" t="s">
        <v>32</v>
      </c>
      <c r="D9">
        <v>51</v>
      </c>
      <c r="E9">
        <v>8</v>
      </c>
      <c r="F9">
        <v>122522.32</v>
      </c>
      <c r="G9">
        <v>1</v>
      </c>
      <c r="H9" t="s">
        <v>23</v>
      </c>
      <c r="I9" t="s">
        <v>23</v>
      </c>
      <c r="J9">
        <v>181297.65</v>
      </c>
      <c r="K9" t="s">
        <v>22</v>
      </c>
      <c r="L9">
        <v>0.55058016626188744</v>
      </c>
      <c r="M9" t="s">
        <v>22</v>
      </c>
      <c r="N9">
        <v>1</v>
      </c>
      <c r="O9">
        <v>1</v>
      </c>
      <c r="P9" t="s">
        <v>43</v>
      </c>
      <c r="Q9" t="s">
        <v>44</v>
      </c>
      <c r="R9" t="s">
        <v>26</v>
      </c>
      <c r="S9" t="s">
        <v>45</v>
      </c>
      <c r="T9" t="s">
        <v>31</v>
      </c>
      <c r="U9">
        <f t="shared" si="0"/>
        <v>1</v>
      </c>
    </row>
    <row r="10" spans="1:21" x14ac:dyDescent="0.2">
      <c r="A10">
        <v>556</v>
      </c>
      <c r="B10" t="s">
        <v>42</v>
      </c>
      <c r="C10" t="s">
        <v>32</v>
      </c>
      <c r="D10">
        <v>61</v>
      </c>
      <c r="E10">
        <v>2</v>
      </c>
      <c r="F10">
        <v>117419.35</v>
      </c>
      <c r="G10">
        <v>1</v>
      </c>
      <c r="H10" t="s">
        <v>22</v>
      </c>
      <c r="I10" t="s">
        <v>22</v>
      </c>
      <c r="J10">
        <v>94153.83</v>
      </c>
      <c r="K10" t="s">
        <v>23</v>
      </c>
      <c r="L10">
        <v>0.45378483806740411</v>
      </c>
      <c r="M10" t="s">
        <v>23</v>
      </c>
      <c r="N10">
        <v>0</v>
      </c>
      <c r="O10">
        <v>0</v>
      </c>
      <c r="P10" t="s">
        <v>24</v>
      </c>
      <c r="Q10" t="s">
        <v>46</v>
      </c>
      <c r="R10" t="s">
        <v>26</v>
      </c>
      <c r="S10" t="s">
        <v>30</v>
      </c>
      <c r="T10" t="s">
        <v>40</v>
      </c>
      <c r="U10">
        <f t="shared" si="0"/>
        <v>1</v>
      </c>
    </row>
    <row r="11" spans="1:21" x14ac:dyDescent="0.2">
      <c r="A11">
        <v>834</v>
      </c>
      <c r="B11" t="s">
        <v>42</v>
      </c>
      <c r="C11" t="s">
        <v>32</v>
      </c>
      <c r="D11">
        <v>49</v>
      </c>
      <c r="E11">
        <v>2</v>
      </c>
      <c r="F11">
        <v>131394.56</v>
      </c>
      <c r="G11">
        <v>1</v>
      </c>
      <c r="H11" t="s">
        <v>23</v>
      </c>
      <c r="I11" t="s">
        <v>23</v>
      </c>
      <c r="J11">
        <v>194365.76</v>
      </c>
      <c r="K11" t="s">
        <v>22</v>
      </c>
      <c r="L11">
        <v>0.48715112717619641</v>
      </c>
      <c r="M11" t="s">
        <v>23</v>
      </c>
      <c r="N11">
        <v>1</v>
      </c>
      <c r="O11">
        <v>0</v>
      </c>
      <c r="P11" t="s">
        <v>24</v>
      </c>
      <c r="Q11" t="s">
        <v>25</v>
      </c>
      <c r="R11" t="s">
        <v>26</v>
      </c>
      <c r="S11" t="s">
        <v>39</v>
      </c>
      <c r="T11" t="s">
        <v>31</v>
      </c>
      <c r="U11">
        <f t="shared" si="0"/>
        <v>0</v>
      </c>
    </row>
    <row r="12" spans="1:21" x14ac:dyDescent="0.2">
      <c r="A12">
        <v>637</v>
      </c>
      <c r="B12" t="s">
        <v>41</v>
      </c>
      <c r="C12" t="s">
        <v>32</v>
      </c>
      <c r="D12">
        <v>39</v>
      </c>
      <c r="E12">
        <v>9</v>
      </c>
      <c r="F12">
        <v>137843.79999999999</v>
      </c>
      <c r="G12">
        <v>1</v>
      </c>
      <c r="H12" t="s">
        <v>22</v>
      </c>
      <c r="I12" t="s">
        <v>22</v>
      </c>
      <c r="J12">
        <v>117622.8</v>
      </c>
      <c r="K12" t="s">
        <v>22</v>
      </c>
      <c r="L12">
        <v>0.2398774145081273</v>
      </c>
      <c r="M12" t="s">
        <v>23</v>
      </c>
      <c r="N12">
        <v>1</v>
      </c>
      <c r="O12">
        <v>0</v>
      </c>
      <c r="P12" t="s">
        <v>24</v>
      </c>
      <c r="Q12" t="s">
        <v>33</v>
      </c>
      <c r="R12" t="s">
        <v>26</v>
      </c>
      <c r="S12" t="s">
        <v>27</v>
      </c>
      <c r="T12" t="s">
        <v>28</v>
      </c>
      <c r="U12">
        <f t="shared" si="0"/>
        <v>0</v>
      </c>
    </row>
    <row r="13" spans="1:21" x14ac:dyDescent="0.2">
      <c r="A13">
        <v>776</v>
      </c>
      <c r="B13" t="s">
        <v>41</v>
      </c>
      <c r="C13" t="s">
        <v>32</v>
      </c>
      <c r="D13">
        <v>37</v>
      </c>
      <c r="E13">
        <v>2</v>
      </c>
      <c r="F13">
        <v>103769.22</v>
      </c>
      <c r="G13">
        <v>2</v>
      </c>
      <c r="H13" t="s">
        <v>22</v>
      </c>
      <c r="I13" t="s">
        <v>23</v>
      </c>
      <c r="J13">
        <v>194099.12</v>
      </c>
      <c r="K13" t="s">
        <v>23</v>
      </c>
      <c r="L13">
        <v>0.42108301929279979</v>
      </c>
      <c r="M13" t="s">
        <v>23</v>
      </c>
      <c r="N13">
        <v>0</v>
      </c>
      <c r="O13">
        <v>0</v>
      </c>
      <c r="P13" t="s">
        <v>24</v>
      </c>
      <c r="Q13" t="s">
        <v>33</v>
      </c>
      <c r="R13" t="s">
        <v>26</v>
      </c>
      <c r="S13" t="s">
        <v>37</v>
      </c>
      <c r="T13" t="s">
        <v>31</v>
      </c>
      <c r="U13">
        <f t="shared" si="0"/>
        <v>1</v>
      </c>
    </row>
    <row r="14" spans="1:21" x14ac:dyDescent="0.2">
      <c r="A14">
        <v>735</v>
      </c>
      <c r="B14" t="s">
        <v>41</v>
      </c>
      <c r="C14" t="s">
        <v>21</v>
      </c>
      <c r="D14">
        <v>43</v>
      </c>
      <c r="E14">
        <v>10</v>
      </c>
      <c r="F14">
        <v>123180.01</v>
      </c>
      <c r="G14">
        <v>2</v>
      </c>
      <c r="H14" t="s">
        <v>22</v>
      </c>
      <c r="I14" t="s">
        <v>22</v>
      </c>
      <c r="J14">
        <v>196673.28</v>
      </c>
      <c r="K14" t="s">
        <v>23</v>
      </c>
      <c r="L14">
        <v>0.16940111340180189</v>
      </c>
      <c r="M14" t="s">
        <v>23</v>
      </c>
      <c r="N14">
        <v>0</v>
      </c>
      <c r="O14">
        <v>0</v>
      </c>
      <c r="P14" t="s">
        <v>34</v>
      </c>
      <c r="Q14" t="s">
        <v>25</v>
      </c>
      <c r="R14" t="s">
        <v>26</v>
      </c>
      <c r="S14" t="s">
        <v>37</v>
      </c>
      <c r="T14" t="s">
        <v>31</v>
      </c>
      <c r="U14">
        <f t="shared" si="0"/>
        <v>1</v>
      </c>
    </row>
    <row r="15" spans="1:21" x14ac:dyDescent="0.2">
      <c r="A15">
        <v>675</v>
      </c>
      <c r="B15" t="s">
        <v>42</v>
      </c>
      <c r="C15" t="s">
        <v>32</v>
      </c>
      <c r="D15">
        <v>21</v>
      </c>
      <c r="E15">
        <v>8</v>
      </c>
      <c r="F15">
        <v>98373.26</v>
      </c>
      <c r="G15">
        <v>1</v>
      </c>
      <c r="H15" t="s">
        <v>22</v>
      </c>
      <c r="I15" t="s">
        <v>23</v>
      </c>
      <c r="J15">
        <v>18203</v>
      </c>
      <c r="K15" t="s">
        <v>23</v>
      </c>
      <c r="L15">
        <v>8.7207541880406039E-2</v>
      </c>
      <c r="M15" t="s">
        <v>23</v>
      </c>
      <c r="N15">
        <v>0</v>
      </c>
      <c r="O15">
        <v>0</v>
      </c>
      <c r="P15" t="s">
        <v>34</v>
      </c>
      <c r="Q15" t="s">
        <v>36</v>
      </c>
      <c r="R15" t="s">
        <v>38</v>
      </c>
      <c r="S15" t="s">
        <v>27</v>
      </c>
      <c r="T15" t="s">
        <v>35</v>
      </c>
      <c r="U15">
        <f t="shared" si="0"/>
        <v>1</v>
      </c>
    </row>
    <row r="16" spans="1:21" x14ac:dyDescent="0.2">
      <c r="A16">
        <v>416</v>
      </c>
      <c r="B16" t="s">
        <v>41</v>
      </c>
      <c r="C16" t="s">
        <v>32</v>
      </c>
      <c r="D16">
        <v>41</v>
      </c>
      <c r="E16">
        <v>10</v>
      </c>
      <c r="F16">
        <v>122189.66</v>
      </c>
      <c r="G16">
        <v>2</v>
      </c>
      <c r="H16" t="s">
        <v>22</v>
      </c>
      <c r="I16" t="s">
        <v>23</v>
      </c>
      <c r="J16">
        <v>98301.61</v>
      </c>
      <c r="K16" t="s">
        <v>23</v>
      </c>
      <c r="L16">
        <v>0.51567599858415369</v>
      </c>
      <c r="M16" t="s">
        <v>22</v>
      </c>
      <c r="N16">
        <v>0</v>
      </c>
      <c r="O16">
        <v>1</v>
      </c>
      <c r="P16" t="s">
        <v>43</v>
      </c>
      <c r="Q16" t="s">
        <v>25</v>
      </c>
      <c r="R16" t="s">
        <v>26</v>
      </c>
      <c r="S16" t="s">
        <v>45</v>
      </c>
      <c r="T16" t="s">
        <v>40</v>
      </c>
      <c r="U16">
        <f t="shared" si="0"/>
        <v>0</v>
      </c>
    </row>
    <row r="17" spans="1:21" x14ac:dyDescent="0.2">
      <c r="A17">
        <v>652</v>
      </c>
      <c r="B17" t="s">
        <v>20</v>
      </c>
      <c r="C17" t="s">
        <v>32</v>
      </c>
      <c r="D17">
        <v>75</v>
      </c>
      <c r="E17">
        <v>10</v>
      </c>
      <c r="F17">
        <v>0</v>
      </c>
      <c r="G17">
        <v>2</v>
      </c>
      <c r="H17" t="s">
        <v>22</v>
      </c>
      <c r="I17" t="s">
        <v>22</v>
      </c>
      <c r="J17">
        <v>114675.75</v>
      </c>
      <c r="K17" t="s">
        <v>23</v>
      </c>
      <c r="L17">
        <v>0.56653231179298225</v>
      </c>
      <c r="M17" t="s">
        <v>22</v>
      </c>
      <c r="N17">
        <v>0</v>
      </c>
      <c r="O17">
        <v>1</v>
      </c>
      <c r="P17" t="s">
        <v>43</v>
      </c>
      <c r="Q17" t="s">
        <v>46</v>
      </c>
      <c r="R17" t="s">
        <v>29</v>
      </c>
      <c r="S17" t="s">
        <v>27</v>
      </c>
      <c r="T17" t="s">
        <v>28</v>
      </c>
      <c r="U17">
        <f t="shared" si="0"/>
        <v>0</v>
      </c>
    </row>
    <row r="18" spans="1:21" x14ac:dyDescent="0.2">
      <c r="A18">
        <v>750</v>
      </c>
      <c r="B18" t="s">
        <v>20</v>
      </c>
      <c r="C18" t="s">
        <v>21</v>
      </c>
      <c r="D18">
        <v>22</v>
      </c>
      <c r="E18">
        <v>3</v>
      </c>
      <c r="F18">
        <v>121681.82</v>
      </c>
      <c r="G18">
        <v>1</v>
      </c>
      <c r="H18" t="s">
        <v>22</v>
      </c>
      <c r="I18" t="s">
        <v>23</v>
      </c>
      <c r="J18">
        <v>128643.35</v>
      </c>
      <c r="K18" t="s">
        <v>22</v>
      </c>
      <c r="L18">
        <v>6.8238997237371618E-2</v>
      </c>
      <c r="M18" t="s">
        <v>23</v>
      </c>
      <c r="N18">
        <v>1</v>
      </c>
      <c r="O18">
        <v>0</v>
      </c>
      <c r="P18" t="s">
        <v>34</v>
      </c>
      <c r="Q18" t="s">
        <v>36</v>
      </c>
      <c r="R18" t="s">
        <v>26</v>
      </c>
      <c r="S18" t="s">
        <v>37</v>
      </c>
      <c r="T18" t="s">
        <v>28</v>
      </c>
      <c r="U18">
        <f t="shared" si="0"/>
        <v>0</v>
      </c>
    </row>
    <row r="19" spans="1:21" x14ac:dyDescent="0.2">
      <c r="A19">
        <v>646</v>
      </c>
      <c r="B19" t="s">
        <v>42</v>
      </c>
      <c r="C19" t="s">
        <v>32</v>
      </c>
      <c r="D19">
        <v>46</v>
      </c>
      <c r="E19">
        <v>4</v>
      </c>
      <c r="F19">
        <v>0</v>
      </c>
      <c r="G19">
        <v>3</v>
      </c>
      <c r="H19" t="s">
        <v>22</v>
      </c>
      <c r="I19" t="s">
        <v>23</v>
      </c>
      <c r="J19">
        <v>93251.42</v>
      </c>
      <c r="K19" t="s">
        <v>22</v>
      </c>
      <c r="L19">
        <v>0.305899935446661</v>
      </c>
      <c r="M19" t="s">
        <v>23</v>
      </c>
      <c r="N19">
        <v>1</v>
      </c>
      <c r="O19">
        <v>0</v>
      </c>
      <c r="P19" t="s">
        <v>24</v>
      </c>
      <c r="Q19" t="s">
        <v>25</v>
      </c>
      <c r="R19" t="s">
        <v>29</v>
      </c>
      <c r="S19" t="s">
        <v>27</v>
      </c>
      <c r="T19" t="s">
        <v>40</v>
      </c>
      <c r="U19">
        <f t="shared" si="0"/>
        <v>0</v>
      </c>
    </row>
    <row r="20" spans="1:21" x14ac:dyDescent="0.2">
      <c r="A20">
        <v>647</v>
      </c>
      <c r="B20" t="s">
        <v>20</v>
      </c>
      <c r="C20" t="s">
        <v>32</v>
      </c>
      <c r="D20">
        <v>44</v>
      </c>
      <c r="E20">
        <v>5</v>
      </c>
      <c r="F20">
        <v>0</v>
      </c>
      <c r="G20">
        <v>3</v>
      </c>
      <c r="H20" t="s">
        <v>22</v>
      </c>
      <c r="I20" t="s">
        <v>22</v>
      </c>
      <c r="J20">
        <v>174205.22</v>
      </c>
      <c r="K20" t="s">
        <v>22</v>
      </c>
      <c r="L20">
        <v>0.1198368902524429</v>
      </c>
      <c r="M20" t="s">
        <v>23</v>
      </c>
      <c r="N20">
        <v>1</v>
      </c>
      <c r="O20">
        <v>0</v>
      </c>
      <c r="P20" t="s">
        <v>34</v>
      </c>
      <c r="Q20" t="s">
        <v>25</v>
      </c>
      <c r="R20" t="s">
        <v>29</v>
      </c>
      <c r="S20" t="s">
        <v>27</v>
      </c>
      <c r="T20" t="s">
        <v>31</v>
      </c>
      <c r="U20">
        <f t="shared" si="0"/>
        <v>0</v>
      </c>
    </row>
    <row r="21" spans="1:21" x14ac:dyDescent="0.2">
      <c r="A21">
        <v>721</v>
      </c>
      <c r="B21" t="s">
        <v>41</v>
      </c>
      <c r="C21" t="s">
        <v>21</v>
      </c>
      <c r="D21">
        <v>28</v>
      </c>
      <c r="E21">
        <v>9</v>
      </c>
      <c r="F21">
        <v>154475.54</v>
      </c>
      <c r="G21">
        <v>2</v>
      </c>
      <c r="H21" t="s">
        <v>23</v>
      </c>
      <c r="I21" t="s">
        <v>22</v>
      </c>
      <c r="J21">
        <v>101300.94</v>
      </c>
      <c r="K21" t="s">
        <v>22</v>
      </c>
      <c r="L21">
        <v>6.8476714925903334E-2</v>
      </c>
      <c r="M21" t="s">
        <v>23</v>
      </c>
      <c r="N21">
        <v>1</v>
      </c>
      <c r="O21">
        <v>0</v>
      </c>
      <c r="P21" t="s">
        <v>34</v>
      </c>
      <c r="Q21" t="s">
        <v>36</v>
      </c>
      <c r="R21" t="s">
        <v>47</v>
      </c>
      <c r="S21" t="s">
        <v>37</v>
      </c>
      <c r="T21" t="s">
        <v>28</v>
      </c>
      <c r="U21">
        <f t="shared" si="0"/>
        <v>0</v>
      </c>
    </row>
    <row r="22" spans="1:21" x14ac:dyDescent="0.2">
      <c r="A22">
        <v>506</v>
      </c>
      <c r="B22" t="s">
        <v>42</v>
      </c>
      <c r="C22" t="s">
        <v>32</v>
      </c>
      <c r="D22">
        <v>41</v>
      </c>
      <c r="E22">
        <v>1</v>
      </c>
      <c r="F22">
        <v>0</v>
      </c>
      <c r="G22">
        <v>2</v>
      </c>
      <c r="H22" t="s">
        <v>22</v>
      </c>
      <c r="I22" t="s">
        <v>23</v>
      </c>
      <c r="J22">
        <v>31766.3</v>
      </c>
      <c r="K22" t="s">
        <v>23</v>
      </c>
      <c r="L22">
        <v>0.27611337963342719</v>
      </c>
      <c r="M22" t="s">
        <v>23</v>
      </c>
      <c r="N22">
        <v>0</v>
      </c>
      <c r="O22">
        <v>0</v>
      </c>
      <c r="P22" t="s">
        <v>24</v>
      </c>
      <c r="Q22" t="s">
        <v>25</v>
      </c>
      <c r="R22" t="s">
        <v>29</v>
      </c>
      <c r="S22" t="s">
        <v>30</v>
      </c>
      <c r="T22" t="s">
        <v>35</v>
      </c>
      <c r="U22">
        <f t="shared" si="0"/>
        <v>1</v>
      </c>
    </row>
    <row r="23" spans="1:21" x14ac:dyDescent="0.2">
      <c r="A23">
        <v>524</v>
      </c>
      <c r="B23" t="s">
        <v>41</v>
      </c>
      <c r="C23" t="s">
        <v>32</v>
      </c>
      <c r="D23">
        <v>31</v>
      </c>
      <c r="E23">
        <v>8</v>
      </c>
      <c r="F23">
        <v>107818.63</v>
      </c>
      <c r="G23">
        <v>1</v>
      </c>
      <c r="H23" t="s">
        <v>22</v>
      </c>
      <c r="I23" t="s">
        <v>23</v>
      </c>
      <c r="J23">
        <v>199725.39</v>
      </c>
      <c r="K23" t="s">
        <v>22</v>
      </c>
      <c r="L23">
        <v>0.35679682117953287</v>
      </c>
      <c r="M23" t="s">
        <v>23</v>
      </c>
      <c r="N23">
        <v>1</v>
      </c>
      <c r="O23">
        <v>0</v>
      </c>
      <c r="P23" t="s">
        <v>24</v>
      </c>
      <c r="Q23" t="s">
        <v>33</v>
      </c>
      <c r="R23" t="s">
        <v>26</v>
      </c>
      <c r="S23" t="s">
        <v>30</v>
      </c>
      <c r="T23" t="s">
        <v>31</v>
      </c>
      <c r="U23">
        <f t="shared" si="0"/>
        <v>0</v>
      </c>
    </row>
    <row r="24" spans="1:21" x14ac:dyDescent="0.2">
      <c r="A24">
        <v>699</v>
      </c>
      <c r="B24" t="s">
        <v>41</v>
      </c>
      <c r="C24" t="s">
        <v>21</v>
      </c>
      <c r="D24">
        <v>34</v>
      </c>
      <c r="E24">
        <v>4</v>
      </c>
      <c r="F24">
        <v>185173.81</v>
      </c>
      <c r="G24">
        <v>2</v>
      </c>
      <c r="H24" t="s">
        <v>22</v>
      </c>
      <c r="I24" t="s">
        <v>23</v>
      </c>
      <c r="J24">
        <v>120834.48</v>
      </c>
      <c r="K24" t="s">
        <v>23</v>
      </c>
      <c r="L24">
        <v>0.28821810912491008</v>
      </c>
      <c r="M24" t="s">
        <v>23</v>
      </c>
      <c r="N24">
        <v>0</v>
      </c>
      <c r="O24">
        <v>0</v>
      </c>
      <c r="P24" t="s">
        <v>24</v>
      </c>
      <c r="Q24" t="s">
        <v>33</v>
      </c>
      <c r="R24" t="s">
        <v>47</v>
      </c>
      <c r="S24" t="s">
        <v>27</v>
      </c>
      <c r="T24" t="s">
        <v>28</v>
      </c>
      <c r="U24">
        <f t="shared" si="0"/>
        <v>1</v>
      </c>
    </row>
    <row r="25" spans="1:21" x14ac:dyDescent="0.2">
      <c r="A25">
        <v>656</v>
      </c>
      <c r="B25" t="s">
        <v>42</v>
      </c>
      <c r="C25" t="s">
        <v>32</v>
      </c>
      <c r="D25">
        <v>39</v>
      </c>
      <c r="E25">
        <v>6</v>
      </c>
      <c r="F25">
        <v>0</v>
      </c>
      <c r="G25">
        <v>2</v>
      </c>
      <c r="H25" t="s">
        <v>22</v>
      </c>
      <c r="I25" t="s">
        <v>23</v>
      </c>
      <c r="J25">
        <v>141069.88</v>
      </c>
      <c r="K25" t="s">
        <v>23</v>
      </c>
      <c r="L25">
        <v>0.22210443908420849</v>
      </c>
      <c r="M25" t="s">
        <v>23</v>
      </c>
      <c r="N25">
        <v>0</v>
      </c>
      <c r="O25">
        <v>0</v>
      </c>
      <c r="P25" t="s">
        <v>24</v>
      </c>
      <c r="Q25" t="s">
        <v>33</v>
      </c>
      <c r="R25" t="s">
        <v>29</v>
      </c>
      <c r="S25" t="s">
        <v>27</v>
      </c>
      <c r="T25" t="s">
        <v>28</v>
      </c>
      <c r="U25">
        <f t="shared" si="0"/>
        <v>1</v>
      </c>
    </row>
    <row r="26" spans="1:21" x14ac:dyDescent="0.2">
      <c r="A26">
        <v>684</v>
      </c>
      <c r="B26" t="s">
        <v>41</v>
      </c>
      <c r="C26" t="s">
        <v>32</v>
      </c>
      <c r="D26">
        <v>48</v>
      </c>
      <c r="E26">
        <v>10</v>
      </c>
      <c r="F26">
        <v>126384.42</v>
      </c>
      <c r="G26">
        <v>1</v>
      </c>
      <c r="H26" t="s">
        <v>22</v>
      </c>
      <c r="I26" t="s">
        <v>22</v>
      </c>
      <c r="J26">
        <v>198129.36</v>
      </c>
      <c r="K26" t="s">
        <v>23</v>
      </c>
      <c r="L26">
        <v>0.37182405352503101</v>
      </c>
      <c r="M26" t="s">
        <v>23</v>
      </c>
      <c r="N26">
        <v>0</v>
      </c>
      <c r="O26">
        <v>0</v>
      </c>
      <c r="P26" t="s">
        <v>24</v>
      </c>
      <c r="Q26" t="s">
        <v>25</v>
      </c>
      <c r="R26" t="s">
        <v>26</v>
      </c>
      <c r="S26" t="s">
        <v>27</v>
      </c>
      <c r="T26" t="s">
        <v>31</v>
      </c>
      <c r="U26">
        <f t="shared" si="0"/>
        <v>1</v>
      </c>
    </row>
    <row r="27" spans="1:21" x14ac:dyDescent="0.2">
      <c r="A27">
        <v>637</v>
      </c>
      <c r="B27" t="s">
        <v>42</v>
      </c>
      <c r="C27" t="s">
        <v>21</v>
      </c>
      <c r="D27">
        <v>40</v>
      </c>
      <c r="E27">
        <v>2</v>
      </c>
      <c r="F27">
        <v>133463.1</v>
      </c>
      <c r="G27">
        <v>1</v>
      </c>
      <c r="H27" t="s">
        <v>23</v>
      </c>
      <c r="I27" t="s">
        <v>22</v>
      </c>
      <c r="J27">
        <v>93165.34</v>
      </c>
      <c r="K27" t="s">
        <v>23</v>
      </c>
      <c r="L27">
        <v>9.3676055376501755E-2</v>
      </c>
      <c r="M27" t="s">
        <v>23</v>
      </c>
      <c r="N27">
        <v>0</v>
      </c>
      <c r="O27">
        <v>0</v>
      </c>
      <c r="P27" t="s">
        <v>34</v>
      </c>
      <c r="Q27" t="s">
        <v>33</v>
      </c>
      <c r="R27" t="s">
        <v>26</v>
      </c>
      <c r="S27" t="s">
        <v>27</v>
      </c>
      <c r="T27" t="s">
        <v>40</v>
      </c>
      <c r="U27">
        <f t="shared" si="0"/>
        <v>1</v>
      </c>
    </row>
    <row r="28" spans="1:21" x14ac:dyDescent="0.2">
      <c r="A28">
        <v>579</v>
      </c>
      <c r="B28" t="s">
        <v>20</v>
      </c>
      <c r="C28" t="s">
        <v>32</v>
      </c>
      <c r="D28">
        <v>35</v>
      </c>
      <c r="E28">
        <v>1</v>
      </c>
      <c r="F28">
        <v>129490.36</v>
      </c>
      <c r="G28">
        <v>2</v>
      </c>
      <c r="H28" t="s">
        <v>23</v>
      </c>
      <c r="I28" t="s">
        <v>22</v>
      </c>
      <c r="J28">
        <v>8590.83</v>
      </c>
      <c r="K28" t="s">
        <v>22</v>
      </c>
      <c r="L28">
        <v>0.10387374368306029</v>
      </c>
      <c r="M28" t="s">
        <v>23</v>
      </c>
      <c r="N28">
        <v>1</v>
      </c>
      <c r="O28">
        <v>0</v>
      </c>
      <c r="P28" t="s">
        <v>34</v>
      </c>
      <c r="Q28" t="s">
        <v>33</v>
      </c>
      <c r="R28" t="s">
        <v>26</v>
      </c>
      <c r="S28" t="s">
        <v>30</v>
      </c>
      <c r="T28" t="s">
        <v>35</v>
      </c>
      <c r="U28">
        <f t="shared" si="0"/>
        <v>0</v>
      </c>
    </row>
    <row r="29" spans="1:21" x14ac:dyDescent="0.2">
      <c r="A29">
        <v>756</v>
      </c>
      <c r="B29" t="s">
        <v>41</v>
      </c>
      <c r="C29" t="s">
        <v>21</v>
      </c>
      <c r="D29">
        <v>44</v>
      </c>
      <c r="E29">
        <v>10</v>
      </c>
      <c r="F29">
        <v>137452.09</v>
      </c>
      <c r="G29">
        <v>1</v>
      </c>
      <c r="H29" t="s">
        <v>22</v>
      </c>
      <c r="I29" t="s">
        <v>23</v>
      </c>
      <c r="J29">
        <v>189543.9</v>
      </c>
      <c r="K29" t="s">
        <v>23</v>
      </c>
      <c r="L29">
        <v>0.42459357023896882</v>
      </c>
      <c r="M29" t="s">
        <v>23</v>
      </c>
      <c r="N29">
        <v>0</v>
      </c>
      <c r="O29">
        <v>0</v>
      </c>
      <c r="P29" t="s">
        <v>24</v>
      </c>
      <c r="Q29" t="s">
        <v>25</v>
      </c>
      <c r="R29" t="s">
        <v>26</v>
      </c>
      <c r="S29" t="s">
        <v>37</v>
      </c>
      <c r="T29" t="s">
        <v>31</v>
      </c>
      <c r="U29">
        <f t="shared" si="0"/>
        <v>1</v>
      </c>
    </row>
    <row r="30" spans="1:21" x14ac:dyDescent="0.2">
      <c r="A30">
        <v>485</v>
      </c>
      <c r="B30" t="s">
        <v>20</v>
      </c>
      <c r="C30" t="s">
        <v>32</v>
      </c>
      <c r="D30">
        <v>21</v>
      </c>
      <c r="E30">
        <v>5</v>
      </c>
      <c r="F30">
        <v>113157.22</v>
      </c>
      <c r="G30">
        <v>1</v>
      </c>
      <c r="H30" t="s">
        <v>22</v>
      </c>
      <c r="I30" t="s">
        <v>22</v>
      </c>
      <c r="J30">
        <v>54141.5</v>
      </c>
      <c r="K30" t="s">
        <v>23</v>
      </c>
      <c r="L30">
        <v>4.1078207604622823E-2</v>
      </c>
      <c r="M30" t="s">
        <v>23</v>
      </c>
      <c r="N30">
        <v>0</v>
      </c>
      <c r="O30">
        <v>0</v>
      </c>
      <c r="P30" t="s">
        <v>34</v>
      </c>
      <c r="Q30" t="s">
        <v>36</v>
      </c>
      <c r="R30" t="s">
        <v>26</v>
      </c>
      <c r="S30" t="s">
        <v>45</v>
      </c>
      <c r="T30" t="s">
        <v>40</v>
      </c>
      <c r="U30">
        <f t="shared" si="0"/>
        <v>1</v>
      </c>
    </row>
    <row r="31" spans="1:21" x14ac:dyDescent="0.2">
      <c r="A31">
        <v>650</v>
      </c>
      <c r="B31" t="s">
        <v>42</v>
      </c>
      <c r="C31" t="s">
        <v>21</v>
      </c>
      <c r="D31">
        <v>37</v>
      </c>
      <c r="E31">
        <v>5</v>
      </c>
      <c r="F31">
        <v>106967.18</v>
      </c>
      <c r="G31">
        <v>1</v>
      </c>
      <c r="H31" t="s">
        <v>23</v>
      </c>
      <c r="I31" t="s">
        <v>23</v>
      </c>
      <c r="J31">
        <v>24495.03</v>
      </c>
      <c r="K31" t="s">
        <v>23</v>
      </c>
      <c r="L31">
        <v>0.17120352658122481</v>
      </c>
      <c r="M31" t="s">
        <v>23</v>
      </c>
      <c r="N31">
        <v>0</v>
      </c>
      <c r="O31">
        <v>0</v>
      </c>
      <c r="P31" t="s">
        <v>34</v>
      </c>
      <c r="Q31" t="s">
        <v>33</v>
      </c>
      <c r="R31" t="s">
        <v>26</v>
      </c>
      <c r="S31" t="s">
        <v>27</v>
      </c>
      <c r="T31" t="s">
        <v>35</v>
      </c>
      <c r="U31">
        <f t="shared" si="0"/>
        <v>1</v>
      </c>
    </row>
    <row r="32" spans="1:21" x14ac:dyDescent="0.2">
      <c r="A32">
        <v>535</v>
      </c>
      <c r="B32" t="s">
        <v>42</v>
      </c>
      <c r="C32" t="s">
        <v>32</v>
      </c>
      <c r="D32">
        <v>48</v>
      </c>
      <c r="E32">
        <v>9</v>
      </c>
      <c r="F32">
        <v>0</v>
      </c>
      <c r="G32">
        <v>1</v>
      </c>
      <c r="H32" t="s">
        <v>22</v>
      </c>
      <c r="I32" t="s">
        <v>23</v>
      </c>
      <c r="J32">
        <v>149892.79</v>
      </c>
      <c r="K32" t="s">
        <v>22</v>
      </c>
      <c r="L32">
        <v>0.38827928459913302</v>
      </c>
      <c r="M32" t="s">
        <v>23</v>
      </c>
      <c r="N32">
        <v>1</v>
      </c>
      <c r="O32">
        <v>0</v>
      </c>
      <c r="P32" t="s">
        <v>24</v>
      </c>
      <c r="Q32" t="s">
        <v>25</v>
      </c>
      <c r="R32" t="s">
        <v>29</v>
      </c>
      <c r="S32" t="s">
        <v>30</v>
      </c>
      <c r="T32" t="s">
        <v>28</v>
      </c>
      <c r="U32">
        <f t="shared" si="0"/>
        <v>0</v>
      </c>
    </row>
    <row r="33" spans="1:21" x14ac:dyDescent="0.2">
      <c r="A33">
        <v>539</v>
      </c>
      <c r="B33" t="s">
        <v>42</v>
      </c>
      <c r="C33" t="s">
        <v>21</v>
      </c>
      <c r="D33">
        <v>37</v>
      </c>
      <c r="E33">
        <v>2</v>
      </c>
      <c r="F33">
        <v>127609.59</v>
      </c>
      <c r="G33">
        <v>1</v>
      </c>
      <c r="H33" t="s">
        <v>22</v>
      </c>
      <c r="I33" t="s">
        <v>23</v>
      </c>
      <c r="J33">
        <v>98646.22</v>
      </c>
      <c r="K33" t="s">
        <v>23</v>
      </c>
      <c r="L33">
        <v>0.2013082921022693</v>
      </c>
      <c r="M33" t="s">
        <v>23</v>
      </c>
      <c r="N33">
        <v>0</v>
      </c>
      <c r="O33">
        <v>0</v>
      </c>
      <c r="P33" t="s">
        <v>24</v>
      </c>
      <c r="Q33" t="s">
        <v>33</v>
      </c>
      <c r="R33" t="s">
        <v>26</v>
      </c>
      <c r="S33" t="s">
        <v>30</v>
      </c>
      <c r="T33" t="s">
        <v>40</v>
      </c>
      <c r="U33">
        <f t="shared" si="0"/>
        <v>1</v>
      </c>
    </row>
    <row r="34" spans="1:21" x14ac:dyDescent="0.2">
      <c r="A34">
        <v>586</v>
      </c>
      <c r="B34" t="s">
        <v>20</v>
      </c>
      <c r="C34" t="s">
        <v>32</v>
      </c>
      <c r="D34">
        <v>28</v>
      </c>
      <c r="E34">
        <v>2</v>
      </c>
      <c r="F34">
        <v>0</v>
      </c>
      <c r="G34">
        <v>2</v>
      </c>
      <c r="H34" t="s">
        <v>22</v>
      </c>
      <c r="I34" t="s">
        <v>22</v>
      </c>
      <c r="J34">
        <v>92067.35</v>
      </c>
      <c r="K34" t="s">
        <v>23</v>
      </c>
      <c r="L34">
        <v>4.6592018221274692E-2</v>
      </c>
      <c r="M34" t="s">
        <v>23</v>
      </c>
      <c r="N34">
        <v>0</v>
      </c>
      <c r="O34">
        <v>0</v>
      </c>
      <c r="P34" t="s">
        <v>34</v>
      </c>
      <c r="Q34" t="s">
        <v>36</v>
      </c>
      <c r="R34" t="s">
        <v>29</v>
      </c>
      <c r="S34" t="s">
        <v>30</v>
      </c>
      <c r="T34" t="s">
        <v>40</v>
      </c>
      <c r="U34">
        <f t="shared" si="0"/>
        <v>1</v>
      </c>
    </row>
    <row r="35" spans="1:21" x14ac:dyDescent="0.2">
      <c r="A35">
        <v>631</v>
      </c>
      <c r="B35" t="s">
        <v>41</v>
      </c>
      <c r="C35" t="s">
        <v>32</v>
      </c>
      <c r="D35">
        <v>33</v>
      </c>
      <c r="E35">
        <v>4</v>
      </c>
      <c r="F35">
        <v>123246.7</v>
      </c>
      <c r="G35">
        <v>1</v>
      </c>
      <c r="H35" t="s">
        <v>23</v>
      </c>
      <c r="I35" t="s">
        <v>23</v>
      </c>
      <c r="J35">
        <v>112687.57</v>
      </c>
      <c r="K35" t="s">
        <v>23</v>
      </c>
      <c r="L35">
        <v>0.39825743338246322</v>
      </c>
      <c r="M35" t="s">
        <v>23</v>
      </c>
      <c r="N35">
        <v>0</v>
      </c>
      <c r="O35">
        <v>0</v>
      </c>
      <c r="P35" t="s">
        <v>24</v>
      </c>
      <c r="Q35" t="s">
        <v>33</v>
      </c>
      <c r="R35" t="s">
        <v>26</v>
      </c>
      <c r="S35" t="s">
        <v>27</v>
      </c>
      <c r="T35" t="s">
        <v>28</v>
      </c>
      <c r="U35">
        <f t="shared" si="0"/>
        <v>1</v>
      </c>
    </row>
    <row r="36" spans="1:21" x14ac:dyDescent="0.2">
      <c r="A36">
        <v>660</v>
      </c>
      <c r="B36" t="s">
        <v>41</v>
      </c>
      <c r="C36" t="s">
        <v>21</v>
      </c>
      <c r="D36">
        <v>31</v>
      </c>
      <c r="E36">
        <v>9</v>
      </c>
      <c r="F36">
        <v>125189.75</v>
      </c>
      <c r="G36">
        <v>2</v>
      </c>
      <c r="H36" t="s">
        <v>22</v>
      </c>
      <c r="I36" t="s">
        <v>22</v>
      </c>
      <c r="J36">
        <v>139874.43</v>
      </c>
      <c r="K36" t="s">
        <v>23</v>
      </c>
      <c r="L36">
        <v>8.0716489557164331E-2</v>
      </c>
      <c r="M36" t="s">
        <v>23</v>
      </c>
      <c r="N36">
        <v>0</v>
      </c>
      <c r="O36">
        <v>0</v>
      </c>
      <c r="P36" t="s">
        <v>34</v>
      </c>
      <c r="Q36" t="s">
        <v>33</v>
      </c>
      <c r="R36" t="s">
        <v>26</v>
      </c>
      <c r="S36" t="s">
        <v>27</v>
      </c>
      <c r="T36" t="s">
        <v>28</v>
      </c>
      <c r="U36">
        <f t="shared" si="0"/>
        <v>1</v>
      </c>
    </row>
    <row r="37" spans="1:21" x14ac:dyDescent="0.2">
      <c r="A37">
        <v>704</v>
      </c>
      <c r="B37" t="s">
        <v>41</v>
      </c>
      <c r="C37" t="s">
        <v>32</v>
      </c>
      <c r="D37">
        <v>24</v>
      </c>
      <c r="E37">
        <v>7</v>
      </c>
      <c r="F37">
        <v>113034.22</v>
      </c>
      <c r="G37">
        <v>1</v>
      </c>
      <c r="H37" t="s">
        <v>22</v>
      </c>
      <c r="I37" t="s">
        <v>23</v>
      </c>
      <c r="J37">
        <v>162503.48000000001</v>
      </c>
      <c r="K37" t="s">
        <v>22</v>
      </c>
      <c r="L37">
        <v>0.22804486667807361</v>
      </c>
      <c r="M37" t="s">
        <v>23</v>
      </c>
      <c r="N37">
        <v>1</v>
      </c>
      <c r="O37">
        <v>0</v>
      </c>
      <c r="P37" t="s">
        <v>24</v>
      </c>
      <c r="Q37" t="s">
        <v>36</v>
      </c>
      <c r="R37" t="s">
        <v>26</v>
      </c>
      <c r="S37" t="s">
        <v>37</v>
      </c>
      <c r="T37" t="s">
        <v>31</v>
      </c>
      <c r="U37">
        <f t="shared" si="0"/>
        <v>0</v>
      </c>
    </row>
    <row r="38" spans="1:21" x14ac:dyDescent="0.2">
      <c r="A38">
        <v>667</v>
      </c>
      <c r="B38" t="s">
        <v>20</v>
      </c>
      <c r="C38" t="s">
        <v>32</v>
      </c>
      <c r="D38">
        <v>39</v>
      </c>
      <c r="E38">
        <v>2</v>
      </c>
      <c r="F38">
        <v>0</v>
      </c>
      <c r="G38">
        <v>2</v>
      </c>
      <c r="H38" t="s">
        <v>22</v>
      </c>
      <c r="I38" t="s">
        <v>23</v>
      </c>
      <c r="J38">
        <v>40721.24</v>
      </c>
      <c r="K38" t="s">
        <v>22</v>
      </c>
      <c r="L38">
        <v>0.2315414249734784</v>
      </c>
      <c r="M38" t="s">
        <v>23</v>
      </c>
      <c r="N38">
        <v>1</v>
      </c>
      <c r="O38">
        <v>0</v>
      </c>
      <c r="P38" t="s">
        <v>24</v>
      </c>
      <c r="Q38" t="s">
        <v>33</v>
      </c>
      <c r="R38" t="s">
        <v>29</v>
      </c>
      <c r="S38" t="s">
        <v>27</v>
      </c>
      <c r="T38" t="s">
        <v>35</v>
      </c>
      <c r="U38">
        <f t="shared" si="0"/>
        <v>0</v>
      </c>
    </row>
    <row r="39" spans="1:21" x14ac:dyDescent="0.2">
      <c r="A39">
        <v>682</v>
      </c>
      <c r="B39" t="s">
        <v>41</v>
      </c>
      <c r="C39" t="s">
        <v>21</v>
      </c>
      <c r="D39">
        <v>24</v>
      </c>
      <c r="E39">
        <v>9</v>
      </c>
      <c r="F39">
        <v>57929.81</v>
      </c>
      <c r="G39">
        <v>2</v>
      </c>
      <c r="H39" t="s">
        <v>23</v>
      </c>
      <c r="I39" t="s">
        <v>23</v>
      </c>
      <c r="J39">
        <v>53134.3</v>
      </c>
      <c r="K39" t="s">
        <v>23</v>
      </c>
      <c r="L39">
        <v>0.1123850816913039</v>
      </c>
      <c r="M39" t="s">
        <v>23</v>
      </c>
      <c r="N39">
        <v>0</v>
      </c>
      <c r="O39">
        <v>0</v>
      </c>
      <c r="P39" t="s">
        <v>34</v>
      </c>
      <c r="Q39" t="s">
        <v>36</v>
      </c>
      <c r="R39" t="s">
        <v>38</v>
      </c>
      <c r="S39" t="s">
        <v>27</v>
      </c>
      <c r="T39" t="s">
        <v>40</v>
      </c>
      <c r="U39">
        <f t="shared" si="0"/>
        <v>1</v>
      </c>
    </row>
    <row r="40" spans="1:21" x14ac:dyDescent="0.2">
      <c r="A40">
        <v>578</v>
      </c>
      <c r="B40" t="s">
        <v>42</v>
      </c>
      <c r="C40" t="s">
        <v>21</v>
      </c>
      <c r="D40">
        <v>30</v>
      </c>
      <c r="E40">
        <v>4</v>
      </c>
      <c r="F40">
        <v>169462.09</v>
      </c>
      <c r="G40">
        <v>1</v>
      </c>
      <c r="H40" t="s">
        <v>22</v>
      </c>
      <c r="I40" t="s">
        <v>23</v>
      </c>
      <c r="J40">
        <v>112187.11</v>
      </c>
      <c r="K40" t="s">
        <v>23</v>
      </c>
      <c r="L40">
        <v>0.13627059016703391</v>
      </c>
      <c r="M40" t="s">
        <v>23</v>
      </c>
      <c r="N40">
        <v>0</v>
      </c>
      <c r="O40">
        <v>0</v>
      </c>
      <c r="P40" t="s">
        <v>34</v>
      </c>
      <c r="Q40" t="s">
        <v>36</v>
      </c>
      <c r="R40" t="s">
        <v>47</v>
      </c>
      <c r="S40" t="s">
        <v>30</v>
      </c>
      <c r="T40" t="s">
        <v>28</v>
      </c>
      <c r="U40">
        <f t="shared" si="0"/>
        <v>1</v>
      </c>
    </row>
    <row r="41" spans="1:21" x14ac:dyDescent="0.2">
      <c r="A41">
        <v>484</v>
      </c>
      <c r="B41" t="s">
        <v>20</v>
      </c>
      <c r="C41" t="s">
        <v>32</v>
      </c>
      <c r="D41">
        <v>35</v>
      </c>
      <c r="E41">
        <v>7</v>
      </c>
      <c r="F41">
        <v>133868.21</v>
      </c>
      <c r="G41">
        <v>1</v>
      </c>
      <c r="H41" t="s">
        <v>22</v>
      </c>
      <c r="I41" t="s">
        <v>22</v>
      </c>
      <c r="J41">
        <v>27286.1</v>
      </c>
      <c r="K41" t="s">
        <v>23</v>
      </c>
      <c r="L41">
        <v>0.10768033359150581</v>
      </c>
      <c r="M41" t="s">
        <v>23</v>
      </c>
      <c r="N41">
        <v>0</v>
      </c>
      <c r="O41">
        <v>0</v>
      </c>
      <c r="P41" t="s">
        <v>34</v>
      </c>
      <c r="Q41" t="s">
        <v>33</v>
      </c>
      <c r="R41" t="s">
        <v>26</v>
      </c>
      <c r="S41" t="s">
        <v>45</v>
      </c>
      <c r="T41" t="s">
        <v>35</v>
      </c>
      <c r="U41">
        <f t="shared" si="0"/>
        <v>1</v>
      </c>
    </row>
    <row r="42" spans="1:21" x14ac:dyDescent="0.2">
      <c r="A42">
        <v>510</v>
      </c>
      <c r="B42" t="s">
        <v>42</v>
      </c>
      <c r="C42" t="s">
        <v>32</v>
      </c>
      <c r="D42">
        <v>30</v>
      </c>
      <c r="E42">
        <v>0</v>
      </c>
      <c r="F42">
        <v>0</v>
      </c>
      <c r="G42">
        <v>2</v>
      </c>
      <c r="H42" t="s">
        <v>22</v>
      </c>
      <c r="I42" t="s">
        <v>22</v>
      </c>
      <c r="J42">
        <v>130553.47</v>
      </c>
      <c r="K42" t="s">
        <v>23</v>
      </c>
      <c r="L42">
        <v>5.7577222511305197E-2</v>
      </c>
      <c r="M42" t="s">
        <v>23</v>
      </c>
      <c r="N42">
        <v>0</v>
      </c>
      <c r="O42">
        <v>0</v>
      </c>
      <c r="P42" t="s">
        <v>34</v>
      </c>
      <c r="Q42" t="s">
        <v>36</v>
      </c>
      <c r="R42" t="s">
        <v>29</v>
      </c>
      <c r="S42" t="s">
        <v>30</v>
      </c>
      <c r="T42" t="s">
        <v>28</v>
      </c>
      <c r="U42">
        <f t="shared" si="0"/>
        <v>1</v>
      </c>
    </row>
    <row r="43" spans="1:21" x14ac:dyDescent="0.2">
      <c r="A43">
        <v>597</v>
      </c>
      <c r="B43" t="s">
        <v>20</v>
      </c>
      <c r="C43" t="s">
        <v>32</v>
      </c>
      <c r="D43">
        <v>40</v>
      </c>
      <c r="E43">
        <v>8</v>
      </c>
      <c r="F43">
        <v>101993.12</v>
      </c>
      <c r="G43">
        <v>1</v>
      </c>
      <c r="H43" t="s">
        <v>23</v>
      </c>
      <c r="I43" t="s">
        <v>22</v>
      </c>
      <c r="J43">
        <v>94774.12</v>
      </c>
      <c r="K43" t="s">
        <v>23</v>
      </c>
      <c r="L43">
        <v>0.13524546835729481</v>
      </c>
      <c r="M43" t="s">
        <v>23</v>
      </c>
      <c r="N43">
        <v>0</v>
      </c>
      <c r="O43">
        <v>0</v>
      </c>
      <c r="P43" t="s">
        <v>34</v>
      </c>
      <c r="Q43" t="s">
        <v>33</v>
      </c>
      <c r="R43" t="s">
        <v>26</v>
      </c>
      <c r="S43" t="s">
        <v>30</v>
      </c>
      <c r="T43" t="s">
        <v>40</v>
      </c>
      <c r="U43">
        <f t="shared" si="0"/>
        <v>1</v>
      </c>
    </row>
    <row r="44" spans="1:21" x14ac:dyDescent="0.2">
      <c r="A44">
        <v>616</v>
      </c>
      <c r="B44" t="s">
        <v>20</v>
      </c>
      <c r="C44" t="s">
        <v>21</v>
      </c>
      <c r="D44">
        <v>30</v>
      </c>
      <c r="E44">
        <v>5</v>
      </c>
      <c r="F44">
        <v>0</v>
      </c>
      <c r="G44">
        <v>2</v>
      </c>
      <c r="H44" t="s">
        <v>23</v>
      </c>
      <c r="I44" t="s">
        <v>22</v>
      </c>
      <c r="J44">
        <v>196108.51</v>
      </c>
      <c r="K44" t="s">
        <v>23</v>
      </c>
      <c r="L44">
        <v>3.2052233699742187E-2</v>
      </c>
      <c r="M44" t="s">
        <v>23</v>
      </c>
      <c r="N44">
        <v>0</v>
      </c>
      <c r="O44">
        <v>0</v>
      </c>
      <c r="P44" t="s">
        <v>34</v>
      </c>
      <c r="Q44" t="s">
        <v>36</v>
      </c>
      <c r="R44" t="s">
        <v>29</v>
      </c>
      <c r="S44" t="s">
        <v>27</v>
      </c>
      <c r="T44" t="s">
        <v>31</v>
      </c>
      <c r="U44">
        <f t="shared" si="0"/>
        <v>1</v>
      </c>
    </row>
    <row r="45" spans="1:21" x14ac:dyDescent="0.2">
      <c r="A45">
        <v>616</v>
      </c>
      <c r="B45" t="s">
        <v>20</v>
      </c>
      <c r="C45" t="s">
        <v>32</v>
      </c>
      <c r="D45">
        <v>32</v>
      </c>
      <c r="E45">
        <v>6</v>
      </c>
      <c r="F45">
        <v>0</v>
      </c>
      <c r="G45">
        <v>2</v>
      </c>
      <c r="H45" t="s">
        <v>22</v>
      </c>
      <c r="I45" t="s">
        <v>22</v>
      </c>
      <c r="J45">
        <v>43001.46</v>
      </c>
      <c r="K45" t="s">
        <v>23</v>
      </c>
      <c r="L45">
        <v>5.4680644863579979E-2</v>
      </c>
      <c r="M45" t="s">
        <v>23</v>
      </c>
      <c r="N45">
        <v>0</v>
      </c>
      <c r="O45">
        <v>0</v>
      </c>
      <c r="P45" t="s">
        <v>34</v>
      </c>
      <c r="Q45" t="s">
        <v>33</v>
      </c>
      <c r="R45" t="s">
        <v>29</v>
      </c>
      <c r="S45" t="s">
        <v>27</v>
      </c>
      <c r="T45" t="s">
        <v>35</v>
      </c>
      <c r="U45">
        <f t="shared" si="0"/>
        <v>1</v>
      </c>
    </row>
    <row r="46" spans="1:21" x14ac:dyDescent="0.2">
      <c r="A46">
        <v>721</v>
      </c>
      <c r="B46" t="s">
        <v>41</v>
      </c>
      <c r="C46" t="s">
        <v>21</v>
      </c>
      <c r="D46">
        <v>37</v>
      </c>
      <c r="E46">
        <v>3</v>
      </c>
      <c r="F46">
        <v>107720.64</v>
      </c>
      <c r="G46">
        <v>1</v>
      </c>
      <c r="H46" t="s">
        <v>22</v>
      </c>
      <c r="I46" t="s">
        <v>22</v>
      </c>
      <c r="J46">
        <v>158591.12</v>
      </c>
      <c r="K46" t="s">
        <v>23</v>
      </c>
      <c r="L46">
        <v>0.13665061337174941</v>
      </c>
      <c r="M46" t="s">
        <v>23</v>
      </c>
      <c r="N46">
        <v>0</v>
      </c>
      <c r="O46">
        <v>0</v>
      </c>
      <c r="P46" t="s">
        <v>34</v>
      </c>
      <c r="Q46" t="s">
        <v>33</v>
      </c>
      <c r="R46" t="s">
        <v>26</v>
      </c>
      <c r="S46" t="s">
        <v>37</v>
      </c>
      <c r="T46" t="s">
        <v>31</v>
      </c>
      <c r="U46">
        <f t="shared" si="0"/>
        <v>1</v>
      </c>
    </row>
    <row r="47" spans="1:21" x14ac:dyDescent="0.2">
      <c r="A47">
        <v>501</v>
      </c>
      <c r="B47" t="s">
        <v>42</v>
      </c>
      <c r="C47" t="s">
        <v>21</v>
      </c>
      <c r="D47">
        <v>57</v>
      </c>
      <c r="E47">
        <v>10</v>
      </c>
      <c r="F47">
        <v>0</v>
      </c>
      <c r="G47">
        <v>2</v>
      </c>
      <c r="H47" t="s">
        <v>22</v>
      </c>
      <c r="I47" t="s">
        <v>22</v>
      </c>
      <c r="J47">
        <v>47847.19</v>
      </c>
      <c r="K47" t="s">
        <v>23</v>
      </c>
      <c r="L47">
        <v>0.17038460688790921</v>
      </c>
      <c r="M47" t="s">
        <v>23</v>
      </c>
      <c r="N47">
        <v>0</v>
      </c>
      <c r="O47">
        <v>0</v>
      </c>
      <c r="P47" t="s">
        <v>34</v>
      </c>
      <c r="Q47" t="s">
        <v>44</v>
      </c>
      <c r="R47" t="s">
        <v>29</v>
      </c>
      <c r="S47" t="s">
        <v>30</v>
      </c>
      <c r="T47" t="s">
        <v>35</v>
      </c>
      <c r="U47">
        <f t="shared" si="0"/>
        <v>1</v>
      </c>
    </row>
    <row r="48" spans="1:21" x14ac:dyDescent="0.2">
      <c r="A48">
        <v>759</v>
      </c>
      <c r="B48" t="s">
        <v>42</v>
      </c>
      <c r="C48" t="s">
        <v>21</v>
      </c>
      <c r="D48">
        <v>42</v>
      </c>
      <c r="E48">
        <v>4</v>
      </c>
      <c r="F48">
        <v>105420.18</v>
      </c>
      <c r="G48">
        <v>1</v>
      </c>
      <c r="H48" t="s">
        <v>23</v>
      </c>
      <c r="I48" t="s">
        <v>22</v>
      </c>
      <c r="J48">
        <v>121409.06</v>
      </c>
      <c r="K48" t="s">
        <v>23</v>
      </c>
      <c r="L48">
        <v>9.0917206837508008E-2</v>
      </c>
      <c r="M48" t="s">
        <v>23</v>
      </c>
      <c r="N48">
        <v>0</v>
      </c>
      <c r="O48">
        <v>0</v>
      </c>
      <c r="P48" t="s">
        <v>34</v>
      </c>
      <c r="Q48" t="s">
        <v>25</v>
      </c>
      <c r="R48" t="s">
        <v>26</v>
      </c>
      <c r="S48" t="s">
        <v>37</v>
      </c>
      <c r="T48" t="s">
        <v>28</v>
      </c>
      <c r="U48">
        <f t="shared" si="0"/>
        <v>1</v>
      </c>
    </row>
    <row r="49" spans="1:21" x14ac:dyDescent="0.2">
      <c r="A49">
        <v>512</v>
      </c>
      <c r="B49" t="s">
        <v>20</v>
      </c>
      <c r="C49" t="s">
        <v>21</v>
      </c>
      <c r="D49">
        <v>33</v>
      </c>
      <c r="E49">
        <v>3</v>
      </c>
      <c r="F49">
        <v>176666.62</v>
      </c>
      <c r="G49">
        <v>1</v>
      </c>
      <c r="H49" t="s">
        <v>22</v>
      </c>
      <c r="I49" t="s">
        <v>23</v>
      </c>
      <c r="J49">
        <v>94670.77</v>
      </c>
      <c r="K49" t="s">
        <v>23</v>
      </c>
      <c r="L49">
        <v>0.1806633258506527</v>
      </c>
      <c r="M49" t="s">
        <v>23</v>
      </c>
      <c r="N49">
        <v>0</v>
      </c>
      <c r="O49">
        <v>0</v>
      </c>
      <c r="P49" t="s">
        <v>34</v>
      </c>
      <c r="Q49" t="s">
        <v>33</v>
      </c>
      <c r="R49" t="s">
        <v>47</v>
      </c>
      <c r="S49" t="s">
        <v>30</v>
      </c>
      <c r="T49" t="s">
        <v>40</v>
      </c>
      <c r="U49">
        <f t="shared" si="0"/>
        <v>1</v>
      </c>
    </row>
    <row r="50" spans="1:21" x14ac:dyDescent="0.2">
      <c r="A50">
        <v>689</v>
      </c>
      <c r="B50" t="s">
        <v>41</v>
      </c>
      <c r="C50" t="s">
        <v>21</v>
      </c>
      <c r="D50">
        <v>33</v>
      </c>
      <c r="E50">
        <v>2</v>
      </c>
      <c r="F50">
        <v>161814.64000000001</v>
      </c>
      <c r="G50">
        <v>2</v>
      </c>
      <c r="H50" t="s">
        <v>22</v>
      </c>
      <c r="I50" t="s">
        <v>23</v>
      </c>
      <c r="J50">
        <v>169381.9</v>
      </c>
      <c r="K50" t="s">
        <v>23</v>
      </c>
      <c r="L50">
        <v>0.27589233198707452</v>
      </c>
      <c r="M50" t="s">
        <v>23</v>
      </c>
      <c r="N50">
        <v>0</v>
      </c>
      <c r="O50">
        <v>0</v>
      </c>
      <c r="P50" t="s">
        <v>24</v>
      </c>
      <c r="Q50" t="s">
        <v>33</v>
      </c>
      <c r="R50" t="s">
        <v>47</v>
      </c>
      <c r="S50" t="s">
        <v>27</v>
      </c>
      <c r="T50" t="s">
        <v>31</v>
      </c>
      <c r="U50">
        <f t="shared" si="0"/>
        <v>1</v>
      </c>
    </row>
    <row r="51" spans="1:21" x14ac:dyDescent="0.2">
      <c r="A51">
        <v>603</v>
      </c>
      <c r="B51" t="s">
        <v>42</v>
      </c>
      <c r="C51" t="s">
        <v>21</v>
      </c>
      <c r="D51">
        <v>31</v>
      </c>
      <c r="E51">
        <v>8</v>
      </c>
      <c r="F51">
        <v>0</v>
      </c>
      <c r="G51">
        <v>2</v>
      </c>
      <c r="H51" t="s">
        <v>22</v>
      </c>
      <c r="I51" t="s">
        <v>22</v>
      </c>
      <c r="J51">
        <v>169915.02</v>
      </c>
      <c r="K51" t="s">
        <v>23</v>
      </c>
      <c r="L51">
        <v>3.0193399746431409E-2</v>
      </c>
      <c r="M51" t="s">
        <v>23</v>
      </c>
      <c r="N51">
        <v>0</v>
      </c>
      <c r="O51">
        <v>0</v>
      </c>
      <c r="P51" t="s">
        <v>34</v>
      </c>
      <c r="Q51" t="s">
        <v>33</v>
      </c>
      <c r="R51" t="s">
        <v>29</v>
      </c>
      <c r="S51" t="s">
        <v>27</v>
      </c>
      <c r="T51" t="s">
        <v>31</v>
      </c>
      <c r="U51">
        <f t="shared" si="0"/>
        <v>1</v>
      </c>
    </row>
    <row r="52" spans="1:21" x14ac:dyDescent="0.2">
      <c r="A52">
        <v>807</v>
      </c>
      <c r="B52" t="s">
        <v>42</v>
      </c>
      <c r="C52" t="s">
        <v>21</v>
      </c>
      <c r="D52">
        <v>43</v>
      </c>
      <c r="E52">
        <v>1</v>
      </c>
      <c r="F52">
        <v>105799.32</v>
      </c>
      <c r="G52">
        <v>2</v>
      </c>
      <c r="H52" t="s">
        <v>22</v>
      </c>
      <c r="I52" t="s">
        <v>23</v>
      </c>
      <c r="J52">
        <v>34888.04</v>
      </c>
      <c r="K52" t="s">
        <v>22</v>
      </c>
      <c r="L52">
        <v>0.21488215707768149</v>
      </c>
      <c r="M52" t="s">
        <v>23</v>
      </c>
      <c r="N52">
        <v>1</v>
      </c>
      <c r="O52">
        <v>0</v>
      </c>
      <c r="P52" t="s">
        <v>24</v>
      </c>
      <c r="Q52" t="s">
        <v>25</v>
      </c>
      <c r="R52" t="s">
        <v>26</v>
      </c>
      <c r="S52" t="s">
        <v>39</v>
      </c>
      <c r="T52" t="s">
        <v>35</v>
      </c>
      <c r="U52">
        <f t="shared" si="0"/>
        <v>0</v>
      </c>
    </row>
    <row r="53" spans="1:21" x14ac:dyDescent="0.2">
      <c r="A53">
        <v>670</v>
      </c>
      <c r="B53" t="s">
        <v>42</v>
      </c>
      <c r="C53" t="s">
        <v>21</v>
      </c>
      <c r="D53">
        <v>37</v>
      </c>
      <c r="E53">
        <v>4</v>
      </c>
      <c r="F53">
        <v>170557.91</v>
      </c>
      <c r="G53">
        <v>2</v>
      </c>
      <c r="H53" t="s">
        <v>22</v>
      </c>
      <c r="I53" t="s">
        <v>23</v>
      </c>
      <c r="J53">
        <v>198252.88</v>
      </c>
      <c r="K53" t="s">
        <v>23</v>
      </c>
      <c r="L53">
        <v>0.19077560399114099</v>
      </c>
      <c r="M53" t="s">
        <v>23</v>
      </c>
      <c r="N53">
        <v>0</v>
      </c>
      <c r="O53">
        <v>0</v>
      </c>
      <c r="P53" t="s">
        <v>34</v>
      </c>
      <c r="Q53" t="s">
        <v>33</v>
      </c>
      <c r="R53" t="s">
        <v>47</v>
      </c>
      <c r="S53" t="s">
        <v>27</v>
      </c>
      <c r="T53" t="s">
        <v>31</v>
      </c>
      <c r="U53">
        <f t="shared" si="0"/>
        <v>1</v>
      </c>
    </row>
    <row r="54" spans="1:21" x14ac:dyDescent="0.2">
      <c r="A54">
        <v>512</v>
      </c>
      <c r="B54" t="s">
        <v>42</v>
      </c>
      <c r="C54" t="s">
        <v>32</v>
      </c>
      <c r="D54">
        <v>37</v>
      </c>
      <c r="E54">
        <v>1</v>
      </c>
      <c r="F54">
        <v>0</v>
      </c>
      <c r="G54">
        <v>2</v>
      </c>
      <c r="H54" t="s">
        <v>23</v>
      </c>
      <c r="I54" t="s">
        <v>22</v>
      </c>
      <c r="J54">
        <v>156105.03</v>
      </c>
      <c r="K54" t="s">
        <v>23</v>
      </c>
      <c r="L54">
        <v>9.5173804338323426E-2</v>
      </c>
      <c r="M54" t="s">
        <v>23</v>
      </c>
      <c r="N54">
        <v>0</v>
      </c>
      <c r="O54">
        <v>0</v>
      </c>
      <c r="P54" t="s">
        <v>34</v>
      </c>
      <c r="Q54" t="s">
        <v>33</v>
      </c>
      <c r="R54" t="s">
        <v>29</v>
      </c>
      <c r="S54" t="s">
        <v>30</v>
      </c>
      <c r="T54" t="s">
        <v>31</v>
      </c>
      <c r="U54">
        <f t="shared" si="0"/>
        <v>1</v>
      </c>
    </row>
    <row r="55" spans="1:21" x14ac:dyDescent="0.2">
      <c r="A55">
        <v>668</v>
      </c>
      <c r="B55" t="s">
        <v>42</v>
      </c>
      <c r="C55" t="s">
        <v>32</v>
      </c>
      <c r="D55">
        <v>46</v>
      </c>
      <c r="E55">
        <v>2</v>
      </c>
      <c r="F55">
        <v>0</v>
      </c>
      <c r="G55">
        <v>3</v>
      </c>
      <c r="H55" t="s">
        <v>22</v>
      </c>
      <c r="I55" t="s">
        <v>23</v>
      </c>
      <c r="J55">
        <v>89048.46</v>
      </c>
      <c r="K55" t="s">
        <v>22</v>
      </c>
      <c r="L55">
        <v>0.31058940368091092</v>
      </c>
      <c r="M55" t="s">
        <v>23</v>
      </c>
      <c r="N55">
        <v>1</v>
      </c>
      <c r="O55">
        <v>0</v>
      </c>
      <c r="P55" t="s">
        <v>24</v>
      </c>
      <c r="Q55" t="s">
        <v>25</v>
      </c>
      <c r="R55" t="s">
        <v>29</v>
      </c>
      <c r="S55" t="s">
        <v>27</v>
      </c>
      <c r="T55" t="s">
        <v>40</v>
      </c>
      <c r="U55">
        <f t="shared" si="0"/>
        <v>0</v>
      </c>
    </row>
    <row r="56" spans="1:21" x14ac:dyDescent="0.2">
      <c r="A56">
        <v>703</v>
      </c>
      <c r="B56" t="s">
        <v>42</v>
      </c>
      <c r="C56" t="s">
        <v>21</v>
      </c>
      <c r="D56">
        <v>28</v>
      </c>
      <c r="E56">
        <v>2</v>
      </c>
      <c r="F56">
        <v>81173.83</v>
      </c>
      <c r="G56">
        <v>2</v>
      </c>
      <c r="H56" t="s">
        <v>23</v>
      </c>
      <c r="I56" t="s">
        <v>22</v>
      </c>
      <c r="J56">
        <v>162812.16</v>
      </c>
      <c r="K56" t="s">
        <v>23</v>
      </c>
      <c r="L56">
        <v>3.2191448360148783E-2</v>
      </c>
      <c r="M56" t="s">
        <v>23</v>
      </c>
      <c r="N56">
        <v>0</v>
      </c>
      <c r="O56">
        <v>0</v>
      </c>
      <c r="P56" t="s">
        <v>34</v>
      </c>
      <c r="Q56" t="s">
        <v>36</v>
      </c>
      <c r="R56" t="s">
        <v>38</v>
      </c>
      <c r="S56" t="s">
        <v>37</v>
      </c>
      <c r="T56" t="s">
        <v>31</v>
      </c>
      <c r="U56">
        <f t="shared" si="0"/>
        <v>1</v>
      </c>
    </row>
    <row r="57" spans="1:21" x14ac:dyDescent="0.2">
      <c r="A57">
        <v>772</v>
      </c>
      <c r="B57" t="s">
        <v>41</v>
      </c>
      <c r="C57" t="s">
        <v>21</v>
      </c>
      <c r="D57">
        <v>26</v>
      </c>
      <c r="E57">
        <v>7</v>
      </c>
      <c r="F57">
        <v>152400.51</v>
      </c>
      <c r="G57">
        <v>2</v>
      </c>
      <c r="H57" t="s">
        <v>22</v>
      </c>
      <c r="I57" t="s">
        <v>23</v>
      </c>
      <c r="J57">
        <v>79414</v>
      </c>
      <c r="K57" t="s">
        <v>23</v>
      </c>
      <c r="L57">
        <v>0.1526433818157559</v>
      </c>
      <c r="M57" t="s">
        <v>23</v>
      </c>
      <c r="N57">
        <v>0</v>
      </c>
      <c r="O57">
        <v>0</v>
      </c>
      <c r="P57" t="s">
        <v>34</v>
      </c>
      <c r="Q57" t="s">
        <v>36</v>
      </c>
      <c r="R57" t="s">
        <v>47</v>
      </c>
      <c r="S57" t="s">
        <v>37</v>
      </c>
      <c r="T57" t="s">
        <v>40</v>
      </c>
      <c r="U57">
        <f t="shared" si="0"/>
        <v>1</v>
      </c>
    </row>
    <row r="58" spans="1:21" x14ac:dyDescent="0.2">
      <c r="A58">
        <v>544</v>
      </c>
      <c r="B58" t="s">
        <v>41</v>
      </c>
      <c r="C58" t="s">
        <v>21</v>
      </c>
      <c r="D58">
        <v>37</v>
      </c>
      <c r="E58">
        <v>2</v>
      </c>
      <c r="F58">
        <v>79731.91</v>
      </c>
      <c r="G58">
        <v>1</v>
      </c>
      <c r="H58" t="s">
        <v>22</v>
      </c>
      <c r="I58" t="s">
        <v>22</v>
      </c>
      <c r="J58">
        <v>57558.95</v>
      </c>
      <c r="K58" t="s">
        <v>23</v>
      </c>
      <c r="L58">
        <v>0.13822298002247299</v>
      </c>
      <c r="M58" t="s">
        <v>23</v>
      </c>
      <c r="N58">
        <v>0</v>
      </c>
      <c r="O58">
        <v>0</v>
      </c>
      <c r="P58" t="s">
        <v>34</v>
      </c>
      <c r="Q58" t="s">
        <v>33</v>
      </c>
      <c r="R58" t="s">
        <v>38</v>
      </c>
      <c r="S58" t="s">
        <v>30</v>
      </c>
      <c r="T58" t="s">
        <v>40</v>
      </c>
      <c r="U58">
        <f t="shared" si="0"/>
        <v>1</v>
      </c>
    </row>
    <row r="59" spans="1:21" x14ac:dyDescent="0.2">
      <c r="A59">
        <v>651</v>
      </c>
      <c r="B59" t="s">
        <v>42</v>
      </c>
      <c r="C59" t="s">
        <v>21</v>
      </c>
      <c r="D59">
        <v>36</v>
      </c>
      <c r="E59">
        <v>7</v>
      </c>
      <c r="F59">
        <v>0</v>
      </c>
      <c r="G59">
        <v>2</v>
      </c>
      <c r="H59" t="s">
        <v>22</v>
      </c>
      <c r="I59" t="s">
        <v>23</v>
      </c>
      <c r="J59">
        <v>13898.31</v>
      </c>
      <c r="K59" t="s">
        <v>23</v>
      </c>
      <c r="L59">
        <v>0.1080927682582615</v>
      </c>
      <c r="M59" t="s">
        <v>23</v>
      </c>
      <c r="N59">
        <v>0</v>
      </c>
      <c r="O59">
        <v>0</v>
      </c>
      <c r="P59" t="s">
        <v>34</v>
      </c>
      <c r="Q59" t="s">
        <v>33</v>
      </c>
      <c r="R59" t="s">
        <v>29</v>
      </c>
      <c r="S59" t="s">
        <v>27</v>
      </c>
      <c r="T59" t="s">
        <v>35</v>
      </c>
      <c r="U59">
        <f t="shared" si="0"/>
        <v>1</v>
      </c>
    </row>
    <row r="60" spans="1:21" x14ac:dyDescent="0.2">
      <c r="A60">
        <v>479</v>
      </c>
      <c r="B60" t="s">
        <v>41</v>
      </c>
      <c r="C60" t="s">
        <v>21</v>
      </c>
      <c r="D60">
        <v>35</v>
      </c>
      <c r="E60">
        <v>4</v>
      </c>
      <c r="F60">
        <v>138718.92000000001</v>
      </c>
      <c r="G60">
        <v>1</v>
      </c>
      <c r="H60" t="s">
        <v>22</v>
      </c>
      <c r="I60" t="s">
        <v>22</v>
      </c>
      <c r="J60">
        <v>47251.79</v>
      </c>
      <c r="K60" t="s">
        <v>22</v>
      </c>
      <c r="L60">
        <v>0.1387664237298043</v>
      </c>
      <c r="M60" t="s">
        <v>23</v>
      </c>
      <c r="N60">
        <v>1</v>
      </c>
      <c r="O60">
        <v>0</v>
      </c>
      <c r="P60" t="s">
        <v>34</v>
      </c>
      <c r="Q60" t="s">
        <v>33</v>
      </c>
      <c r="R60" t="s">
        <v>26</v>
      </c>
      <c r="S60" t="s">
        <v>45</v>
      </c>
      <c r="T60" t="s">
        <v>35</v>
      </c>
      <c r="U60">
        <f t="shared" si="0"/>
        <v>0</v>
      </c>
    </row>
    <row r="61" spans="1:21" x14ac:dyDescent="0.2">
      <c r="A61">
        <v>799</v>
      </c>
      <c r="B61" t="s">
        <v>42</v>
      </c>
      <c r="C61" t="s">
        <v>32</v>
      </c>
      <c r="D61">
        <v>22</v>
      </c>
      <c r="E61">
        <v>8</v>
      </c>
      <c r="F61">
        <v>174185.98</v>
      </c>
      <c r="G61">
        <v>2</v>
      </c>
      <c r="H61" t="s">
        <v>23</v>
      </c>
      <c r="I61" t="s">
        <v>22</v>
      </c>
      <c r="J61">
        <v>192633.85</v>
      </c>
      <c r="K61" t="s">
        <v>23</v>
      </c>
      <c r="L61">
        <v>3.8152792641492343E-2</v>
      </c>
      <c r="M61" t="s">
        <v>23</v>
      </c>
      <c r="N61">
        <v>0</v>
      </c>
      <c r="O61">
        <v>0</v>
      </c>
      <c r="P61" t="s">
        <v>34</v>
      </c>
      <c r="Q61" t="s">
        <v>36</v>
      </c>
      <c r="R61" t="s">
        <v>47</v>
      </c>
      <c r="S61" t="s">
        <v>37</v>
      </c>
      <c r="T61" t="s">
        <v>31</v>
      </c>
      <c r="U61">
        <f t="shared" si="0"/>
        <v>1</v>
      </c>
    </row>
    <row r="62" spans="1:21" x14ac:dyDescent="0.2">
      <c r="A62">
        <v>744</v>
      </c>
      <c r="B62" t="s">
        <v>20</v>
      </c>
      <c r="C62" t="s">
        <v>32</v>
      </c>
      <c r="D62">
        <v>26</v>
      </c>
      <c r="E62">
        <v>5</v>
      </c>
      <c r="F62">
        <v>166297.89000000001</v>
      </c>
      <c r="G62">
        <v>1</v>
      </c>
      <c r="H62" t="s">
        <v>22</v>
      </c>
      <c r="I62" t="s">
        <v>22</v>
      </c>
      <c r="J62">
        <v>181694.44</v>
      </c>
      <c r="K62" t="s">
        <v>23</v>
      </c>
      <c r="L62">
        <v>6.0053531319402872E-2</v>
      </c>
      <c r="M62" t="s">
        <v>23</v>
      </c>
      <c r="N62">
        <v>0</v>
      </c>
      <c r="O62">
        <v>0</v>
      </c>
      <c r="P62" t="s">
        <v>34</v>
      </c>
      <c r="Q62" t="s">
        <v>36</v>
      </c>
      <c r="R62" t="s">
        <v>47</v>
      </c>
      <c r="S62" t="s">
        <v>37</v>
      </c>
      <c r="T62" t="s">
        <v>31</v>
      </c>
      <c r="U62">
        <f t="shared" si="0"/>
        <v>1</v>
      </c>
    </row>
    <row r="63" spans="1:21" x14ac:dyDescent="0.2">
      <c r="A63">
        <v>747</v>
      </c>
      <c r="B63" t="s">
        <v>20</v>
      </c>
      <c r="C63" t="s">
        <v>32</v>
      </c>
      <c r="D63">
        <v>41</v>
      </c>
      <c r="E63">
        <v>5</v>
      </c>
      <c r="F63">
        <v>94521.17</v>
      </c>
      <c r="G63">
        <v>2</v>
      </c>
      <c r="H63" t="s">
        <v>22</v>
      </c>
      <c r="I63" t="s">
        <v>23</v>
      </c>
      <c r="J63">
        <v>194926.86</v>
      </c>
      <c r="K63" t="s">
        <v>23</v>
      </c>
      <c r="L63">
        <v>0.30255978570447789</v>
      </c>
      <c r="M63" t="s">
        <v>23</v>
      </c>
      <c r="N63">
        <v>0</v>
      </c>
      <c r="O63">
        <v>0</v>
      </c>
      <c r="P63" t="s">
        <v>24</v>
      </c>
      <c r="Q63" t="s">
        <v>25</v>
      </c>
      <c r="R63" t="s">
        <v>38</v>
      </c>
      <c r="S63" t="s">
        <v>37</v>
      </c>
      <c r="T63" t="s">
        <v>31</v>
      </c>
      <c r="U63">
        <f t="shared" si="0"/>
        <v>1</v>
      </c>
    </row>
    <row r="64" spans="1:21" x14ac:dyDescent="0.2">
      <c r="A64">
        <v>583</v>
      </c>
      <c r="B64" t="s">
        <v>42</v>
      </c>
      <c r="C64" t="s">
        <v>21</v>
      </c>
      <c r="D64">
        <v>27</v>
      </c>
      <c r="E64">
        <v>7</v>
      </c>
      <c r="F64">
        <v>0</v>
      </c>
      <c r="G64">
        <v>2</v>
      </c>
      <c r="H64" t="s">
        <v>22</v>
      </c>
      <c r="I64" t="s">
        <v>23</v>
      </c>
      <c r="J64">
        <v>51285.49</v>
      </c>
      <c r="K64" t="s">
        <v>23</v>
      </c>
      <c r="L64">
        <v>6.2484477648804493E-2</v>
      </c>
      <c r="M64" t="s">
        <v>23</v>
      </c>
      <c r="N64">
        <v>0</v>
      </c>
      <c r="O64">
        <v>0</v>
      </c>
      <c r="P64" t="s">
        <v>34</v>
      </c>
      <c r="Q64" t="s">
        <v>36</v>
      </c>
      <c r="R64" t="s">
        <v>29</v>
      </c>
      <c r="S64" t="s">
        <v>30</v>
      </c>
      <c r="T64" t="s">
        <v>40</v>
      </c>
      <c r="U64">
        <f t="shared" si="0"/>
        <v>1</v>
      </c>
    </row>
    <row r="65" spans="1:21" x14ac:dyDescent="0.2">
      <c r="A65">
        <v>694</v>
      </c>
      <c r="B65" t="s">
        <v>42</v>
      </c>
      <c r="C65" t="s">
        <v>32</v>
      </c>
      <c r="D65">
        <v>31</v>
      </c>
      <c r="E65">
        <v>10</v>
      </c>
      <c r="F65">
        <v>0</v>
      </c>
      <c r="G65">
        <v>2</v>
      </c>
      <c r="H65" t="s">
        <v>22</v>
      </c>
      <c r="I65" t="s">
        <v>23</v>
      </c>
      <c r="J65">
        <v>160990.26999999999</v>
      </c>
      <c r="K65" t="s">
        <v>23</v>
      </c>
      <c r="L65">
        <v>0.12568037533460169</v>
      </c>
      <c r="M65" t="s">
        <v>23</v>
      </c>
      <c r="N65">
        <v>0</v>
      </c>
      <c r="O65">
        <v>0</v>
      </c>
      <c r="P65" t="s">
        <v>34</v>
      </c>
      <c r="Q65" t="s">
        <v>33</v>
      </c>
      <c r="R65" t="s">
        <v>29</v>
      </c>
      <c r="S65" t="s">
        <v>27</v>
      </c>
      <c r="T65" t="s">
        <v>31</v>
      </c>
      <c r="U65">
        <f t="shared" si="0"/>
        <v>1</v>
      </c>
    </row>
    <row r="66" spans="1:21" x14ac:dyDescent="0.2">
      <c r="A66">
        <v>438</v>
      </c>
      <c r="B66" t="s">
        <v>41</v>
      </c>
      <c r="C66" t="s">
        <v>21</v>
      </c>
      <c r="D66">
        <v>31</v>
      </c>
      <c r="E66">
        <v>8</v>
      </c>
      <c r="F66">
        <v>78398.69</v>
      </c>
      <c r="G66">
        <v>1</v>
      </c>
      <c r="H66" t="s">
        <v>22</v>
      </c>
      <c r="I66" t="s">
        <v>23</v>
      </c>
      <c r="J66">
        <v>44937.01</v>
      </c>
      <c r="K66" t="s">
        <v>23</v>
      </c>
      <c r="L66">
        <v>0.22442248978632809</v>
      </c>
      <c r="M66" t="s">
        <v>23</v>
      </c>
      <c r="N66">
        <v>0</v>
      </c>
      <c r="O66">
        <v>0</v>
      </c>
      <c r="P66" t="s">
        <v>24</v>
      </c>
      <c r="Q66" t="s">
        <v>33</v>
      </c>
      <c r="R66" t="s">
        <v>38</v>
      </c>
      <c r="S66" t="s">
        <v>45</v>
      </c>
      <c r="T66" t="s">
        <v>35</v>
      </c>
      <c r="U66">
        <f t="shared" ref="U66:U129" si="1">IF(K66=M66,1,0)</f>
        <v>1</v>
      </c>
    </row>
    <row r="67" spans="1:21" x14ac:dyDescent="0.2">
      <c r="A67">
        <v>652</v>
      </c>
      <c r="B67" t="s">
        <v>42</v>
      </c>
      <c r="C67" t="s">
        <v>32</v>
      </c>
      <c r="D67">
        <v>80</v>
      </c>
      <c r="E67">
        <v>4</v>
      </c>
      <c r="F67">
        <v>0</v>
      </c>
      <c r="G67">
        <v>2</v>
      </c>
      <c r="H67" t="s">
        <v>22</v>
      </c>
      <c r="I67" t="s">
        <v>22</v>
      </c>
      <c r="J67">
        <v>188603.07</v>
      </c>
      <c r="K67" t="s">
        <v>23</v>
      </c>
      <c r="L67">
        <v>0.68121164444823279</v>
      </c>
      <c r="M67" t="s">
        <v>22</v>
      </c>
      <c r="N67">
        <v>0</v>
      </c>
      <c r="O67">
        <v>1</v>
      </c>
      <c r="P67" t="s">
        <v>43</v>
      </c>
      <c r="Q67" t="s">
        <v>46</v>
      </c>
      <c r="R67" t="s">
        <v>29</v>
      </c>
      <c r="S67" t="s">
        <v>27</v>
      </c>
      <c r="T67" t="s">
        <v>31</v>
      </c>
      <c r="U67">
        <f t="shared" si="1"/>
        <v>0</v>
      </c>
    </row>
    <row r="68" spans="1:21" x14ac:dyDescent="0.2">
      <c r="A68">
        <v>642</v>
      </c>
      <c r="B68" t="s">
        <v>42</v>
      </c>
      <c r="C68" t="s">
        <v>21</v>
      </c>
      <c r="D68">
        <v>38</v>
      </c>
      <c r="E68">
        <v>3</v>
      </c>
      <c r="F68">
        <v>0</v>
      </c>
      <c r="G68">
        <v>2</v>
      </c>
      <c r="H68" t="s">
        <v>23</v>
      </c>
      <c r="I68" t="s">
        <v>23</v>
      </c>
      <c r="J68">
        <v>171463.83</v>
      </c>
      <c r="K68" t="s">
        <v>23</v>
      </c>
      <c r="L68">
        <v>0.14721210263905171</v>
      </c>
      <c r="M68" t="s">
        <v>23</v>
      </c>
      <c r="N68">
        <v>0</v>
      </c>
      <c r="O68">
        <v>0</v>
      </c>
      <c r="P68" t="s">
        <v>34</v>
      </c>
      <c r="Q68" t="s">
        <v>33</v>
      </c>
      <c r="R68" t="s">
        <v>29</v>
      </c>
      <c r="S68" t="s">
        <v>27</v>
      </c>
      <c r="T68" t="s">
        <v>31</v>
      </c>
      <c r="U68">
        <f t="shared" si="1"/>
        <v>1</v>
      </c>
    </row>
    <row r="69" spans="1:21" x14ac:dyDescent="0.2">
      <c r="A69">
        <v>680</v>
      </c>
      <c r="B69" t="s">
        <v>42</v>
      </c>
      <c r="C69" t="s">
        <v>32</v>
      </c>
      <c r="D69">
        <v>30</v>
      </c>
      <c r="E69">
        <v>8</v>
      </c>
      <c r="F69">
        <v>141441.75</v>
      </c>
      <c r="G69">
        <v>1</v>
      </c>
      <c r="H69" t="s">
        <v>22</v>
      </c>
      <c r="I69" t="s">
        <v>22</v>
      </c>
      <c r="J69">
        <v>16278.97</v>
      </c>
      <c r="K69" t="s">
        <v>23</v>
      </c>
      <c r="L69">
        <v>6.5066853092916321E-2</v>
      </c>
      <c r="M69" t="s">
        <v>23</v>
      </c>
      <c r="N69">
        <v>0</v>
      </c>
      <c r="O69">
        <v>0</v>
      </c>
      <c r="P69" t="s">
        <v>34</v>
      </c>
      <c r="Q69" t="s">
        <v>36</v>
      </c>
      <c r="R69" t="s">
        <v>26</v>
      </c>
      <c r="S69" t="s">
        <v>27</v>
      </c>
      <c r="T69" t="s">
        <v>35</v>
      </c>
      <c r="U69">
        <f t="shared" si="1"/>
        <v>1</v>
      </c>
    </row>
    <row r="70" spans="1:21" x14ac:dyDescent="0.2">
      <c r="A70">
        <v>667</v>
      </c>
      <c r="B70" t="s">
        <v>20</v>
      </c>
      <c r="C70" t="s">
        <v>32</v>
      </c>
      <c r="D70">
        <v>40</v>
      </c>
      <c r="E70">
        <v>1</v>
      </c>
      <c r="F70">
        <v>146502.07</v>
      </c>
      <c r="G70">
        <v>1</v>
      </c>
      <c r="H70" t="s">
        <v>22</v>
      </c>
      <c r="I70" t="s">
        <v>23</v>
      </c>
      <c r="J70">
        <v>19162.89</v>
      </c>
      <c r="K70" t="s">
        <v>23</v>
      </c>
      <c r="L70">
        <v>0.34646940080004512</v>
      </c>
      <c r="M70" t="s">
        <v>23</v>
      </c>
      <c r="N70">
        <v>0</v>
      </c>
      <c r="O70">
        <v>0</v>
      </c>
      <c r="P70" t="s">
        <v>24</v>
      </c>
      <c r="Q70" t="s">
        <v>33</v>
      </c>
      <c r="R70" t="s">
        <v>26</v>
      </c>
      <c r="S70" t="s">
        <v>27</v>
      </c>
      <c r="T70" t="s">
        <v>35</v>
      </c>
      <c r="U70">
        <f t="shared" si="1"/>
        <v>1</v>
      </c>
    </row>
    <row r="71" spans="1:21" x14ac:dyDescent="0.2">
      <c r="A71">
        <v>659</v>
      </c>
      <c r="B71" t="s">
        <v>41</v>
      </c>
      <c r="C71" t="s">
        <v>32</v>
      </c>
      <c r="D71">
        <v>32</v>
      </c>
      <c r="E71">
        <v>3</v>
      </c>
      <c r="F71">
        <v>150923.74</v>
      </c>
      <c r="G71">
        <v>2</v>
      </c>
      <c r="H71" t="s">
        <v>23</v>
      </c>
      <c r="I71" t="s">
        <v>22</v>
      </c>
      <c r="J71">
        <v>174652.51</v>
      </c>
      <c r="K71" t="s">
        <v>23</v>
      </c>
      <c r="L71">
        <v>0.1717324618657719</v>
      </c>
      <c r="M71" t="s">
        <v>23</v>
      </c>
      <c r="N71">
        <v>0</v>
      </c>
      <c r="O71">
        <v>0</v>
      </c>
      <c r="P71" t="s">
        <v>34</v>
      </c>
      <c r="Q71" t="s">
        <v>33</v>
      </c>
      <c r="R71" t="s">
        <v>47</v>
      </c>
      <c r="S71" t="s">
        <v>27</v>
      </c>
      <c r="T71" t="s">
        <v>31</v>
      </c>
      <c r="U71">
        <f t="shared" si="1"/>
        <v>1</v>
      </c>
    </row>
    <row r="72" spans="1:21" x14ac:dyDescent="0.2">
      <c r="A72">
        <v>649</v>
      </c>
      <c r="B72" t="s">
        <v>42</v>
      </c>
      <c r="C72" t="s">
        <v>21</v>
      </c>
      <c r="D72">
        <v>33</v>
      </c>
      <c r="E72">
        <v>2</v>
      </c>
      <c r="F72">
        <v>0</v>
      </c>
      <c r="G72">
        <v>2</v>
      </c>
      <c r="H72" t="s">
        <v>22</v>
      </c>
      <c r="I72" t="s">
        <v>23</v>
      </c>
      <c r="J72">
        <v>2010.98</v>
      </c>
      <c r="K72" t="s">
        <v>23</v>
      </c>
      <c r="L72">
        <v>9.6330476245855987E-2</v>
      </c>
      <c r="M72" t="s">
        <v>23</v>
      </c>
      <c r="N72">
        <v>0</v>
      </c>
      <c r="O72">
        <v>0</v>
      </c>
      <c r="P72" t="s">
        <v>34</v>
      </c>
      <c r="Q72" t="s">
        <v>33</v>
      </c>
      <c r="R72" t="s">
        <v>29</v>
      </c>
      <c r="S72" t="s">
        <v>27</v>
      </c>
      <c r="T72" t="s">
        <v>35</v>
      </c>
      <c r="U72">
        <f t="shared" si="1"/>
        <v>1</v>
      </c>
    </row>
    <row r="73" spans="1:21" x14ac:dyDescent="0.2">
      <c r="A73">
        <v>630</v>
      </c>
      <c r="B73" t="s">
        <v>41</v>
      </c>
      <c r="C73" t="s">
        <v>32</v>
      </c>
      <c r="D73">
        <v>34</v>
      </c>
      <c r="E73">
        <v>9</v>
      </c>
      <c r="F73">
        <v>106937.05</v>
      </c>
      <c r="G73">
        <v>2</v>
      </c>
      <c r="H73" t="s">
        <v>22</v>
      </c>
      <c r="I73" t="s">
        <v>23</v>
      </c>
      <c r="J73">
        <v>138275.01</v>
      </c>
      <c r="K73" t="s">
        <v>23</v>
      </c>
      <c r="L73">
        <v>0.3541687227599089</v>
      </c>
      <c r="M73" t="s">
        <v>23</v>
      </c>
      <c r="N73">
        <v>0</v>
      </c>
      <c r="O73">
        <v>0</v>
      </c>
      <c r="P73" t="s">
        <v>24</v>
      </c>
      <c r="Q73" t="s">
        <v>33</v>
      </c>
      <c r="R73" t="s">
        <v>26</v>
      </c>
      <c r="S73" t="s">
        <v>27</v>
      </c>
      <c r="T73" t="s">
        <v>28</v>
      </c>
      <c r="U73">
        <f t="shared" si="1"/>
        <v>1</v>
      </c>
    </row>
    <row r="74" spans="1:21" x14ac:dyDescent="0.2">
      <c r="A74">
        <v>643</v>
      </c>
      <c r="B74" t="s">
        <v>41</v>
      </c>
      <c r="C74" t="s">
        <v>21</v>
      </c>
      <c r="D74">
        <v>59</v>
      </c>
      <c r="E74">
        <v>3</v>
      </c>
      <c r="F74">
        <v>170331.37</v>
      </c>
      <c r="G74">
        <v>1</v>
      </c>
      <c r="H74" t="s">
        <v>22</v>
      </c>
      <c r="I74" t="s">
        <v>22</v>
      </c>
      <c r="J74">
        <v>32171.79</v>
      </c>
      <c r="K74" t="s">
        <v>23</v>
      </c>
      <c r="L74">
        <v>0.4825080698471253</v>
      </c>
      <c r="M74" t="s">
        <v>23</v>
      </c>
      <c r="N74">
        <v>0</v>
      </c>
      <c r="O74">
        <v>0</v>
      </c>
      <c r="P74" t="s">
        <v>24</v>
      </c>
      <c r="Q74" t="s">
        <v>44</v>
      </c>
      <c r="R74" t="s">
        <v>47</v>
      </c>
      <c r="S74" t="s">
        <v>27</v>
      </c>
      <c r="T74" t="s">
        <v>35</v>
      </c>
      <c r="U74">
        <f t="shared" si="1"/>
        <v>1</v>
      </c>
    </row>
    <row r="75" spans="1:21" x14ac:dyDescent="0.2">
      <c r="A75">
        <v>654</v>
      </c>
      <c r="B75" t="s">
        <v>41</v>
      </c>
      <c r="C75" t="s">
        <v>32</v>
      </c>
      <c r="D75">
        <v>32</v>
      </c>
      <c r="E75">
        <v>1</v>
      </c>
      <c r="F75">
        <v>114510.85</v>
      </c>
      <c r="G75">
        <v>1</v>
      </c>
      <c r="H75" t="s">
        <v>22</v>
      </c>
      <c r="I75" t="s">
        <v>22</v>
      </c>
      <c r="J75">
        <v>126143.23</v>
      </c>
      <c r="K75" t="s">
        <v>23</v>
      </c>
      <c r="L75">
        <v>0.17072774882740441</v>
      </c>
      <c r="M75" t="s">
        <v>23</v>
      </c>
      <c r="N75">
        <v>0</v>
      </c>
      <c r="O75">
        <v>0</v>
      </c>
      <c r="P75" t="s">
        <v>34</v>
      </c>
      <c r="Q75" t="s">
        <v>33</v>
      </c>
      <c r="R75" t="s">
        <v>26</v>
      </c>
      <c r="S75" t="s">
        <v>27</v>
      </c>
      <c r="T75" t="s">
        <v>28</v>
      </c>
      <c r="U75">
        <f t="shared" si="1"/>
        <v>1</v>
      </c>
    </row>
    <row r="76" spans="1:21" x14ac:dyDescent="0.2">
      <c r="A76">
        <v>539</v>
      </c>
      <c r="B76" t="s">
        <v>42</v>
      </c>
      <c r="C76" t="s">
        <v>21</v>
      </c>
      <c r="D76">
        <v>30</v>
      </c>
      <c r="E76">
        <v>0</v>
      </c>
      <c r="F76">
        <v>0</v>
      </c>
      <c r="G76">
        <v>2</v>
      </c>
      <c r="H76" t="s">
        <v>22</v>
      </c>
      <c r="I76" t="s">
        <v>23</v>
      </c>
      <c r="J76">
        <v>160979.66</v>
      </c>
      <c r="K76" t="s">
        <v>23</v>
      </c>
      <c r="L76">
        <v>9.4834191384203848E-2</v>
      </c>
      <c r="M76" t="s">
        <v>23</v>
      </c>
      <c r="N76">
        <v>0</v>
      </c>
      <c r="O76">
        <v>0</v>
      </c>
      <c r="P76" t="s">
        <v>34</v>
      </c>
      <c r="Q76" t="s">
        <v>36</v>
      </c>
      <c r="R76" t="s">
        <v>29</v>
      </c>
      <c r="S76" t="s">
        <v>30</v>
      </c>
      <c r="T76" t="s">
        <v>31</v>
      </c>
      <c r="U76">
        <f t="shared" si="1"/>
        <v>1</v>
      </c>
    </row>
    <row r="77" spans="1:21" x14ac:dyDescent="0.2">
      <c r="A77">
        <v>648</v>
      </c>
      <c r="B77" t="s">
        <v>42</v>
      </c>
      <c r="C77" t="s">
        <v>32</v>
      </c>
      <c r="D77">
        <v>50</v>
      </c>
      <c r="E77">
        <v>9</v>
      </c>
      <c r="F77">
        <v>102535.57</v>
      </c>
      <c r="G77">
        <v>1</v>
      </c>
      <c r="H77" t="s">
        <v>22</v>
      </c>
      <c r="I77" t="s">
        <v>22</v>
      </c>
      <c r="J77">
        <v>189543.19</v>
      </c>
      <c r="K77" t="s">
        <v>23</v>
      </c>
      <c r="L77">
        <v>0.23384424904603451</v>
      </c>
      <c r="M77" t="s">
        <v>23</v>
      </c>
      <c r="N77">
        <v>0</v>
      </c>
      <c r="O77">
        <v>0</v>
      </c>
      <c r="P77" t="s">
        <v>24</v>
      </c>
      <c r="Q77" t="s">
        <v>25</v>
      </c>
      <c r="R77" t="s">
        <v>26</v>
      </c>
      <c r="S77" t="s">
        <v>27</v>
      </c>
      <c r="T77" t="s">
        <v>31</v>
      </c>
      <c r="U77">
        <f t="shared" si="1"/>
        <v>1</v>
      </c>
    </row>
    <row r="78" spans="1:21" x14ac:dyDescent="0.2">
      <c r="A78">
        <v>769</v>
      </c>
      <c r="B78" t="s">
        <v>42</v>
      </c>
      <c r="C78" t="s">
        <v>32</v>
      </c>
      <c r="D78">
        <v>39</v>
      </c>
      <c r="E78">
        <v>8</v>
      </c>
      <c r="F78">
        <v>0</v>
      </c>
      <c r="G78">
        <v>1</v>
      </c>
      <c r="H78" t="s">
        <v>23</v>
      </c>
      <c r="I78" t="s">
        <v>22</v>
      </c>
      <c r="J78">
        <v>21016</v>
      </c>
      <c r="K78" t="s">
        <v>23</v>
      </c>
      <c r="L78">
        <v>8.3749337219747699E-2</v>
      </c>
      <c r="M78" t="s">
        <v>23</v>
      </c>
      <c r="N78">
        <v>0</v>
      </c>
      <c r="O78">
        <v>0</v>
      </c>
      <c r="P78" t="s">
        <v>34</v>
      </c>
      <c r="Q78" t="s">
        <v>33</v>
      </c>
      <c r="R78" t="s">
        <v>29</v>
      </c>
      <c r="S78" t="s">
        <v>37</v>
      </c>
      <c r="T78" t="s">
        <v>35</v>
      </c>
      <c r="U78">
        <f t="shared" si="1"/>
        <v>1</v>
      </c>
    </row>
    <row r="79" spans="1:21" x14ac:dyDescent="0.2">
      <c r="A79">
        <v>745</v>
      </c>
      <c r="B79" t="s">
        <v>41</v>
      </c>
      <c r="C79" t="s">
        <v>21</v>
      </c>
      <c r="D79">
        <v>45</v>
      </c>
      <c r="E79">
        <v>10</v>
      </c>
      <c r="F79">
        <v>117231.63</v>
      </c>
      <c r="G79">
        <v>3</v>
      </c>
      <c r="H79" t="s">
        <v>22</v>
      </c>
      <c r="I79" t="s">
        <v>22</v>
      </c>
      <c r="J79">
        <v>122381.02</v>
      </c>
      <c r="K79" t="s">
        <v>22</v>
      </c>
      <c r="L79">
        <v>0.16667093248623971</v>
      </c>
      <c r="M79" t="s">
        <v>23</v>
      </c>
      <c r="N79">
        <v>1</v>
      </c>
      <c r="O79">
        <v>0</v>
      </c>
      <c r="P79" t="s">
        <v>34</v>
      </c>
      <c r="Q79" t="s">
        <v>25</v>
      </c>
      <c r="R79" t="s">
        <v>26</v>
      </c>
      <c r="S79" t="s">
        <v>37</v>
      </c>
      <c r="T79" t="s">
        <v>28</v>
      </c>
      <c r="U79">
        <f t="shared" si="1"/>
        <v>0</v>
      </c>
    </row>
    <row r="80" spans="1:21" x14ac:dyDescent="0.2">
      <c r="A80">
        <v>572</v>
      </c>
      <c r="B80" t="s">
        <v>20</v>
      </c>
      <c r="C80" t="s">
        <v>21</v>
      </c>
      <c r="D80">
        <v>35</v>
      </c>
      <c r="E80">
        <v>4</v>
      </c>
      <c r="F80">
        <v>152390.26</v>
      </c>
      <c r="G80">
        <v>1</v>
      </c>
      <c r="H80" t="s">
        <v>22</v>
      </c>
      <c r="I80" t="s">
        <v>23</v>
      </c>
      <c r="J80">
        <v>128123.66</v>
      </c>
      <c r="K80" t="s">
        <v>23</v>
      </c>
      <c r="L80">
        <v>0.18703320807934889</v>
      </c>
      <c r="M80" t="s">
        <v>23</v>
      </c>
      <c r="N80">
        <v>0</v>
      </c>
      <c r="O80">
        <v>0</v>
      </c>
      <c r="P80" t="s">
        <v>34</v>
      </c>
      <c r="Q80" t="s">
        <v>33</v>
      </c>
      <c r="R80" t="s">
        <v>47</v>
      </c>
      <c r="S80" t="s">
        <v>30</v>
      </c>
      <c r="T80" t="s">
        <v>28</v>
      </c>
      <c r="U80">
        <f t="shared" si="1"/>
        <v>1</v>
      </c>
    </row>
    <row r="81" spans="1:21" x14ac:dyDescent="0.2">
      <c r="A81">
        <v>611</v>
      </c>
      <c r="B81" t="s">
        <v>20</v>
      </c>
      <c r="C81" t="s">
        <v>21</v>
      </c>
      <c r="D81">
        <v>46</v>
      </c>
      <c r="E81">
        <v>6</v>
      </c>
      <c r="F81">
        <v>0</v>
      </c>
      <c r="G81">
        <v>2</v>
      </c>
      <c r="H81" t="s">
        <v>22</v>
      </c>
      <c r="I81" t="s">
        <v>23</v>
      </c>
      <c r="J81">
        <v>45886.33</v>
      </c>
      <c r="K81" t="s">
        <v>23</v>
      </c>
      <c r="L81">
        <v>0.21983298323265749</v>
      </c>
      <c r="M81" t="s">
        <v>23</v>
      </c>
      <c r="N81">
        <v>0</v>
      </c>
      <c r="O81">
        <v>0</v>
      </c>
      <c r="P81" t="s">
        <v>24</v>
      </c>
      <c r="Q81" t="s">
        <v>25</v>
      </c>
      <c r="R81" t="s">
        <v>29</v>
      </c>
      <c r="S81" t="s">
        <v>27</v>
      </c>
      <c r="T81" t="s">
        <v>35</v>
      </c>
      <c r="U81">
        <f t="shared" si="1"/>
        <v>1</v>
      </c>
    </row>
    <row r="82" spans="1:21" x14ac:dyDescent="0.2">
      <c r="A82">
        <v>730</v>
      </c>
      <c r="B82" t="s">
        <v>20</v>
      </c>
      <c r="C82" t="s">
        <v>21</v>
      </c>
      <c r="D82">
        <v>62</v>
      </c>
      <c r="E82">
        <v>2</v>
      </c>
      <c r="F82">
        <v>0</v>
      </c>
      <c r="G82">
        <v>2</v>
      </c>
      <c r="H82" t="s">
        <v>22</v>
      </c>
      <c r="I82" t="s">
        <v>22</v>
      </c>
      <c r="J82">
        <v>186489.95</v>
      </c>
      <c r="K82" t="s">
        <v>23</v>
      </c>
      <c r="L82">
        <v>0.25026712072622948</v>
      </c>
      <c r="M82" t="s">
        <v>23</v>
      </c>
      <c r="N82">
        <v>0</v>
      </c>
      <c r="O82">
        <v>0</v>
      </c>
      <c r="P82" t="s">
        <v>24</v>
      </c>
      <c r="Q82" t="s">
        <v>46</v>
      </c>
      <c r="R82" t="s">
        <v>29</v>
      </c>
      <c r="S82" t="s">
        <v>37</v>
      </c>
      <c r="T82" t="s">
        <v>31</v>
      </c>
      <c r="U82">
        <f t="shared" si="1"/>
        <v>1</v>
      </c>
    </row>
    <row r="83" spans="1:21" x14ac:dyDescent="0.2">
      <c r="A83">
        <v>752</v>
      </c>
      <c r="B83" t="s">
        <v>41</v>
      </c>
      <c r="C83" t="s">
        <v>21</v>
      </c>
      <c r="D83">
        <v>38</v>
      </c>
      <c r="E83">
        <v>3</v>
      </c>
      <c r="F83">
        <v>183102.29</v>
      </c>
      <c r="G83">
        <v>1</v>
      </c>
      <c r="H83" t="s">
        <v>22</v>
      </c>
      <c r="I83" t="s">
        <v>22</v>
      </c>
      <c r="J83">
        <v>71557.119999999995</v>
      </c>
      <c r="K83" t="s">
        <v>23</v>
      </c>
      <c r="L83">
        <v>0.16189695787106231</v>
      </c>
      <c r="M83" t="s">
        <v>23</v>
      </c>
      <c r="N83">
        <v>0</v>
      </c>
      <c r="O83">
        <v>0</v>
      </c>
      <c r="P83" t="s">
        <v>34</v>
      </c>
      <c r="Q83" t="s">
        <v>33</v>
      </c>
      <c r="R83" t="s">
        <v>47</v>
      </c>
      <c r="S83" t="s">
        <v>37</v>
      </c>
      <c r="T83" t="s">
        <v>40</v>
      </c>
      <c r="U83">
        <f t="shared" si="1"/>
        <v>1</v>
      </c>
    </row>
    <row r="84" spans="1:21" x14ac:dyDescent="0.2">
      <c r="A84">
        <v>645</v>
      </c>
      <c r="B84" t="s">
        <v>41</v>
      </c>
      <c r="C84" t="s">
        <v>32</v>
      </c>
      <c r="D84">
        <v>37</v>
      </c>
      <c r="E84">
        <v>2</v>
      </c>
      <c r="F84">
        <v>136925.09</v>
      </c>
      <c r="G84">
        <v>2</v>
      </c>
      <c r="H84" t="s">
        <v>23</v>
      </c>
      <c r="I84" t="s">
        <v>22</v>
      </c>
      <c r="J84">
        <v>153400.24</v>
      </c>
      <c r="K84" t="s">
        <v>23</v>
      </c>
      <c r="L84">
        <v>0.22756286731699041</v>
      </c>
      <c r="M84" t="s">
        <v>23</v>
      </c>
      <c r="N84">
        <v>0</v>
      </c>
      <c r="O84">
        <v>0</v>
      </c>
      <c r="P84" t="s">
        <v>24</v>
      </c>
      <c r="Q84" t="s">
        <v>33</v>
      </c>
      <c r="R84" t="s">
        <v>26</v>
      </c>
      <c r="S84" t="s">
        <v>27</v>
      </c>
      <c r="T84" t="s">
        <v>31</v>
      </c>
      <c r="U84">
        <f t="shared" si="1"/>
        <v>1</v>
      </c>
    </row>
    <row r="85" spans="1:21" x14ac:dyDescent="0.2">
      <c r="A85">
        <v>557</v>
      </c>
      <c r="B85" t="s">
        <v>42</v>
      </c>
      <c r="C85" t="s">
        <v>21</v>
      </c>
      <c r="D85">
        <v>33</v>
      </c>
      <c r="E85">
        <v>3</v>
      </c>
      <c r="F85">
        <v>54503.55</v>
      </c>
      <c r="G85">
        <v>1</v>
      </c>
      <c r="H85" t="s">
        <v>22</v>
      </c>
      <c r="I85" t="s">
        <v>22</v>
      </c>
      <c r="J85">
        <v>371.05</v>
      </c>
      <c r="K85" t="s">
        <v>23</v>
      </c>
      <c r="L85">
        <v>4.5621375135771032E-2</v>
      </c>
      <c r="M85" t="s">
        <v>23</v>
      </c>
      <c r="N85">
        <v>0</v>
      </c>
      <c r="O85">
        <v>0</v>
      </c>
      <c r="P85" t="s">
        <v>34</v>
      </c>
      <c r="Q85" t="s">
        <v>33</v>
      </c>
      <c r="R85" t="s">
        <v>38</v>
      </c>
      <c r="S85" t="s">
        <v>30</v>
      </c>
      <c r="T85" t="s">
        <v>35</v>
      </c>
      <c r="U85">
        <f t="shared" si="1"/>
        <v>1</v>
      </c>
    </row>
    <row r="86" spans="1:21" x14ac:dyDescent="0.2">
      <c r="A86">
        <v>709</v>
      </c>
      <c r="B86" t="s">
        <v>20</v>
      </c>
      <c r="C86" t="s">
        <v>21</v>
      </c>
      <c r="D86">
        <v>23</v>
      </c>
      <c r="E86">
        <v>10</v>
      </c>
      <c r="F86">
        <v>0</v>
      </c>
      <c r="G86">
        <v>2</v>
      </c>
      <c r="H86" t="s">
        <v>23</v>
      </c>
      <c r="I86" t="s">
        <v>23</v>
      </c>
      <c r="J86">
        <v>129590.18</v>
      </c>
      <c r="K86" t="s">
        <v>23</v>
      </c>
      <c r="L86">
        <v>4.5806656107191313E-2</v>
      </c>
      <c r="M86" t="s">
        <v>23</v>
      </c>
      <c r="N86">
        <v>0</v>
      </c>
      <c r="O86">
        <v>0</v>
      </c>
      <c r="P86" t="s">
        <v>34</v>
      </c>
      <c r="Q86" t="s">
        <v>36</v>
      </c>
      <c r="R86" t="s">
        <v>29</v>
      </c>
      <c r="S86" t="s">
        <v>37</v>
      </c>
      <c r="T86" t="s">
        <v>28</v>
      </c>
      <c r="U86">
        <f t="shared" si="1"/>
        <v>1</v>
      </c>
    </row>
    <row r="87" spans="1:21" x14ac:dyDescent="0.2">
      <c r="A87">
        <v>850</v>
      </c>
      <c r="B87" t="s">
        <v>42</v>
      </c>
      <c r="C87" t="s">
        <v>21</v>
      </c>
      <c r="D87">
        <v>38</v>
      </c>
      <c r="E87">
        <v>1</v>
      </c>
      <c r="F87">
        <v>0</v>
      </c>
      <c r="G87">
        <v>2</v>
      </c>
      <c r="H87" t="s">
        <v>22</v>
      </c>
      <c r="I87" t="s">
        <v>22</v>
      </c>
      <c r="J87">
        <v>80006.649999999994</v>
      </c>
      <c r="K87" t="s">
        <v>23</v>
      </c>
      <c r="L87">
        <v>4.5899571195773738E-2</v>
      </c>
      <c r="M87" t="s">
        <v>23</v>
      </c>
      <c r="N87">
        <v>0</v>
      </c>
      <c r="O87">
        <v>0</v>
      </c>
      <c r="P87" t="s">
        <v>34</v>
      </c>
      <c r="Q87" t="s">
        <v>33</v>
      </c>
      <c r="R87" t="s">
        <v>29</v>
      </c>
      <c r="S87" t="s">
        <v>39</v>
      </c>
      <c r="T87" t="s">
        <v>40</v>
      </c>
      <c r="U87">
        <f t="shared" si="1"/>
        <v>1</v>
      </c>
    </row>
    <row r="88" spans="1:21" x14ac:dyDescent="0.2">
      <c r="A88">
        <v>643</v>
      </c>
      <c r="B88" t="s">
        <v>42</v>
      </c>
      <c r="C88" t="s">
        <v>32</v>
      </c>
      <c r="D88">
        <v>46</v>
      </c>
      <c r="E88">
        <v>6</v>
      </c>
      <c r="F88">
        <v>0</v>
      </c>
      <c r="G88">
        <v>2</v>
      </c>
      <c r="H88" t="s">
        <v>23</v>
      </c>
      <c r="I88" t="s">
        <v>23</v>
      </c>
      <c r="J88">
        <v>106781.59</v>
      </c>
      <c r="K88" t="s">
        <v>23</v>
      </c>
      <c r="L88">
        <v>0.32883432076919789</v>
      </c>
      <c r="M88" t="s">
        <v>23</v>
      </c>
      <c r="N88">
        <v>0</v>
      </c>
      <c r="O88">
        <v>0</v>
      </c>
      <c r="P88" t="s">
        <v>24</v>
      </c>
      <c r="Q88" t="s">
        <v>25</v>
      </c>
      <c r="R88" t="s">
        <v>29</v>
      </c>
      <c r="S88" t="s">
        <v>27</v>
      </c>
      <c r="T88" t="s">
        <v>28</v>
      </c>
      <c r="U88">
        <f t="shared" si="1"/>
        <v>1</v>
      </c>
    </row>
    <row r="89" spans="1:21" x14ac:dyDescent="0.2">
      <c r="A89">
        <v>596</v>
      </c>
      <c r="B89" t="s">
        <v>42</v>
      </c>
      <c r="C89" t="s">
        <v>21</v>
      </c>
      <c r="D89">
        <v>39</v>
      </c>
      <c r="E89">
        <v>9</v>
      </c>
      <c r="F89">
        <v>0</v>
      </c>
      <c r="G89">
        <v>1</v>
      </c>
      <c r="H89" t="s">
        <v>22</v>
      </c>
      <c r="I89" t="s">
        <v>23</v>
      </c>
      <c r="J89">
        <v>48963.59</v>
      </c>
      <c r="K89" t="s">
        <v>23</v>
      </c>
      <c r="L89">
        <v>0.1459580169108177</v>
      </c>
      <c r="M89" t="s">
        <v>23</v>
      </c>
      <c r="N89">
        <v>0</v>
      </c>
      <c r="O89">
        <v>0</v>
      </c>
      <c r="P89" t="s">
        <v>34</v>
      </c>
      <c r="Q89" t="s">
        <v>33</v>
      </c>
      <c r="R89" t="s">
        <v>29</v>
      </c>
      <c r="S89" t="s">
        <v>30</v>
      </c>
      <c r="T89" t="s">
        <v>35</v>
      </c>
      <c r="U89">
        <f t="shared" si="1"/>
        <v>1</v>
      </c>
    </row>
    <row r="90" spans="1:21" x14ac:dyDescent="0.2">
      <c r="A90">
        <v>568</v>
      </c>
      <c r="B90" t="s">
        <v>41</v>
      </c>
      <c r="C90" t="s">
        <v>21</v>
      </c>
      <c r="D90">
        <v>40</v>
      </c>
      <c r="E90">
        <v>1</v>
      </c>
      <c r="F90">
        <v>99282.63</v>
      </c>
      <c r="G90">
        <v>1</v>
      </c>
      <c r="H90" t="s">
        <v>23</v>
      </c>
      <c r="I90" t="s">
        <v>23</v>
      </c>
      <c r="J90">
        <v>134600.94</v>
      </c>
      <c r="K90" t="s">
        <v>22</v>
      </c>
      <c r="L90">
        <v>0.40392861318245221</v>
      </c>
      <c r="M90" t="s">
        <v>23</v>
      </c>
      <c r="N90">
        <v>1</v>
      </c>
      <c r="O90">
        <v>0</v>
      </c>
      <c r="P90" t="s">
        <v>24</v>
      </c>
      <c r="Q90" t="s">
        <v>33</v>
      </c>
      <c r="R90" t="s">
        <v>38</v>
      </c>
      <c r="S90" t="s">
        <v>30</v>
      </c>
      <c r="T90" t="s">
        <v>28</v>
      </c>
      <c r="U90">
        <f t="shared" si="1"/>
        <v>0</v>
      </c>
    </row>
    <row r="91" spans="1:21" x14ac:dyDescent="0.2">
      <c r="A91">
        <v>619</v>
      </c>
      <c r="B91" t="s">
        <v>41</v>
      </c>
      <c r="C91" t="s">
        <v>21</v>
      </c>
      <c r="D91">
        <v>57</v>
      </c>
      <c r="E91">
        <v>3</v>
      </c>
      <c r="F91">
        <v>137946.39000000001</v>
      </c>
      <c r="G91">
        <v>1</v>
      </c>
      <c r="H91" t="s">
        <v>22</v>
      </c>
      <c r="I91" t="s">
        <v>22</v>
      </c>
      <c r="J91">
        <v>72467.990000000005</v>
      </c>
      <c r="K91" t="s">
        <v>22</v>
      </c>
      <c r="L91">
        <v>0.43468608001985382</v>
      </c>
      <c r="M91" t="s">
        <v>23</v>
      </c>
      <c r="N91">
        <v>1</v>
      </c>
      <c r="O91">
        <v>0</v>
      </c>
      <c r="P91" t="s">
        <v>24</v>
      </c>
      <c r="Q91" t="s">
        <v>44</v>
      </c>
      <c r="R91" t="s">
        <v>26</v>
      </c>
      <c r="S91" t="s">
        <v>27</v>
      </c>
      <c r="T91" t="s">
        <v>40</v>
      </c>
      <c r="U91">
        <f t="shared" si="1"/>
        <v>0</v>
      </c>
    </row>
    <row r="92" spans="1:21" x14ac:dyDescent="0.2">
      <c r="A92">
        <v>626</v>
      </c>
      <c r="B92" t="s">
        <v>42</v>
      </c>
      <c r="C92" t="s">
        <v>32</v>
      </c>
      <c r="D92">
        <v>35</v>
      </c>
      <c r="E92">
        <v>3</v>
      </c>
      <c r="F92">
        <v>0</v>
      </c>
      <c r="G92">
        <v>1</v>
      </c>
      <c r="H92" t="s">
        <v>23</v>
      </c>
      <c r="I92" t="s">
        <v>23</v>
      </c>
      <c r="J92">
        <v>80190.36</v>
      </c>
      <c r="K92" t="s">
        <v>23</v>
      </c>
      <c r="L92">
        <v>0.2030208631720144</v>
      </c>
      <c r="M92" t="s">
        <v>23</v>
      </c>
      <c r="N92">
        <v>0</v>
      </c>
      <c r="O92">
        <v>0</v>
      </c>
      <c r="P92" t="s">
        <v>24</v>
      </c>
      <c r="Q92" t="s">
        <v>33</v>
      </c>
      <c r="R92" t="s">
        <v>29</v>
      </c>
      <c r="S92" t="s">
        <v>27</v>
      </c>
      <c r="T92" t="s">
        <v>40</v>
      </c>
      <c r="U92">
        <f t="shared" si="1"/>
        <v>1</v>
      </c>
    </row>
    <row r="93" spans="1:21" x14ac:dyDescent="0.2">
      <c r="A93">
        <v>534</v>
      </c>
      <c r="B93" t="s">
        <v>42</v>
      </c>
      <c r="C93" t="s">
        <v>32</v>
      </c>
      <c r="D93">
        <v>34</v>
      </c>
      <c r="E93">
        <v>7</v>
      </c>
      <c r="F93">
        <v>121551.58</v>
      </c>
      <c r="G93">
        <v>2</v>
      </c>
      <c r="H93" t="s">
        <v>22</v>
      </c>
      <c r="I93" t="s">
        <v>22</v>
      </c>
      <c r="J93">
        <v>70179</v>
      </c>
      <c r="K93" t="s">
        <v>23</v>
      </c>
      <c r="L93">
        <v>8.5237238260609693E-2</v>
      </c>
      <c r="M93" t="s">
        <v>23</v>
      </c>
      <c r="N93">
        <v>0</v>
      </c>
      <c r="O93">
        <v>0</v>
      </c>
      <c r="P93" t="s">
        <v>34</v>
      </c>
      <c r="Q93" t="s">
        <v>33</v>
      </c>
      <c r="R93" t="s">
        <v>26</v>
      </c>
      <c r="S93" t="s">
        <v>30</v>
      </c>
      <c r="T93" t="s">
        <v>40</v>
      </c>
      <c r="U93">
        <f t="shared" si="1"/>
        <v>1</v>
      </c>
    </row>
    <row r="94" spans="1:21" x14ac:dyDescent="0.2">
      <c r="A94">
        <v>748</v>
      </c>
      <c r="B94" t="s">
        <v>42</v>
      </c>
      <c r="C94" t="s">
        <v>32</v>
      </c>
      <c r="D94">
        <v>26</v>
      </c>
      <c r="E94">
        <v>1</v>
      </c>
      <c r="F94">
        <v>77780.289999999994</v>
      </c>
      <c r="G94">
        <v>1</v>
      </c>
      <c r="H94" t="s">
        <v>23</v>
      </c>
      <c r="I94" t="s">
        <v>22</v>
      </c>
      <c r="J94">
        <v>183049.41</v>
      </c>
      <c r="K94" t="s">
        <v>23</v>
      </c>
      <c r="L94">
        <v>5.1706735988022598E-2</v>
      </c>
      <c r="M94" t="s">
        <v>23</v>
      </c>
      <c r="N94">
        <v>0</v>
      </c>
      <c r="O94">
        <v>0</v>
      </c>
      <c r="P94" t="s">
        <v>34</v>
      </c>
      <c r="Q94" t="s">
        <v>36</v>
      </c>
      <c r="R94" t="s">
        <v>38</v>
      </c>
      <c r="S94" t="s">
        <v>37</v>
      </c>
      <c r="T94" t="s">
        <v>31</v>
      </c>
      <c r="U94">
        <f t="shared" si="1"/>
        <v>1</v>
      </c>
    </row>
    <row r="95" spans="1:21" x14ac:dyDescent="0.2">
      <c r="A95">
        <v>675</v>
      </c>
      <c r="B95" t="s">
        <v>42</v>
      </c>
      <c r="C95" t="s">
        <v>32</v>
      </c>
      <c r="D95">
        <v>38</v>
      </c>
      <c r="E95">
        <v>6</v>
      </c>
      <c r="F95">
        <v>68065.8</v>
      </c>
      <c r="G95">
        <v>1</v>
      </c>
      <c r="H95" t="s">
        <v>23</v>
      </c>
      <c r="I95" t="s">
        <v>23</v>
      </c>
      <c r="J95">
        <v>138777</v>
      </c>
      <c r="K95" t="s">
        <v>22</v>
      </c>
      <c r="L95">
        <v>0.26315435874254522</v>
      </c>
      <c r="M95" t="s">
        <v>23</v>
      </c>
      <c r="N95">
        <v>1</v>
      </c>
      <c r="O95">
        <v>0</v>
      </c>
      <c r="P95" t="s">
        <v>24</v>
      </c>
      <c r="Q95" t="s">
        <v>33</v>
      </c>
      <c r="R95" t="s">
        <v>38</v>
      </c>
      <c r="S95" t="s">
        <v>27</v>
      </c>
      <c r="T95" t="s">
        <v>28</v>
      </c>
      <c r="U95">
        <f t="shared" si="1"/>
        <v>0</v>
      </c>
    </row>
    <row r="96" spans="1:21" x14ac:dyDescent="0.2">
      <c r="A96">
        <v>778</v>
      </c>
      <c r="B96" t="s">
        <v>20</v>
      </c>
      <c r="C96" t="s">
        <v>32</v>
      </c>
      <c r="D96">
        <v>47</v>
      </c>
      <c r="E96">
        <v>6</v>
      </c>
      <c r="F96">
        <v>127299.34</v>
      </c>
      <c r="G96">
        <v>2</v>
      </c>
      <c r="H96" t="s">
        <v>22</v>
      </c>
      <c r="I96" t="s">
        <v>23</v>
      </c>
      <c r="J96">
        <v>124694.99</v>
      </c>
      <c r="K96" t="s">
        <v>23</v>
      </c>
      <c r="L96">
        <v>0.40449563225812352</v>
      </c>
      <c r="M96" t="s">
        <v>23</v>
      </c>
      <c r="N96">
        <v>0</v>
      </c>
      <c r="O96">
        <v>0</v>
      </c>
      <c r="P96" t="s">
        <v>24</v>
      </c>
      <c r="Q96" t="s">
        <v>25</v>
      </c>
      <c r="R96" t="s">
        <v>26</v>
      </c>
      <c r="S96" t="s">
        <v>37</v>
      </c>
      <c r="T96" t="s">
        <v>28</v>
      </c>
      <c r="U96">
        <f t="shared" si="1"/>
        <v>1</v>
      </c>
    </row>
    <row r="97" spans="1:21" x14ac:dyDescent="0.2">
      <c r="A97">
        <v>509</v>
      </c>
      <c r="B97" t="s">
        <v>20</v>
      </c>
      <c r="C97" t="s">
        <v>32</v>
      </c>
      <c r="D97">
        <v>25</v>
      </c>
      <c r="E97">
        <v>3</v>
      </c>
      <c r="F97">
        <v>108738.71</v>
      </c>
      <c r="G97">
        <v>2</v>
      </c>
      <c r="H97" t="s">
        <v>22</v>
      </c>
      <c r="I97" t="s">
        <v>23</v>
      </c>
      <c r="J97">
        <v>106920.57</v>
      </c>
      <c r="K97" t="s">
        <v>23</v>
      </c>
      <c r="L97">
        <v>0.13858801249445571</v>
      </c>
      <c r="M97" t="s">
        <v>23</v>
      </c>
      <c r="N97">
        <v>0</v>
      </c>
      <c r="O97">
        <v>0</v>
      </c>
      <c r="P97" t="s">
        <v>34</v>
      </c>
      <c r="Q97" t="s">
        <v>36</v>
      </c>
      <c r="R97" t="s">
        <v>26</v>
      </c>
      <c r="S97" t="s">
        <v>30</v>
      </c>
      <c r="T97" t="s">
        <v>28</v>
      </c>
      <c r="U97">
        <f t="shared" si="1"/>
        <v>1</v>
      </c>
    </row>
    <row r="98" spans="1:21" x14ac:dyDescent="0.2">
      <c r="A98">
        <v>818</v>
      </c>
      <c r="B98" t="s">
        <v>20</v>
      </c>
      <c r="C98" t="s">
        <v>21</v>
      </c>
      <c r="D98">
        <v>26</v>
      </c>
      <c r="E98">
        <v>4</v>
      </c>
      <c r="F98">
        <v>0</v>
      </c>
      <c r="G98">
        <v>2</v>
      </c>
      <c r="H98" t="s">
        <v>22</v>
      </c>
      <c r="I98" t="s">
        <v>22</v>
      </c>
      <c r="J98">
        <v>167036.94</v>
      </c>
      <c r="K98" t="s">
        <v>23</v>
      </c>
      <c r="L98">
        <v>2.0385714251447799E-2</v>
      </c>
      <c r="M98" t="s">
        <v>23</v>
      </c>
      <c r="N98">
        <v>0</v>
      </c>
      <c r="O98">
        <v>0</v>
      </c>
      <c r="P98" t="s">
        <v>34</v>
      </c>
      <c r="Q98" t="s">
        <v>36</v>
      </c>
      <c r="R98" t="s">
        <v>29</v>
      </c>
      <c r="S98" t="s">
        <v>39</v>
      </c>
      <c r="T98" t="s">
        <v>31</v>
      </c>
      <c r="U98">
        <f t="shared" si="1"/>
        <v>1</v>
      </c>
    </row>
    <row r="99" spans="1:21" x14ac:dyDescent="0.2">
      <c r="A99">
        <v>816</v>
      </c>
      <c r="B99" t="s">
        <v>41</v>
      </c>
      <c r="C99" t="s">
        <v>32</v>
      </c>
      <c r="D99">
        <v>38</v>
      </c>
      <c r="E99">
        <v>5</v>
      </c>
      <c r="F99">
        <v>130878.75</v>
      </c>
      <c r="G99">
        <v>3</v>
      </c>
      <c r="H99" t="s">
        <v>22</v>
      </c>
      <c r="I99" t="s">
        <v>23</v>
      </c>
      <c r="J99">
        <v>71905.77</v>
      </c>
      <c r="K99" t="s">
        <v>22</v>
      </c>
      <c r="L99">
        <v>0.39338511116504898</v>
      </c>
      <c r="M99" t="s">
        <v>23</v>
      </c>
      <c r="N99">
        <v>1</v>
      </c>
      <c r="O99">
        <v>0</v>
      </c>
      <c r="P99" t="s">
        <v>24</v>
      </c>
      <c r="Q99" t="s">
        <v>33</v>
      </c>
      <c r="R99" t="s">
        <v>26</v>
      </c>
      <c r="S99" t="s">
        <v>39</v>
      </c>
      <c r="T99" t="s">
        <v>40</v>
      </c>
      <c r="U99">
        <f t="shared" si="1"/>
        <v>0</v>
      </c>
    </row>
    <row r="100" spans="1:21" x14ac:dyDescent="0.2">
      <c r="A100">
        <v>631</v>
      </c>
      <c r="B100" t="s">
        <v>20</v>
      </c>
      <c r="C100" t="s">
        <v>21</v>
      </c>
      <c r="D100">
        <v>27</v>
      </c>
      <c r="E100">
        <v>10</v>
      </c>
      <c r="F100">
        <v>134169.62</v>
      </c>
      <c r="G100">
        <v>1</v>
      </c>
      <c r="H100" t="s">
        <v>22</v>
      </c>
      <c r="I100" t="s">
        <v>22</v>
      </c>
      <c r="J100">
        <v>176730.02</v>
      </c>
      <c r="K100" t="s">
        <v>23</v>
      </c>
      <c r="L100">
        <v>3.452890083827248E-2</v>
      </c>
      <c r="M100" t="s">
        <v>23</v>
      </c>
      <c r="N100">
        <v>0</v>
      </c>
      <c r="O100">
        <v>0</v>
      </c>
      <c r="P100" t="s">
        <v>34</v>
      </c>
      <c r="Q100" t="s">
        <v>36</v>
      </c>
      <c r="R100" t="s">
        <v>26</v>
      </c>
      <c r="S100" t="s">
        <v>27</v>
      </c>
      <c r="T100" t="s">
        <v>31</v>
      </c>
      <c r="U100">
        <f t="shared" si="1"/>
        <v>1</v>
      </c>
    </row>
    <row r="101" spans="1:21" x14ac:dyDescent="0.2">
      <c r="A101">
        <v>621</v>
      </c>
      <c r="B101" t="s">
        <v>41</v>
      </c>
      <c r="C101" t="s">
        <v>21</v>
      </c>
      <c r="D101">
        <v>46</v>
      </c>
      <c r="E101">
        <v>6</v>
      </c>
      <c r="F101">
        <v>141078.37</v>
      </c>
      <c r="G101">
        <v>1</v>
      </c>
      <c r="H101" t="s">
        <v>23</v>
      </c>
      <c r="I101" t="s">
        <v>23</v>
      </c>
      <c r="J101">
        <v>34580.800000000003</v>
      </c>
      <c r="K101" t="s">
        <v>22</v>
      </c>
      <c r="L101">
        <v>0.49289336826930769</v>
      </c>
      <c r="M101" t="s">
        <v>23</v>
      </c>
      <c r="N101">
        <v>1</v>
      </c>
      <c r="O101">
        <v>0</v>
      </c>
      <c r="P101" t="s">
        <v>24</v>
      </c>
      <c r="Q101" t="s">
        <v>25</v>
      </c>
      <c r="R101" t="s">
        <v>26</v>
      </c>
      <c r="S101" t="s">
        <v>27</v>
      </c>
      <c r="T101" t="s">
        <v>35</v>
      </c>
      <c r="U101">
        <f t="shared" si="1"/>
        <v>0</v>
      </c>
    </row>
    <row r="102" spans="1:21" x14ac:dyDescent="0.2">
      <c r="A102">
        <v>605</v>
      </c>
      <c r="B102" t="s">
        <v>41</v>
      </c>
      <c r="C102" t="s">
        <v>32</v>
      </c>
      <c r="D102">
        <v>31</v>
      </c>
      <c r="E102">
        <v>1</v>
      </c>
      <c r="F102">
        <v>117992.59</v>
      </c>
      <c r="G102">
        <v>1</v>
      </c>
      <c r="H102" t="s">
        <v>22</v>
      </c>
      <c r="I102" t="s">
        <v>22</v>
      </c>
      <c r="J102">
        <v>183598.77</v>
      </c>
      <c r="K102" t="s">
        <v>23</v>
      </c>
      <c r="L102">
        <v>0.1708834977649242</v>
      </c>
      <c r="M102" t="s">
        <v>23</v>
      </c>
      <c r="N102">
        <v>0</v>
      </c>
      <c r="O102">
        <v>0</v>
      </c>
      <c r="P102" t="s">
        <v>34</v>
      </c>
      <c r="Q102" t="s">
        <v>33</v>
      </c>
      <c r="R102" t="s">
        <v>26</v>
      </c>
      <c r="S102" t="s">
        <v>27</v>
      </c>
      <c r="T102" t="s">
        <v>31</v>
      </c>
      <c r="U102">
        <f t="shared" si="1"/>
        <v>1</v>
      </c>
    </row>
    <row r="103" spans="1:21" x14ac:dyDescent="0.2">
      <c r="A103">
        <v>798</v>
      </c>
      <c r="B103" t="s">
        <v>42</v>
      </c>
      <c r="C103" t="s">
        <v>21</v>
      </c>
      <c r="D103">
        <v>37</v>
      </c>
      <c r="E103">
        <v>8</v>
      </c>
      <c r="F103">
        <v>0</v>
      </c>
      <c r="G103">
        <v>3</v>
      </c>
      <c r="H103" t="s">
        <v>23</v>
      </c>
      <c r="I103" t="s">
        <v>23</v>
      </c>
      <c r="J103">
        <v>110783.28</v>
      </c>
      <c r="K103" t="s">
        <v>23</v>
      </c>
      <c r="L103">
        <v>0.1020060340161927</v>
      </c>
      <c r="M103" t="s">
        <v>23</v>
      </c>
      <c r="N103">
        <v>0</v>
      </c>
      <c r="O103">
        <v>0</v>
      </c>
      <c r="P103" t="s">
        <v>34</v>
      </c>
      <c r="Q103" t="s">
        <v>33</v>
      </c>
      <c r="R103" t="s">
        <v>29</v>
      </c>
      <c r="S103" t="s">
        <v>37</v>
      </c>
      <c r="T103" t="s">
        <v>28</v>
      </c>
      <c r="U103">
        <f t="shared" si="1"/>
        <v>1</v>
      </c>
    </row>
    <row r="104" spans="1:21" x14ac:dyDescent="0.2">
      <c r="A104">
        <v>641</v>
      </c>
      <c r="B104" t="s">
        <v>42</v>
      </c>
      <c r="C104" t="s">
        <v>21</v>
      </c>
      <c r="D104">
        <v>37</v>
      </c>
      <c r="E104">
        <v>7</v>
      </c>
      <c r="F104">
        <v>0</v>
      </c>
      <c r="G104">
        <v>2</v>
      </c>
      <c r="H104" t="s">
        <v>22</v>
      </c>
      <c r="I104" t="s">
        <v>23</v>
      </c>
      <c r="J104">
        <v>75248.3</v>
      </c>
      <c r="K104" t="s">
        <v>23</v>
      </c>
      <c r="L104">
        <v>0.11971496125304509</v>
      </c>
      <c r="M104" t="s">
        <v>23</v>
      </c>
      <c r="N104">
        <v>0</v>
      </c>
      <c r="O104">
        <v>0</v>
      </c>
      <c r="P104" t="s">
        <v>34</v>
      </c>
      <c r="Q104" t="s">
        <v>33</v>
      </c>
      <c r="R104" t="s">
        <v>29</v>
      </c>
      <c r="S104" t="s">
        <v>27</v>
      </c>
      <c r="T104" t="s">
        <v>40</v>
      </c>
      <c r="U104">
        <f t="shared" si="1"/>
        <v>1</v>
      </c>
    </row>
    <row r="105" spans="1:21" x14ac:dyDescent="0.2">
      <c r="A105">
        <v>542</v>
      </c>
      <c r="B105" t="s">
        <v>42</v>
      </c>
      <c r="C105" t="s">
        <v>21</v>
      </c>
      <c r="D105">
        <v>39</v>
      </c>
      <c r="E105">
        <v>3</v>
      </c>
      <c r="F105">
        <v>135096.76999999999</v>
      </c>
      <c r="G105">
        <v>1</v>
      </c>
      <c r="H105" t="s">
        <v>22</v>
      </c>
      <c r="I105" t="s">
        <v>22</v>
      </c>
      <c r="J105">
        <v>14353.43</v>
      </c>
      <c r="K105" t="s">
        <v>22</v>
      </c>
      <c r="L105">
        <v>8.5517521523770415E-2</v>
      </c>
      <c r="M105" t="s">
        <v>23</v>
      </c>
      <c r="N105">
        <v>1</v>
      </c>
      <c r="O105">
        <v>0</v>
      </c>
      <c r="P105" t="s">
        <v>34</v>
      </c>
      <c r="Q105" t="s">
        <v>33</v>
      </c>
      <c r="R105" t="s">
        <v>26</v>
      </c>
      <c r="S105" t="s">
        <v>30</v>
      </c>
      <c r="T105" t="s">
        <v>35</v>
      </c>
      <c r="U105">
        <f t="shared" si="1"/>
        <v>0</v>
      </c>
    </row>
    <row r="106" spans="1:21" x14ac:dyDescent="0.2">
      <c r="A106">
        <v>639</v>
      </c>
      <c r="B106" t="s">
        <v>42</v>
      </c>
      <c r="C106" t="s">
        <v>32</v>
      </c>
      <c r="D106">
        <v>38</v>
      </c>
      <c r="E106">
        <v>4</v>
      </c>
      <c r="F106">
        <v>81550.94</v>
      </c>
      <c r="G106">
        <v>2</v>
      </c>
      <c r="H106" t="s">
        <v>23</v>
      </c>
      <c r="I106" t="s">
        <v>22</v>
      </c>
      <c r="J106">
        <v>118974.77</v>
      </c>
      <c r="K106" t="s">
        <v>23</v>
      </c>
      <c r="L106">
        <v>0.1057654455107144</v>
      </c>
      <c r="M106" t="s">
        <v>23</v>
      </c>
      <c r="N106">
        <v>0</v>
      </c>
      <c r="O106">
        <v>0</v>
      </c>
      <c r="P106" t="s">
        <v>34</v>
      </c>
      <c r="Q106" t="s">
        <v>33</v>
      </c>
      <c r="R106" t="s">
        <v>38</v>
      </c>
      <c r="S106" t="s">
        <v>27</v>
      </c>
      <c r="T106" t="s">
        <v>28</v>
      </c>
      <c r="U106">
        <f t="shared" si="1"/>
        <v>1</v>
      </c>
    </row>
    <row r="107" spans="1:21" x14ac:dyDescent="0.2">
      <c r="A107">
        <v>531</v>
      </c>
      <c r="B107" t="s">
        <v>42</v>
      </c>
      <c r="C107" t="s">
        <v>32</v>
      </c>
      <c r="D107">
        <v>47</v>
      </c>
      <c r="E107">
        <v>6</v>
      </c>
      <c r="F107">
        <v>0</v>
      </c>
      <c r="G107">
        <v>1</v>
      </c>
      <c r="H107" t="s">
        <v>23</v>
      </c>
      <c r="I107" t="s">
        <v>23</v>
      </c>
      <c r="J107">
        <v>194998.34</v>
      </c>
      <c r="K107" t="s">
        <v>22</v>
      </c>
      <c r="L107">
        <v>0.3991609652647562</v>
      </c>
      <c r="M107" t="s">
        <v>23</v>
      </c>
      <c r="N107">
        <v>1</v>
      </c>
      <c r="O107">
        <v>0</v>
      </c>
      <c r="P107" t="s">
        <v>24</v>
      </c>
      <c r="Q107" t="s">
        <v>25</v>
      </c>
      <c r="R107" t="s">
        <v>29</v>
      </c>
      <c r="S107" t="s">
        <v>30</v>
      </c>
      <c r="T107" t="s">
        <v>31</v>
      </c>
      <c r="U107">
        <f t="shared" si="1"/>
        <v>0</v>
      </c>
    </row>
    <row r="108" spans="1:21" x14ac:dyDescent="0.2">
      <c r="A108">
        <v>673</v>
      </c>
      <c r="B108" t="s">
        <v>42</v>
      </c>
      <c r="C108" t="s">
        <v>32</v>
      </c>
      <c r="D108">
        <v>38</v>
      </c>
      <c r="E108">
        <v>2</v>
      </c>
      <c r="F108">
        <v>170061.92</v>
      </c>
      <c r="G108">
        <v>2</v>
      </c>
      <c r="H108" t="s">
        <v>23</v>
      </c>
      <c r="I108" t="s">
        <v>23</v>
      </c>
      <c r="J108">
        <v>134901.34</v>
      </c>
      <c r="K108" t="s">
        <v>22</v>
      </c>
      <c r="L108">
        <v>0.31205510789719432</v>
      </c>
      <c r="M108" t="s">
        <v>23</v>
      </c>
      <c r="N108">
        <v>1</v>
      </c>
      <c r="O108">
        <v>0</v>
      </c>
      <c r="P108" t="s">
        <v>24</v>
      </c>
      <c r="Q108" t="s">
        <v>33</v>
      </c>
      <c r="R108" t="s">
        <v>47</v>
      </c>
      <c r="S108" t="s">
        <v>27</v>
      </c>
      <c r="T108" t="s">
        <v>28</v>
      </c>
      <c r="U108">
        <f t="shared" si="1"/>
        <v>0</v>
      </c>
    </row>
    <row r="109" spans="1:21" x14ac:dyDescent="0.2">
      <c r="A109">
        <v>555</v>
      </c>
      <c r="B109" t="s">
        <v>20</v>
      </c>
      <c r="C109" t="s">
        <v>21</v>
      </c>
      <c r="D109">
        <v>32</v>
      </c>
      <c r="E109">
        <v>4</v>
      </c>
      <c r="F109">
        <v>0</v>
      </c>
      <c r="G109">
        <v>2</v>
      </c>
      <c r="H109" t="s">
        <v>22</v>
      </c>
      <c r="I109" t="s">
        <v>22</v>
      </c>
      <c r="J109">
        <v>54405.79</v>
      </c>
      <c r="K109" t="s">
        <v>23</v>
      </c>
      <c r="L109">
        <v>3.525357978768643E-2</v>
      </c>
      <c r="M109" t="s">
        <v>23</v>
      </c>
      <c r="N109">
        <v>0</v>
      </c>
      <c r="O109">
        <v>0</v>
      </c>
      <c r="P109" t="s">
        <v>34</v>
      </c>
      <c r="Q109" t="s">
        <v>33</v>
      </c>
      <c r="R109" t="s">
        <v>29</v>
      </c>
      <c r="S109" t="s">
        <v>30</v>
      </c>
      <c r="T109" t="s">
        <v>40</v>
      </c>
      <c r="U109">
        <f t="shared" si="1"/>
        <v>1</v>
      </c>
    </row>
    <row r="110" spans="1:21" x14ac:dyDescent="0.2">
      <c r="A110">
        <v>774</v>
      </c>
      <c r="B110" t="s">
        <v>42</v>
      </c>
      <c r="C110" t="s">
        <v>21</v>
      </c>
      <c r="D110">
        <v>60</v>
      </c>
      <c r="E110">
        <v>5</v>
      </c>
      <c r="F110">
        <v>85891.55</v>
      </c>
      <c r="G110">
        <v>1</v>
      </c>
      <c r="H110" t="s">
        <v>22</v>
      </c>
      <c r="I110" t="s">
        <v>23</v>
      </c>
      <c r="J110">
        <v>74135.48</v>
      </c>
      <c r="K110" t="s">
        <v>22</v>
      </c>
      <c r="L110">
        <v>0.49495196452037887</v>
      </c>
      <c r="M110" t="s">
        <v>23</v>
      </c>
      <c r="N110">
        <v>1</v>
      </c>
      <c r="O110">
        <v>0</v>
      </c>
      <c r="P110" t="s">
        <v>24</v>
      </c>
      <c r="Q110" t="s">
        <v>44</v>
      </c>
      <c r="R110" t="s">
        <v>38</v>
      </c>
      <c r="S110" t="s">
        <v>37</v>
      </c>
      <c r="T110" t="s">
        <v>40</v>
      </c>
      <c r="U110">
        <f t="shared" si="1"/>
        <v>0</v>
      </c>
    </row>
    <row r="111" spans="1:21" x14ac:dyDescent="0.2">
      <c r="A111">
        <v>691</v>
      </c>
      <c r="B111" t="s">
        <v>41</v>
      </c>
      <c r="C111" t="s">
        <v>21</v>
      </c>
      <c r="D111">
        <v>30</v>
      </c>
      <c r="E111">
        <v>7</v>
      </c>
      <c r="F111">
        <v>116927.89</v>
      </c>
      <c r="G111">
        <v>1</v>
      </c>
      <c r="H111" t="s">
        <v>22</v>
      </c>
      <c r="I111" t="s">
        <v>23</v>
      </c>
      <c r="J111">
        <v>21198.39</v>
      </c>
      <c r="K111" t="s">
        <v>23</v>
      </c>
      <c r="L111">
        <v>0.20054958044763069</v>
      </c>
      <c r="M111" t="s">
        <v>23</v>
      </c>
      <c r="N111">
        <v>0</v>
      </c>
      <c r="O111">
        <v>0</v>
      </c>
      <c r="P111" t="s">
        <v>24</v>
      </c>
      <c r="Q111" t="s">
        <v>36</v>
      </c>
      <c r="R111" t="s">
        <v>26</v>
      </c>
      <c r="S111" t="s">
        <v>27</v>
      </c>
      <c r="T111" t="s">
        <v>35</v>
      </c>
      <c r="U111">
        <f t="shared" si="1"/>
        <v>1</v>
      </c>
    </row>
    <row r="112" spans="1:21" x14ac:dyDescent="0.2">
      <c r="A112">
        <v>684</v>
      </c>
      <c r="B112" t="s">
        <v>41</v>
      </c>
      <c r="C112" t="s">
        <v>32</v>
      </c>
      <c r="D112">
        <v>40</v>
      </c>
      <c r="E112">
        <v>6</v>
      </c>
      <c r="F112">
        <v>137326.65</v>
      </c>
      <c r="G112">
        <v>1</v>
      </c>
      <c r="H112" t="s">
        <v>22</v>
      </c>
      <c r="I112" t="s">
        <v>23</v>
      </c>
      <c r="J112">
        <v>186976.6</v>
      </c>
      <c r="K112" t="s">
        <v>23</v>
      </c>
      <c r="L112">
        <v>0.51868960600202718</v>
      </c>
      <c r="M112" t="s">
        <v>22</v>
      </c>
      <c r="N112">
        <v>0</v>
      </c>
      <c r="O112">
        <v>1</v>
      </c>
      <c r="P112" t="s">
        <v>43</v>
      </c>
      <c r="Q112" t="s">
        <v>33</v>
      </c>
      <c r="R112" t="s">
        <v>26</v>
      </c>
      <c r="S112" t="s">
        <v>27</v>
      </c>
      <c r="T112" t="s">
        <v>31</v>
      </c>
      <c r="U112">
        <f t="shared" si="1"/>
        <v>0</v>
      </c>
    </row>
    <row r="113" spans="1:21" x14ac:dyDescent="0.2">
      <c r="A113">
        <v>599</v>
      </c>
      <c r="B113" t="s">
        <v>20</v>
      </c>
      <c r="C113" t="s">
        <v>32</v>
      </c>
      <c r="D113">
        <v>37</v>
      </c>
      <c r="E113">
        <v>2</v>
      </c>
      <c r="F113">
        <v>0</v>
      </c>
      <c r="G113">
        <v>2</v>
      </c>
      <c r="H113" t="s">
        <v>22</v>
      </c>
      <c r="I113" t="s">
        <v>22</v>
      </c>
      <c r="J113">
        <v>143739.29</v>
      </c>
      <c r="K113" t="s">
        <v>23</v>
      </c>
      <c r="L113">
        <v>8.8445357860565857E-2</v>
      </c>
      <c r="M113" t="s">
        <v>23</v>
      </c>
      <c r="N113">
        <v>0</v>
      </c>
      <c r="O113">
        <v>0</v>
      </c>
      <c r="P113" t="s">
        <v>34</v>
      </c>
      <c r="Q113" t="s">
        <v>33</v>
      </c>
      <c r="R113" t="s">
        <v>29</v>
      </c>
      <c r="S113" t="s">
        <v>30</v>
      </c>
      <c r="T113" t="s">
        <v>28</v>
      </c>
      <c r="U113">
        <f t="shared" si="1"/>
        <v>1</v>
      </c>
    </row>
    <row r="114" spans="1:21" x14ac:dyDescent="0.2">
      <c r="A114">
        <v>605</v>
      </c>
      <c r="B114" t="s">
        <v>42</v>
      </c>
      <c r="C114" t="s">
        <v>32</v>
      </c>
      <c r="D114">
        <v>51</v>
      </c>
      <c r="E114">
        <v>3</v>
      </c>
      <c r="F114">
        <v>136188.78</v>
      </c>
      <c r="G114">
        <v>1</v>
      </c>
      <c r="H114" t="s">
        <v>22</v>
      </c>
      <c r="I114" t="s">
        <v>22</v>
      </c>
      <c r="J114">
        <v>67110.59</v>
      </c>
      <c r="K114" t="s">
        <v>22</v>
      </c>
      <c r="L114">
        <v>0.27978739542243669</v>
      </c>
      <c r="M114" t="s">
        <v>23</v>
      </c>
      <c r="N114">
        <v>1</v>
      </c>
      <c r="O114">
        <v>0</v>
      </c>
      <c r="P114" t="s">
        <v>24</v>
      </c>
      <c r="Q114" t="s">
        <v>44</v>
      </c>
      <c r="R114" t="s">
        <v>26</v>
      </c>
      <c r="S114" t="s">
        <v>27</v>
      </c>
      <c r="T114" t="s">
        <v>40</v>
      </c>
      <c r="U114">
        <f t="shared" si="1"/>
        <v>0</v>
      </c>
    </row>
    <row r="115" spans="1:21" x14ac:dyDescent="0.2">
      <c r="A115">
        <v>793</v>
      </c>
      <c r="B115" t="s">
        <v>20</v>
      </c>
      <c r="C115" t="s">
        <v>21</v>
      </c>
      <c r="D115">
        <v>38</v>
      </c>
      <c r="E115">
        <v>9</v>
      </c>
      <c r="F115">
        <v>0</v>
      </c>
      <c r="G115">
        <v>2</v>
      </c>
      <c r="H115" t="s">
        <v>22</v>
      </c>
      <c r="I115" t="s">
        <v>23</v>
      </c>
      <c r="J115">
        <v>88225.02</v>
      </c>
      <c r="K115" t="s">
        <v>23</v>
      </c>
      <c r="L115">
        <v>0.11709167920166259</v>
      </c>
      <c r="M115" t="s">
        <v>23</v>
      </c>
      <c r="N115">
        <v>0</v>
      </c>
      <c r="O115">
        <v>0</v>
      </c>
      <c r="P115" t="s">
        <v>34</v>
      </c>
      <c r="Q115" t="s">
        <v>33</v>
      </c>
      <c r="R115" t="s">
        <v>29</v>
      </c>
      <c r="S115" t="s">
        <v>37</v>
      </c>
      <c r="T115" t="s">
        <v>40</v>
      </c>
      <c r="U115">
        <f t="shared" si="1"/>
        <v>1</v>
      </c>
    </row>
    <row r="116" spans="1:21" x14ac:dyDescent="0.2">
      <c r="A116">
        <v>698</v>
      </c>
      <c r="B116" t="s">
        <v>42</v>
      </c>
      <c r="C116" t="s">
        <v>21</v>
      </c>
      <c r="D116">
        <v>48</v>
      </c>
      <c r="E116">
        <v>4</v>
      </c>
      <c r="F116">
        <v>101238.24</v>
      </c>
      <c r="G116">
        <v>2</v>
      </c>
      <c r="H116" t="s">
        <v>23</v>
      </c>
      <c r="I116" t="s">
        <v>22</v>
      </c>
      <c r="J116">
        <v>177815.87</v>
      </c>
      <c r="K116" t="s">
        <v>22</v>
      </c>
      <c r="L116">
        <v>0.13020043062549291</v>
      </c>
      <c r="M116" t="s">
        <v>23</v>
      </c>
      <c r="N116">
        <v>1</v>
      </c>
      <c r="O116">
        <v>0</v>
      </c>
      <c r="P116" t="s">
        <v>34</v>
      </c>
      <c r="Q116" t="s">
        <v>25</v>
      </c>
      <c r="R116" t="s">
        <v>26</v>
      </c>
      <c r="S116" t="s">
        <v>27</v>
      </c>
      <c r="T116" t="s">
        <v>31</v>
      </c>
      <c r="U116">
        <f t="shared" si="1"/>
        <v>0</v>
      </c>
    </row>
    <row r="117" spans="1:21" x14ac:dyDescent="0.2">
      <c r="A117">
        <v>696</v>
      </c>
      <c r="B117" t="s">
        <v>41</v>
      </c>
      <c r="C117" t="s">
        <v>21</v>
      </c>
      <c r="D117">
        <v>32</v>
      </c>
      <c r="E117">
        <v>8</v>
      </c>
      <c r="F117">
        <v>101160.99</v>
      </c>
      <c r="G117">
        <v>1</v>
      </c>
      <c r="H117" t="s">
        <v>22</v>
      </c>
      <c r="I117" t="s">
        <v>22</v>
      </c>
      <c r="J117">
        <v>115916.55</v>
      </c>
      <c r="K117" t="s">
        <v>23</v>
      </c>
      <c r="L117">
        <v>8.8195887883610602E-2</v>
      </c>
      <c r="M117" t="s">
        <v>23</v>
      </c>
      <c r="N117">
        <v>0</v>
      </c>
      <c r="O117">
        <v>0</v>
      </c>
      <c r="P117" t="s">
        <v>34</v>
      </c>
      <c r="Q117" t="s">
        <v>33</v>
      </c>
      <c r="R117" t="s">
        <v>26</v>
      </c>
      <c r="S117" t="s">
        <v>27</v>
      </c>
      <c r="T117" t="s">
        <v>28</v>
      </c>
      <c r="U117">
        <f t="shared" si="1"/>
        <v>1</v>
      </c>
    </row>
    <row r="118" spans="1:21" x14ac:dyDescent="0.2">
      <c r="A118">
        <v>776</v>
      </c>
      <c r="B118" t="s">
        <v>42</v>
      </c>
      <c r="C118" t="s">
        <v>32</v>
      </c>
      <c r="D118">
        <v>31</v>
      </c>
      <c r="E118">
        <v>2</v>
      </c>
      <c r="F118">
        <v>0</v>
      </c>
      <c r="G118">
        <v>2</v>
      </c>
      <c r="H118" t="s">
        <v>22</v>
      </c>
      <c r="I118" t="s">
        <v>22</v>
      </c>
      <c r="J118">
        <v>112349.51</v>
      </c>
      <c r="K118" t="s">
        <v>23</v>
      </c>
      <c r="L118">
        <v>4.9488841423208522E-2</v>
      </c>
      <c r="M118" t="s">
        <v>23</v>
      </c>
      <c r="N118">
        <v>0</v>
      </c>
      <c r="O118">
        <v>0</v>
      </c>
      <c r="P118" t="s">
        <v>34</v>
      </c>
      <c r="Q118" t="s">
        <v>33</v>
      </c>
      <c r="R118" t="s">
        <v>29</v>
      </c>
      <c r="S118" t="s">
        <v>37</v>
      </c>
      <c r="T118" t="s">
        <v>28</v>
      </c>
      <c r="U118">
        <f t="shared" si="1"/>
        <v>1</v>
      </c>
    </row>
    <row r="119" spans="1:21" x14ac:dyDescent="0.2">
      <c r="A119">
        <v>673</v>
      </c>
      <c r="B119" t="s">
        <v>42</v>
      </c>
      <c r="C119" t="s">
        <v>21</v>
      </c>
      <c r="D119">
        <v>30</v>
      </c>
      <c r="E119">
        <v>1</v>
      </c>
      <c r="F119">
        <v>64097.75</v>
      </c>
      <c r="G119">
        <v>1</v>
      </c>
      <c r="H119" t="s">
        <v>22</v>
      </c>
      <c r="I119" t="s">
        <v>22</v>
      </c>
      <c r="J119">
        <v>77783.350000000006</v>
      </c>
      <c r="K119" t="s">
        <v>23</v>
      </c>
      <c r="L119">
        <v>3.7861577631676489E-2</v>
      </c>
      <c r="M119" t="s">
        <v>23</v>
      </c>
      <c r="N119">
        <v>0</v>
      </c>
      <c r="O119">
        <v>0</v>
      </c>
      <c r="P119" t="s">
        <v>34</v>
      </c>
      <c r="Q119" t="s">
        <v>36</v>
      </c>
      <c r="R119" t="s">
        <v>38</v>
      </c>
      <c r="S119" t="s">
        <v>27</v>
      </c>
      <c r="T119" t="s">
        <v>40</v>
      </c>
      <c r="U119">
        <f t="shared" si="1"/>
        <v>1</v>
      </c>
    </row>
    <row r="120" spans="1:21" x14ac:dyDescent="0.2">
      <c r="A120">
        <v>519</v>
      </c>
      <c r="B120" t="s">
        <v>20</v>
      </c>
      <c r="C120" t="s">
        <v>32</v>
      </c>
      <c r="D120">
        <v>57</v>
      </c>
      <c r="E120">
        <v>2</v>
      </c>
      <c r="F120">
        <v>119035.35</v>
      </c>
      <c r="G120">
        <v>2</v>
      </c>
      <c r="H120" t="s">
        <v>22</v>
      </c>
      <c r="I120" t="s">
        <v>22</v>
      </c>
      <c r="J120">
        <v>29871.79</v>
      </c>
      <c r="K120" t="s">
        <v>23</v>
      </c>
      <c r="L120">
        <v>0.3652360593407149</v>
      </c>
      <c r="M120" t="s">
        <v>23</v>
      </c>
      <c r="N120">
        <v>0</v>
      </c>
      <c r="O120">
        <v>0</v>
      </c>
      <c r="P120" t="s">
        <v>24</v>
      </c>
      <c r="Q120" t="s">
        <v>44</v>
      </c>
      <c r="R120" t="s">
        <v>26</v>
      </c>
      <c r="S120" t="s">
        <v>30</v>
      </c>
      <c r="T120" t="s">
        <v>35</v>
      </c>
      <c r="U120">
        <f t="shared" si="1"/>
        <v>1</v>
      </c>
    </row>
    <row r="121" spans="1:21" x14ac:dyDescent="0.2">
      <c r="A121">
        <v>729</v>
      </c>
      <c r="B121" t="s">
        <v>42</v>
      </c>
      <c r="C121" t="s">
        <v>21</v>
      </c>
      <c r="D121">
        <v>32</v>
      </c>
      <c r="E121">
        <v>6</v>
      </c>
      <c r="F121">
        <v>93694.42</v>
      </c>
      <c r="G121">
        <v>1</v>
      </c>
      <c r="H121" t="s">
        <v>22</v>
      </c>
      <c r="I121" t="s">
        <v>22</v>
      </c>
      <c r="J121">
        <v>79919.13</v>
      </c>
      <c r="K121" t="s">
        <v>23</v>
      </c>
      <c r="L121">
        <v>4.1208029759947751E-2</v>
      </c>
      <c r="M121" t="s">
        <v>23</v>
      </c>
      <c r="N121">
        <v>0</v>
      </c>
      <c r="O121">
        <v>0</v>
      </c>
      <c r="P121" t="s">
        <v>34</v>
      </c>
      <c r="Q121" t="s">
        <v>33</v>
      </c>
      <c r="R121" t="s">
        <v>38</v>
      </c>
      <c r="S121" t="s">
        <v>37</v>
      </c>
      <c r="T121" t="s">
        <v>40</v>
      </c>
      <c r="U121">
        <f t="shared" si="1"/>
        <v>1</v>
      </c>
    </row>
    <row r="122" spans="1:21" x14ac:dyDescent="0.2">
      <c r="A122">
        <v>745</v>
      </c>
      <c r="B122" t="s">
        <v>41</v>
      </c>
      <c r="C122" t="s">
        <v>32</v>
      </c>
      <c r="D122">
        <v>28</v>
      </c>
      <c r="E122">
        <v>1</v>
      </c>
      <c r="F122">
        <v>111071.36</v>
      </c>
      <c r="G122">
        <v>1</v>
      </c>
      <c r="H122" t="s">
        <v>22</v>
      </c>
      <c r="I122" t="s">
        <v>23</v>
      </c>
      <c r="J122">
        <v>73275.960000000006</v>
      </c>
      <c r="K122" t="s">
        <v>22</v>
      </c>
      <c r="L122">
        <v>0.291506570266098</v>
      </c>
      <c r="M122" t="s">
        <v>23</v>
      </c>
      <c r="N122">
        <v>1</v>
      </c>
      <c r="O122">
        <v>0</v>
      </c>
      <c r="P122" t="s">
        <v>24</v>
      </c>
      <c r="Q122" t="s">
        <v>36</v>
      </c>
      <c r="R122" t="s">
        <v>26</v>
      </c>
      <c r="S122" t="s">
        <v>37</v>
      </c>
      <c r="T122" t="s">
        <v>40</v>
      </c>
      <c r="U122">
        <f t="shared" si="1"/>
        <v>0</v>
      </c>
    </row>
    <row r="123" spans="1:21" x14ac:dyDescent="0.2">
      <c r="A123">
        <v>504</v>
      </c>
      <c r="B123" t="s">
        <v>42</v>
      </c>
      <c r="C123" t="s">
        <v>32</v>
      </c>
      <c r="D123">
        <v>49</v>
      </c>
      <c r="E123">
        <v>7</v>
      </c>
      <c r="F123">
        <v>0</v>
      </c>
      <c r="G123">
        <v>3</v>
      </c>
      <c r="H123" t="s">
        <v>23</v>
      </c>
      <c r="I123" t="s">
        <v>22</v>
      </c>
      <c r="J123">
        <v>87822.14</v>
      </c>
      <c r="K123" t="s">
        <v>22</v>
      </c>
      <c r="L123">
        <v>0.1653260006431157</v>
      </c>
      <c r="M123" t="s">
        <v>23</v>
      </c>
      <c r="N123">
        <v>1</v>
      </c>
      <c r="O123">
        <v>0</v>
      </c>
      <c r="P123" t="s">
        <v>34</v>
      </c>
      <c r="Q123" t="s">
        <v>25</v>
      </c>
      <c r="R123" t="s">
        <v>29</v>
      </c>
      <c r="S123" t="s">
        <v>30</v>
      </c>
      <c r="T123" t="s">
        <v>40</v>
      </c>
      <c r="U123">
        <f t="shared" si="1"/>
        <v>0</v>
      </c>
    </row>
    <row r="124" spans="1:21" x14ac:dyDescent="0.2">
      <c r="A124">
        <v>749</v>
      </c>
      <c r="B124" t="s">
        <v>42</v>
      </c>
      <c r="C124" t="s">
        <v>21</v>
      </c>
      <c r="D124">
        <v>24</v>
      </c>
      <c r="E124">
        <v>1</v>
      </c>
      <c r="F124">
        <v>0</v>
      </c>
      <c r="G124">
        <v>3</v>
      </c>
      <c r="H124" t="s">
        <v>22</v>
      </c>
      <c r="I124" t="s">
        <v>22</v>
      </c>
      <c r="J124">
        <v>47911.03</v>
      </c>
      <c r="K124" t="s">
        <v>23</v>
      </c>
      <c r="L124">
        <v>1.5955621999817499E-2</v>
      </c>
      <c r="M124" t="s">
        <v>23</v>
      </c>
      <c r="N124">
        <v>0</v>
      </c>
      <c r="O124">
        <v>0</v>
      </c>
      <c r="P124" t="s">
        <v>34</v>
      </c>
      <c r="Q124" t="s">
        <v>36</v>
      </c>
      <c r="R124" t="s">
        <v>29</v>
      </c>
      <c r="S124" t="s">
        <v>37</v>
      </c>
      <c r="T124" t="s">
        <v>35</v>
      </c>
      <c r="U124">
        <f t="shared" si="1"/>
        <v>1</v>
      </c>
    </row>
    <row r="125" spans="1:21" x14ac:dyDescent="0.2">
      <c r="A125">
        <v>590</v>
      </c>
      <c r="B125" t="s">
        <v>20</v>
      </c>
      <c r="C125" t="s">
        <v>32</v>
      </c>
      <c r="D125">
        <v>51</v>
      </c>
      <c r="E125">
        <v>3</v>
      </c>
      <c r="F125">
        <v>154962.99</v>
      </c>
      <c r="G125">
        <v>3</v>
      </c>
      <c r="H125" t="s">
        <v>23</v>
      </c>
      <c r="I125" t="s">
        <v>22</v>
      </c>
      <c r="J125">
        <v>191932.27</v>
      </c>
      <c r="K125" t="s">
        <v>22</v>
      </c>
      <c r="L125">
        <v>0.27823718759926719</v>
      </c>
      <c r="M125" t="s">
        <v>23</v>
      </c>
      <c r="N125">
        <v>1</v>
      </c>
      <c r="O125">
        <v>0</v>
      </c>
      <c r="P125" t="s">
        <v>24</v>
      </c>
      <c r="Q125" t="s">
        <v>44</v>
      </c>
      <c r="R125" t="s">
        <v>47</v>
      </c>
      <c r="S125" t="s">
        <v>30</v>
      </c>
      <c r="T125" t="s">
        <v>31</v>
      </c>
      <c r="U125">
        <f t="shared" si="1"/>
        <v>0</v>
      </c>
    </row>
    <row r="126" spans="1:21" x14ac:dyDescent="0.2">
      <c r="A126">
        <v>587</v>
      </c>
      <c r="B126" t="s">
        <v>41</v>
      </c>
      <c r="C126" t="s">
        <v>21</v>
      </c>
      <c r="D126">
        <v>40</v>
      </c>
      <c r="E126">
        <v>5</v>
      </c>
      <c r="F126">
        <v>138241.9</v>
      </c>
      <c r="G126">
        <v>2</v>
      </c>
      <c r="H126" t="s">
        <v>22</v>
      </c>
      <c r="I126" t="s">
        <v>23</v>
      </c>
      <c r="J126">
        <v>159418.1</v>
      </c>
      <c r="K126" t="s">
        <v>23</v>
      </c>
      <c r="L126">
        <v>0.37697834930315682</v>
      </c>
      <c r="M126" t="s">
        <v>23</v>
      </c>
      <c r="N126">
        <v>0</v>
      </c>
      <c r="O126">
        <v>0</v>
      </c>
      <c r="P126" t="s">
        <v>24</v>
      </c>
      <c r="Q126" t="s">
        <v>33</v>
      </c>
      <c r="R126" t="s">
        <v>26</v>
      </c>
      <c r="S126" t="s">
        <v>30</v>
      </c>
      <c r="T126" t="s">
        <v>31</v>
      </c>
      <c r="U126">
        <f t="shared" si="1"/>
        <v>1</v>
      </c>
    </row>
    <row r="127" spans="1:21" x14ac:dyDescent="0.2">
      <c r="A127">
        <v>598</v>
      </c>
      <c r="B127" t="s">
        <v>41</v>
      </c>
      <c r="C127" t="s">
        <v>21</v>
      </c>
      <c r="D127">
        <v>41</v>
      </c>
      <c r="E127">
        <v>3</v>
      </c>
      <c r="F127">
        <v>91536.93</v>
      </c>
      <c r="G127">
        <v>1</v>
      </c>
      <c r="H127" t="s">
        <v>22</v>
      </c>
      <c r="I127" t="s">
        <v>23</v>
      </c>
      <c r="J127">
        <v>191468.78</v>
      </c>
      <c r="K127" t="s">
        <v>22</v>
      </c>
      <c r="L127">
        <v>0.4022864155375046</v>
      </c>
      <c r="M127" t="s">
        <v>23</v>
      </c>
      <c r="N127">
        <v>1</v>
      </c>
      <c r="O127">
        <v>0</v>
      </c>
      <c r="P127" t="s">
        <v>24</v>
      </c>
      <c r="Q127" t="s">
        <v>25</v>
      </c>
      <c r="R127" t="s">
        <v>38</v>
      </c>
      <c r="S127" t="s">
        <v>30</v>
      </c>
      <c r="T127" t="s">
        <v>31</v>
      </c>
      <c r="U127">
        <f t="shared" si="1"/>
        <v>0</v>
      </c>
    </row>
    <row r="128" spans="1:21" x14ac:dyDescent="0.2">
      <c r="A128">
        <v>543</v>
      </c>
      <c r="B128" t="s">
        <v>42</v>
      </c>
      <c r="C128" t="s">
        <v>21</v>
      </c>
      <c r="D128">
        <v>36</v>
      </c>
      <c r="E128">
        <v>4</v>
      </c>
      <c r="F128">
        <v>0</v>
      </c>
      <c r="G128">
        <v>2</v>
      </c>
      <c r="H128" t="s">
        <v>22</v>
      </c>
      <c r="I128" t="s">
        <v>22</v>
      </c>
      <c r="J128">
        <v>141210.5</v>
      </c>
      <c r="K128" t="s">
        <v>23</v>
      </c>
      <c r="L128">
        <v>4.7657870414078131E-2</v>
      </c>
      <c r="M128" t="s">
        <v>23</v>
      </c>
      <c r="N128">
        <v>0</v>
      </c>
      <c r="O128">
        <v>0</v>
      </c>
      <c r="P128" t="s">
        <v>34</v>
      </c>
      <c r="Q128" t="s">
        <v>33</v>
      </c>
      <c r="R128" t="s">
        <v>29</v>
      </c>
      <c r="S128" t="s">
        <v>30</v>
      </c>
      <c r="T128" t="s">
        <v>28</v>
      </c>
      <c r="U128">
        <f t="shared" si="1"/>
        <v>1</v>
      </c>
    </row>
    <row r="129" spans="1:21" x14ac:dyDescent="0.2">
      <c r="A129">
        <v>601</v>
      </c>
      <c r="B129" t="s">
        <v>42</v>
      </c>
      <c r="C129" t="s">
        <v>21</v>
      </c>
      <c r="D129">
        <v>44</v>
      </c>
      <c r="E129">
        <v>1</v>
      </c>
      <c r="F129">
        <v>100486.18</v>
      </c>
      <c r="G129">
        <v>2</v>
      </c>
      <c r="H129" t="s">
        <v>22</v>
      </c>
      <c r="I129" t="s">
        <v>22</v>
      </c>
      <c r="J129">
        <v>62678.53</v>
      </c>
      <c r="K129" t="s">
        <v>23</v>
      </c>
      <c r="L129">
        <v>0.1027329319675367</v>
      </c>
      <c r="M129" t="s">
        <v>23</v>
      </c>
      <c r="N129">
        <v>0</v>
      </c>
      <c r="O129">
        <v>0</v>
      </c>
      <c r="P129" t="s">
        <v>34</v>
      </c>
      <c r="Q129" t="s">
        <v>25</v>
      </c>
      <c r="R129" t="s">
        <v>26</v>
      </c>
      <c r="S129" t="s">
        <v>27</v>
      </c>
      <c r="T129" t="s">
        <v>40</v>
      </c>
      <c r="U129">
        <f t="shared" si="1"/>
        <v>1</v>
      </c>
    </row>
    <row r="130" spans="1:21" x14ac:dyDescent="0.2">
      <c r="A130">
        <v>848</v>
      </c>
      <c r="B130" t="s">
        <v>20</v>
      </c>
      <c r="C130" t="s">
        <v>21</v>
      </c>
      <c r="D130">
        <v>40</v>
      </c>
      <c r="E130">
        <v>3</v>
      </c>
      <c r="F130">
        <v>110929.96</v>
      </c>
      <c r="G130">
        <v>1</v>
      </c>
      <c r="H130" t="s">
        <v>22</v>
      </c>
      <c r="I130" t="s">
        <v>22</v>
      </c>
      <c r="J130">
        <v>30876.84</v>
      </c>
      <c r="K130" t="s">
        <v>23</v>
      </c>
      <c r="L130">
        <v>7.4298385027305777E-2</v>
      </c>
      <c r="M130" t="s">
        <v>23</v>
      </c>
      <c r="N130">
        <v>0</v>
      </c>
      <c r="O130">
        <v>0</v>
      </c>
      <c r="P130" t="s">
        <v>34</v>
      </c>
      <c r="Q130" t="s">
        <v>33</v>
      </c>
      <c r="R130" t="s">
        <v>26</v>
      </c>
      <c r="S130" t="s">
        <v>39</v>
      </c>
      <c r="T130" t="s">
        <v>35</v>
      </c>
      <c r="U130">
        <f t="shared" ref="U130:U193" si="2">IF(K130=M130,1,0)</f>
        <v>1</v>
      </c>
    </row>
    <row r="131" spans="1:21" x14ac:dyDescent="0.2">
      <c r="A131">
        <v>593</v>
      </c>
      <c r="B131" t="s">
        <v>42</v>
      </c>
      <c r="C131" t="s">
        <v>32</v>
      </c>
      <c r="D131">
        <v>41</v>
      </c>
      <c r="E131">
        <v>6</v>
      </c>
      <c r="F131">
        <v>0</v>
      </c>
      <c r="G131">
        <v>1</v>
      </c>
      <c r="H131" t="s">
        <v>22</v>
      </c>
      <c r="I131" t="s">
        <v>23</v>
      </c>
      <c r="J131">
        <v>65170.66</v>
      </c>
      <c r="K131" t="s">
        <v>23</v>
      </c>
      <c r="L131">
        <v>0.26880491556497471</v>
      </c>
      <c r="M131" t="s">
        <v>23</v>
      </c>
      <c r="N131">
        <v>0</v>
      </c>
      <c r="O131">
        <v>0</v>
      </c>
      <c r="P131" t="s">
        <v>24</v>
      </c>
      <c r="Q131" t="s">
        <v>25</v>
      </c>
      <c r="R131" t="s">
        <v>29</v>
      </c>
      <c r="S131" t="s">
        <v>30</v>
      </c>
      <c r="T131" t="s">
        <v>40</v>
      </c>
      <c r="U131">
        <f t="shared" si="2"/>
        <v>1</v>
      </c>
    </row>
    <row r="132" spans="1:21" x14ac:dyDescent="0.2">
      <c r="A132">
        <v>701</v>
      </c>
      <c r="B132" t="s">
        <v>20</v>
      </c>
      <c r="C132" t="s">
        <v>21</v>
      </c>
      <c r="D132">
        <v>36</v>
      </c>
      <c r="E132">
        <v>8</v>
      </c>
      <c r="F132">
        <v>0</v>
      </c>
      <c r="G132">
        <v>2</v>
      </c>
      <c r="H132" t="s">
        <v>22</v>
      </c>
      <c r="I132" t="s">
        <v>23</v>
      </c>
      <c r="J132">
        <v>169161.46</v>
      </c>
      <c r="K132" t="s">
        <v>23</v>
      </c>
      <c r="L132">
        <v>0.11511899785895539</v>
      </c>
      <c r="M132" t="s">
        <v>23</v>
      </c>
      <c r="N132">
        <v>0</v>
      </c>
      <c r="O132">
        <v>0</v>
      </c>
      <c r="P132" t="s">
        <v>34</v>
      </c>
      <c r="Q132" t="s">
        <v>33</v>
      </c>
      <c r="R132" t="s">
        <v>29</v>
      </c>
      <c r="S132" t="s">
        <v>37</v>
      </c>
      <c r="T132" t="s">
        <v>31</v>
      </c>
      <c r="U132">
        <f t="shared" si="2"/>
        <v>1</v>
      </c>
    </row>
    <row r="133" spans="1:21" x14ac:dyDescent="0.2">
      <c r="A133">
        <v>607</v>
      </c>
      <c r="B133" t="s">
        <v>20</v>
      </c>
      <c r="C133" t="s">
        <v>32</v>
      </c>
      <c r="D133">
        <v>33</v>
      </c>
      <c r="E133">
        <v>2</v>
      </c>
      <c r="F133">
        <v>108431.87</v>
      </c>
      <c r="G133">
        <v>2</v>
      </c>
      <c r="H133" t="s">
        <v>23</v>
      </c>
      <c r="I133" t="s">
        <v>22</v>
      </c>
      <c r="J133">
        <v>109291.39</v>
      </c>
      <c r="K133" t="s">
        <v>22</v>
      </c>
      <c r="L133">
        <v>8.7839547425559245E-2</v>
      </c>
      <c r="M133" t="s">
        <v>23</v>
      </c>
      <c r="N133">
        <v>1</v>
      </c>
      <c r="O133">
        <v>0</v>
      </c>
      <c r="P133" t="s">
        <v>34</v>
      </c>
      <c r="Q133" t="s">
        <v>33</v>
      </c>
      <c r="R133" t="s">
        <v>26</v>
      </c>
      <c r="S133" t="s">
        <v>27</v>
      </c>
      <c r="T133" t="s">
        <v>28</v>
      </c>
      <c r="U133">
        <f t="shared" si="2"/>
        <v>0</v>
      </c>
    </row>
    <row r="134" spans="1:21" x14ac:dyDescent="0.2">
      <c r="A134">
        <v>647</v>
      </c>
      <c r="B134" t="s">
        <v>41</v>
      </c>
      <c r="C134" t="s">
        <v>32</v>
      </c>
      <c r="D134">
        <v>51</v>
      </c>
      <c r="E134">
        <v>1</v>
      </c>
      <c r="F134">
        <v>119741.77</v>
      </c>
      <c r="G134">
        <v>2</v>
      </c>
      <c r="H134" t="s">
        <v>23</v>
      </c>
      <c r="I134" t="s">
        <v>23</v>
      </c>
      <c r="J134">
        <v>54954.51</v>
      </c>
      <c r="K134" t="s">
        <v>22</v>
      </c>
      <c r="L134">
        <v>0.6947532036223466</v>
      </c>
      <c r="M134" t="s">
        <v>22</v>
      </c>
      <c r="N134">
        <v>1</v>
      </c>
      <c r="O134">
        <v>1</v>
      </c>
      <c r="P134" t="s">
        <v>43</v>
      </c>
      <c r="Q134" t="s">
        <v>44</v>
      </c>
      <c r="R134" t="s">
        <v>26</v>
      </c>
      <c r="S134" t="s">
        <v>27</v>
      </c>
      <c r="T134" t="s">
        <v>40</v>
      </c>
      <c r="U134">
        <f t="shared" si="2"/>
        <v>1</v>
      </c>
    </row>
    <row r="135" spans="1:21" x14ac:dyDescent="0.2">
      <c r="A135">
        <v>621</v>
      </c>
      <c r="B135" t="s">
        <v>20</v>
      </c>
      <c r="C135" t="s">
        <v>21</v>
      </c>
      <c r="D135">
        <v>53</v>
      </c>
      <c r="E135">
        <v>9</v>
      </c>
      <c r="F135">
        <v>170491.84</v>
      </c>
      <c r="G135">
        <v>1</v>
      </c>
      <c r="H135" t="s">
        <v>22</v>
      </c>
      <c r="I135" t="s">
        <v>23</v>
      </c>
      <c r="J135">
        <v>35588.07</v>
      </c>
      <c r="K135" t="s">
        <v>22</v>
      </c>
      <c r="L135">
        <v>0.43161961345669342</v>
      </c>
      <c r="M135" t="s">
        <v>23</v>
      </c>
      <c r="N135">
        <v>1</v>
      </c>
      <c r="O135">
        <v>0</v>
      </c>
      <c r="P135" t="s">
        <v>24</v>
      </c>
      <c r="Q135" t="s">
        <v>44</v>
      </c>
      <c r="R135" t="s">
        <v>47</v>
      </c>
      <c r="S135" t="s">
        <v>27</v>
      </c>
      <c r="T135" t="s">
        <v>35</v>
      </c>
      <c r="U135">
        <f t="shared" si="2"/>
        <v>0</v>
      </c>
    </row>
    <row r="136" spans="1:21" x14ac:dyDescent="0.2">
      <c r="A136">
        <v>646</v>
      </c>
      <c r="B136" t="s">
        <v>41</v>
      </c>
      <c r="C136" t="s">
        <v>21</v>
      </c>
      <c r="D136">
        <v>39</v>
      </c>
      <c r="E136">
        <v>9</v>
      </c>
      <c r="F136">
        <v>111574.41</v>
      </c>
      <c r="G136">
        <v>1</v>
      </c>
      <c r="H136" t="s">
        <v>22</v>
      </c>
      <c r="I136" t="s">
        <v>22</v>
      </c>
      <c r="J136">
        <v>30838.51</v>
      </c>
      <c r="K136" t="s">
        <v>23</v>
      </c>
      <c r="L136">
        <v>0.13899121915421819</v>
      </c>
      <c r="M136" t="s">
        <v>23</v>
      </c>
      <c r="N136">
        <v>0</v>
      </c>
      <c r="O136">
        <v>0</v>
      </c>
      <c r="P136" t="s">
        <v>34</v>
      </c>
      <c r="Q136" t="s">
        <v>33</v>
      </c>
      <c r="R136" t="s">
        <v>26</v>
      </c>
      <c r="S136" t="s">
        <v>27</v>
      </c>
      <c r="T136" t="s">
        <v>35</v>
      </c>
      <c r="U136">
        <f t="shared" si="2"/>
        <v>1</v>
      </c>
    </row>
    <row r="137" spans="1:21" x14ac:dyDescent="0.2">
      <c r="A137">
        <v>688</v>
      </c>
      <c r="B137" t="s">
        <v>41</v>
      </c>
      <c r="C137" t="s">
        <v>21</v>
      </c>
      <c r="D137">
        <v>26</v>
      </c>
      <c r="E137">
        <v>8</v>
      </c>
      <c r="F137">
        <v>146133.39000000001</v>
      </c>
      <c r="G137">
        <v>1</v>
      </c>
      <c r="H137" t="s">
        <v>22</v>
      </c>
      <c r="I137" t="s">
        <v>22</v>
      </c>
      <c r="J137">
        <v>175296.76</v>
      </c>
      <c r="K137" t="s">
        <v>23</v>
      </c>
      <c r="L137">
        <v>6.7577916360978554E-2</v>
      </c>
      <c r="M137" t="s">
        <v>23</v>
      </c>
      <c r="N137">
        <v>0</v>
      </c>
      <c r="O137">
        <v>0</v>
      </c>
      <c r="P137" t="s">
        <v>34</v>
      </c>
      <c r="Q137" t="s">
        <v>36</v>
      </c>
      <c r="R137" t="s">
        <v>26</v>
      </c>
      <c r="S137" t="s">
        <v>27</v>
      </c>
      <c r="T137" t="s">
        <v>31</v>
      </c>
      <c r="U137">
        <f t="shared" si="2"/>
        <v>1</v>
      </c>
    </row>
    <row r="138" spans="1:21" x14ac:dyDescent="0.2">
      <c r="A138">
        <v>850</v>
      </c>
      <c r="B138" t="s">
        <v>20</v>
      </c>
      <c r="C138" t="s">
        <v>21</v>
      </c>
      <c r="D138">
        <v>35</v>
      </c>
      <c r="E138">
        <v>7</v>
      </c>
      <c r="F138">
        <v>110349.82</v>
      </c>
      <c r="G138">
        <v>1</v>
      </c>
      <c r="H138" t="s">
        <v>23</v>
      </c>
      <c r="I138" t="s">
        <v>23</v>
      </c>
      <c r="J138">
        <v>126355.8</v>
      </c>
      <c r="K138" t="s">
        <v>23</v>
      </c>
      <c r="L138">
        <v>0.14197659463273771</v>
      </c>
      <c r="M138" t="s">
        <v>23</v>
      </c>
      <c r="N138">
        <v>0</v>
      </c>
      <c r="O138">
        <v>0</v>
      </c>
      <c r="P138" t="s">
        <v>34</v>
      </c>
      <c r="Q138" t="s">
        <v>33</v>
      </c>
      <c r="R138" t="s">
        <v>26</v>
      </c>
      <c r="S138" t="s">
        <v>39</v>
      </c>
      <c r="T138" t="s">
        <v>28</v>
      </c>
      <c r="U138">
        <f t="shared" si="2"/>
        <v>1</v>
      </c>
    </row>
    <row r="139" spans="1:21" x14ac:dyDescent="0.2">
      <c r="A139">
        <v>706</v>
      </c>
      <c r="B139" t="s">
        <v>42</v>
      </c>
      <c r="C139" t="s">
        <v>32</v>
      </c>
      <c r="D139">
        <v>29</v>
      </c>
      <c r="E139">
        <v>5</v>
      </c>
      <c r="F139">
        <v>112564.62</v>
      </c>
      <c r="G139">
        <v>1</v>
      </c>
      <c r="H139" t="s">
        <v>22</v>
      </c>
      <c r="I139" t="s">
        <v>23</v>
      </c>
      <c r="J139">
        <v>42334.38</v>
      </c>
      <c r="K139" t="s">
        <v>23</v>
      </c>
      <c r="L139">
        <v>0.158679044926435</v>
      </c>
      <c r="M139" t="s">
        <v>23</v>
      </c>
      <c r="N139">
        <v>0</v>
      </c>
      <c r="O139">
        <v>0</v>
      </c>
      <c r="P139" t="s">
        <v>34</v>
      </c>
      <c r="Q139" t="s">
        <v>36</v>
      </c>
      <c r="R139" t="s">
        <v>26</v>
      </c>
      <c r="S139" t="s">
        <v>37</v>
      </c>
      <c r="T139" t="s">
        <v>35</v>
      </c>
      <c r="U139">
        <f t="shared" si="2"/>
        <v>1</v>
      </c>
    </row>
    <row r="140" spans="1:21" x14ac:dyDescent="0.2">
      <c r="A140">
        <v>578</v>
      </c>
      <c r="B140" t="s">
        <v>42</v>
      </c>
      <c r="C140" t="s">
        <v>21</v>
      </c>
      <c r="D140">
        <v>38</v>
      </c>
      <c r="E140">
        <v>7</v>
      </c>
      <c r="F140">
        <v>82259.289999999994</v>
      </c>
      <c r="G140">
        <v>1</v>
      </c>
      <c r="H140" t="s">
        <v>22</v>
      </c>
      <c r="I140" t="s">
        <v>23</v>
      </c>
      <c r="J140">
        <v>8996.9699999999993</v>
      </c>
      <c r="K140" t="s">
        <v>23</v>
      </c>
      <c r="L140">
        <v>0.1682923056182348</v>
      </c>
      <c r="M140" t="s">
        <v>23</v>
      </c>
      <c r="N140">
        <v>0</v>
      </c>
      <c r="O140">
        <v>0</v>
      </c>
      <c r="P140" t="s">
        <v>34</v>
      </c>
      <c r="Q140" t="s">
        <v>33</v>
      </c>
      <c r="R140" t="s">
        <v>38</v>
      </c>
      <c r="S140" t="s">
        <v>30</v>
      </c>
      <c r="T140" t="s">
        <v>35</v>
      </c>
      <c r="U140">
        <f t="shared" si="2"/>
        <v>1</v>
      </c>
    </row>
    <row r="141" spans="1:21" x14ac:dyDescent="0.2">
      <c r="A141">
        <v>459</v>
      </c>
      <c r="B141" t="s">
        <v>41</v>
      </c>
      <c r="C141" t="s">
        <v>21</v>
      </c>
      <c r="D141">
        <v>48</v>
      </c>
      <c r="E141">
        <v>4</v>
      </c>
      <c r="F141">
        <v>133994.51999999999</v>
      </c>
      <c r="G141">
        <v>1</v>
      </c>
      <c r="H141" t="s">
        <v>22</v>
      </c>
      <c r="I141" t="s">
        <v>22</v>
      </c>
      <c r="J141">
        <v>19287.060000000001</v>
      </c>
      <c r="K141" t="s">
        <v>22</v>
      </c>
      <c r="L141">
        <v>0.29365325301953121</v>
      </c>
      <c r="M141" t="s">
        <v>23</v>
      </c>
      <c r="N141">
        <v>1</v>
      </c>
      <c r="O141">
        <v>0</v>
      </c>
      <c r="P141" t="s">
        <v>24</v>
      </c>
      <c r="Q141" t="s">
        <v>25</v>
      </c>
      <c r="R141" t="s">
        <v>26</v>
      </c>
      <c r="S141" t="s">
        <v>45</v>
      </c>
      <c r="T141" t="s">
        <v>35</v>
      </c>
      <c r="U141">
        <f t="shared" si="2"/>
        <v>0</v>
      </c>
    </row>
    <row r="142" spans="1:21" x14ac:dyDescent="0.2">
      <c r="A142">
        <v>632</v>
      </c>
      <c r="B142" t="s">
        <v>41</v>
      </c>
      <c r="C142" t="s">
        <v>32</v>
      </c>
      <c r="D142">
        <v>41</v>
      </c>
      <c r="E142">
        <v>3</v>
      </c>
      <c r="F142">
        <v>81877.38</v>
      </c>
      <c r="G142">
        <v>1</v>
      </c>
      <c r="H142" t="s">
        <v>22</v>
      </c>
      <c r="I142" t="s">
        <v>22</v>
      </c>
      <c r="J142">
        <v>33642.21</v>
      </c>
      <c r="K142" t="s">
        <v>23</v>
      </c>
      <c r="L142">
        <v>0.25441251050349473</v>
      </c>
      <c r="M142" t="s">
        <v>23</v>
      </c>
      <c r="N142">
        <v>0</v>
      </c>
      <c r="O142">
        <v>0</v>
      </c>
      <c r="P142" t="s">
        <v>24</v>
      </c>
      <c r="Q142" t="s">
        <v>25</v>
      </c>
      <c r="R142" t="s">
        <v>38</v>
      </c>
      <c r="S142" t="s">
        <v>27</v>
      </c>
      <c r="T142" t="s">
        <v>35</v>
      </c>
      <c r="U142">
        <f t="shared" si="2"/>
        <v>1</v>
      </c>
    </row>
    <row r="143" spans="1:21" x14ac:dyDescent="0.2">
      <c r="A143">
        <v>694</v>
      </c>
      <c r="B143" t="s">
        <v>20</v>
      </c>
      <c r="C143" t="s">
        <v>21</v>
      </c>
      <c r="D143">
        <v>57</v>
      </c>
      <c r="E143">
        <v>8</v>
      </c>
      <c r="F143">
        <v>116326.07</v>
      </c>
      <c r="G143">
        <v>1</v>
      </c>
      <c r="H143" t="s">
        <v>22</v>
      </c>
      <c r="I143" t="s">
        <v>22</v>
      </c>
      <c r="J143">
        <v>117704.65</v>
      </c>
      <c r="K143" t="s">
        <v>23</v>
      </c>
      <c r="L143">
        <v>0.23248425490008251</v>
      </c>
      <c r="M143" t="s">
        <v>23</v>
      </c>
      <c r="N143">
        <v>0</v>
      </c>
      <c r="O143">
        <v>0</v>
      </c>
      <c r="P143" t="s">
        <v>24</v>
      </c>
      <c r="Q143" t="s">
        <v>44</v>
      </c>
      <c r="R143" t="s">
        <v>26</v>
      </c>
      <c r="S143" t="s">
        <v>27</v>
      </c>
      <c r="T143" t="s">
        <v>28</v>
      </c>
      <c r="U143">
        <f t="shared" si="2"/>
        <v>1</v>
      </c>
    </row>
    <row r="144" spans="1:21" x14ac:dyDescent="0.2">
      <c r="A144">
        <v>559</v>
      </c>
      <c r="B144" t="s">
        <v>42</v>
      </c>
      <c r="C144" t="s">
        <v>32</v>
      </c>
      <c r="D144">
        <v>31</v>
      </c>
      <c r="E144">
        <v>3</v>
      </c>
      <c r="F144">
        <v>127070.73</v>
      </c>
      <c r="G144">
        <v>1</v>
      </c>
      <c r="H144" t="s">
        <v>23</v>
      </c>
      <c r="I144" t="s">
        <v>22</v>
      </c>
      <c r="J144">
        <v>160941.78</v>
      </c>
      <c r="K144" t="s">
        <v>23</v>
      </c>
      <c r="L144">
        <v>8.8470550907483819E-2</v>
      </c>
      <c r="M144" t="s">
        <v>23</v>
      </c>
      <c r="N144">
        <v>0</v>
      </c>
      <c r="O144">
        <v>0</v>
      </c>
      <c r="P144" t="s">
        <v>34</v>
      </c>
      <c r="Q144" t="s">
        <v>33</v>
      </c>
      <c r="R144" t="s">
        <v>26</v>
      </c>
      <c r="S144" t="s">
        <v>30</v>
      </c>
      <c r="T144" t="s">
        <v>31</v>
      </c>
      <c r="U144">
        <f t="shared" si="2"/>
        <v>1</v>
      </c>
    </row>
    <row r="145" spans="1:21" x14ac:dyDescent="0.2">
      <c r="A145">
        <v>788</v>
      </c>
      <c r="B145" t="s">
        <v>20</v>
      </c>
      <c r="C145" t="s">
        <v>32</v>
      </c>
      <c r="D145">
        <v>70</v>
      </c>
      <c r="E145">
        <v>1</v>
      </c>
      <c r="F145">
        <v>0</v>
      </c>
      <c r="G145">
        <v>2</v>
      </c>
      <c r="H145" t="s">
        <v>22</v>
      </c>
      <c r="I145" t="s">
        <v>22</v>
      </c>
      <c r="J145">
        <v>41610.620000000003</v>
      </c>
      <c r="K145" t="s">
        <v>23</v>
      </c>
      <c r="L145">
        <v>0.48520594065109829</v>
      </c>
      <c r="M145" t="s">
        <v>23</v>
      </c>
      <c r="N145">
        <v>0</v>
      </c>
      <c r="O145">
        <v>0</v>
      </c>
      <c r="P145" t="s">
        <v>24</v>
      </c>
      <c r="Q145" t="s">
        <v>46</v>
      </c>
      <c r="R145" t="s">
        <v>29</v>
      </c>
      <c r="S145" t="s">
        <v>37</v>
      </c>
      <c r="T145" t="s">
        <v>35</v>
      </c>
      <c r="U145">
        <f t="shared" si="2"/>
        <v>1</v>
      </c>
    </row>
    <row r="146" spans="1:21" x14ac:dyDescent="0.2">
      <c r="A146">
        <v>715</v>
      </c>
      <c r="B146" t="s">
        <v>42</v>
      </c>
      <c r="C146" t="s">
        <v>32</v>
      </c>
      <c r="D146">
        <v>31</v>
      </c>
      <c r="E146">
        <v>2</v>
      </c>
      <c r="F146">
        <v>112212.14</v>
      </c>
      <c r="G146">
        <v>2</v>
      </c>
      <c r="H146" t="s">
        <v>22</v>
      </c>
      <c r="I146" t="s">
        <v>22</v>
      </c>
      <c r="J146">
        <v>181600.72</v>
      </c>
      <c r="K146" t="s">
        <v>23</v>
      </c>
      <c r="L146">
        <v>7.0211415543030453E-2</v>
      </c>
      <c r="M146" t="s">
        <v>23</v>
      </c>
      <c r="N146">
        <v>0</v>
      </c>
      <c r="O146">
        <v>0</v>
      </c>
      <c r="P146" t="s">
        <v>34</v>
      </c>
      <c r="Q146" t="s">
        <v>33</v>
      </c>
      <c r="R146" t="s">
        <v>26</v>
      </c>
      <c r="S146" t="s">
        <v>37</v>
      </c>
      <c r="T146" t="s">
        <v>31</v>
      </c>
      <c r="U146">
        <f t="shared" si="2"/>
        <v>1</v>
      </c>
    </row>
    <row r="147" spans="1:21" x14ac:dyDescent="0.2">
      <c r="A147">
        <v>543</v>
      </c>
      <c r="B147" t="s">
        <v>41</v>
      </c>
      <c r="C147" t="s">
        <v>32</v>
      </c>
      <c r="D147">
        <v>57</v>
      </c>
      <c r="E147">
        <v>1</v>
      </c>
      <c r="F147">
        <v>106138.33</v>
      </c>
      <c r="G147">
        <v>2</v>
      </c>
      <c r="H147" t="s">
        <v>22</v>
      </c>
      <c r="I147" t="s">
        <v>22</v>
      </c>
      <c r="J147">
        <v>120657.32</v>
      </c>
      <c r="K147" t="s">
        <v>22</v>
      </c>
      <c r="L147">
        <v>0.55424024642465441</v>
      </c>
      <c r="M147" t="s">
        <v>22</v>
      </c>
      <c r="N147">
        <v>1</v>
      </c>
      <c r="O147">
        <v>1</v>
      </c>
      <c r="P147" t="s">
        <v>43</v>
      </c>
      <c r="Q147" t="s">
        <v>44</v>
      </c>
      <c r="R147" t="s">
        <v>26</v>
      </c>
      <c r="S147" t="s">
        <v>30</v>
      </c>
      <c r="T147" t="s">
        <v>28</v>
      </c>
      <c r="U147">
        <f t="shared" si="2"/>
        <v>1</v>
      </c>
    </row>
    <row r="148" spans="1:21" x14ac:dyDescent="0.2">
      <c r="A148">
        <v>669</v>
      </c>
      <c r="B148" t="s">
        <v>42</v>
      </c>
      <c r="C148" t="s">
        <v>21</v>
      </c>
      <c r="D148">
        <v>30</v>
      </c>
      <c r="E148">
        <v>7</v>
      </c>
      <c r="F148">
        <v>95128.86</v>
      </c>
      <c r="G148">
        <v>1</v>
      </c>
      <c r="H148" t="s">
        <v>23</v>
      </c>
      <c r="I148" t="s">
        <v>23</v>
      </c>
      <c r="J148">
        <v>19799.259999999998</v>
      </c>
      <c r="K148" t="s">
        <v>23</v>
      </c>
      <c r="L148">
        <v>0.1014594385662355</v>
      </c>
      <c r="M148" t="s">
        <v>23</v>
      </c>
      <c r="N148">
        <v>0</v>
      </c>
      <c r="O148">
        <v>0</v>
      </c>
      <c r="P148" t="s">
        <v>34</v>
      </c>
      <c r="Q148" t="s">
        <v>36</v>
      </c>
      <c r="R148" t="s">
        <v>38</v>
      </c>
      <c r="S148" t="s">
        <v>27</v>
      </c>
      <c r="T148" t="s">
        <v>35</v>
      </c>
      <c r="U148">
        <f t="shared" si="2"/>
        <v>1</v>
      </c>
    </row>
    <row r="149" spans="1:21" x14ac:dyDescent="0.2">
      <c r="A149">
        <v>580</v>
      </c>
      <c r="B149" t="s">
        <v>42</v>
      </c>
      <c r="C149" t="s">
        <v>32</v>
      </c>
      <c r="D149">
        <v>35</v>
      </c>
      <c r="E149">
        <v>8</v>
      </c>
      <c r="F149">
        <v>0</v>
      </c>
      <c r="G149">
        <v>2</v>
      </c>
      <c r="H149" t="s">
        <v>23</v>
      </c>
      <c r="I149" t="s">
        <v>22</v>
      </c>
      <c r="J149">
        <v>10357.030000000001</v>
      </c>
      <c r="K149" t="s">
        <v>23</v>
      </c>
      <c r="L149">
        <v>6.4939264675807309E-2</v>
      </c>
      <c r="M149" t="s">
        <v>23</v>
      </c>
      <c r="N149">
        <v>0</v>
      </c>
      <c r="O149">
        <v>0</v>
      </c>
      <c r="P149" t="s">
        <v>34</v>
      </c>
      <c r="Q149" t="s">
        <v>33</v>
      </c>
      <c r="R149" t="s">
        <v>29</v>
      </c>
      <c r="S149" t="s">
        <v>30</v>
      </c>
      <c r="T149" t="s">
        <v>35</v>
      </c>
      <c r="U149">
        <f t="shared" si="2"/>
        <v>1</v>
      </c>
    </row>
    <row r="150" spans="1:21" x14ac:dyDescent="0.2">
      <c r="A150">
        <v>540</v>
      </c>
      <c r="B150" t="s">
        <v>42</v>
      </c>
      <c r="C150" t="s">
        <v>21</v>
      </c>
      <c r="D150">
        <v>48</v>
      </c>
      <c r="E150">
        <v>0</v>
      </c>
      <c r="F150">
        <v>148116.48000000001</v>
      </c>
      <c r="G150">
        <v>1</v>
      </c>
      <c r="H150" t="s">
        <v>23</v>
      </c>
      <c r="I150" t="s">
        <v>23</v>
      </c>
      <c r="J150">
        <v>116973.48</v>
      </c>
      <c r="K150" t="s">
        <v>23</v>
      </c>
      <c r="L150">
        <v>0.39419489215591341</v>
      </c>
      <c r="M150" t="s">
        <v>23</v>
      </c>
      <c r="N150">
        <v>0</v>
      </c>
      <c r="O150">
        <v>0</v>
      </c>
      <c r="P150" t="s">
        <v>24</v>
      </c>
      <c r="Q150" t="s">
        <v>25</v>
      </c>
      <c r="R150" t="s">
        <v>26</v>
      </c>
      <c r="S150" t="s">
        <v>30</v>
      </c>
      <c r="T150" t="s">
        <v>28</v>
      </c>
      <c r="U150">
        <f t="shared" si="2"/>
        <v>1</v>
      </c>
    </row>
    <row r="151" spans="1:21" x14ac:dyDescent="0.2">
      <c r="A151">
        <v>459</v>
      </c>
      <c r="B151" t="s">
        <v>20</v>
      </c>
      <c r="C151" t="s">
        <v>32</v>
      </c>
      <c r="D151">
        <v>42</v>
      </c>
      <c r="E151">
        <v>6</v>
      </c>
      <c r="F151">
        <v>129634.25</v>
      </c>
      <c r="G151">
        <v>2</v>
      </c>
      <c r="H151" t="s">
        <v>22</v>
      </c>
      <c r="I151" t="s">
        <v>22</v>
      </c>
      <c r="J151">
        <v>177683.02</v>
      </c>
      <c r="K151" t="s">
        <v>22</v>
      </c>
      <c r="L151">
        <v>0.16937672343455329</v>
      </c>
      <c r="M151" t="s">
        <v>23</v>
      </c>
      <c r="N151">
        <v>1</v>
      </c>
      <c r="O151">
        <v>0</v>
      </c>
      <c r="P151" t="s">
        <v>34</v>
      </c>
      <c r="Q151" t="s">
        <v>25</v>
      </c>
      <c r="R151" t="s">
        <v>26</v>
      </c>
      <c r="S151" t="s">
        <v>45</v>
      </c>
      <c r="T151" t="s">
        <v>31</v>
      </c>
      <c r="U151">
        <f t="shared" si="2"/>
        <v>0</v>
      </c>
    </row>
    <row r="152" spans="1:21" x14ac:dyDescent="0.2">
      <c r="A152">
        <v>787</v>
      </c>
      <c r="B152" t="s">
        <v>42</v>
      </c>
      <c r="C152" t="s">
        <v>32</v>
      </c>
      <c r="D152">
        <v>42</v>
      </c>
      <c r="E152">
        <v>10</v>
      </c>
      <c r="F152">
        <v>145988.65</v>
      </c>
      <c r="G152">
        <v>2</v>
      </c>
      <c r="H152" t="s">
        <v>22</v>
      </c>
      <c r="I152" t="s">
        <v>22</v>
      </c>
      <c r="J152">
        <v>79510.37</v>
      </c>
      <c r="K152" t="s">
        <v>23</v>
      </c>
      <c r="L152">
        <v>0.1248538947446466</v>
      </c>
      <c r="M152" t="s">
        <v>23</v>
      </c>
      <c r="N152">
        <v>0</v>
      </c>
      <c r="O152">
        <v>0</v>
      </c>
      <c r="P152" t="s">
        <v>34</v>
      </c>
      <c r="Q152" t="s">
        <v>25</v>
      </c>
      <c r="R152" t="s">
        <v>26</v>
      </c>
      <c r="S152" t="s">
        <v>37</v>
      </c>
      <c r="T152" t="s">
        <v>40</v>
      </c>
      <c r="U152">
        <f t="shared" si="2"/>
        <v>1</v>
      </c>
    </row>
    <row r="153" spans="1:21" x14ac:dyDescent="0.2">
      <c r="A153">
        <v>738</v>
      </c>
      <c r="B153" t="s">
        <v>41</v>
      </c>
      <c r="C153" t="s">
        <v>21</v>
      </c>
      <c r="D153">
        <v>43</v>
      </c>
      <c r="E153">
        <v>9</v>
      </c>
      <c r="F153">
        <v>121152.05</v>
      </c>
      <c r="G153">
        <v>2</v>
      </c>
      <c r="H153" t="s">
        <v>22</v>
      </c>
      <c r="I153" t="s">
        <v>23</v>
      </c>
      <c r="J153">
        <v>64166.7</v>
      </c>
      <c r="K153" t="s">
        <v>22</v>
      </c>
      <c r="L153">
        <v>0.36315643971706357</v>
      </c>
      <c r="M153" t="s">
        <v>23</v>
      </c>
      <c r="N153">
        <v>1</v>
      </c>
      <c r="O153">
        <v>0</v>
      </c>
      <c r="P153" t="s">
        <v>24</v>
      </c>
      <c r="Q153" t="s">
        <v>25</v>
      </c>
      <c r="R153" t="s">
        <v>26</v>
      </c>
      <c r="S153" t="s">
        <v>37</v>
      </c>
      <c r="T153" t="s">
        <v>40</v>
      </c>
      <c r="U153">
        <f t="shared" si="2"/>
        <v>0</v>
      </c>
    </row>
    <row r="154" spans="1:21" x14ac:dyDescent="0.2">
      <c r="A154">
        <v>497</v>
      </c>
      <c r="B154" t="s">
        <v>42</v>
      </c>
      <c r="C154" t="s">
        <v>21</v>
      </c>
      <c r="D154">
        <v>47</v>
      </c>
      <c r="E154">
        <v>6</v>
      </c>
      <c r="F154">
        <v>0</v>
      </c>
      <c r="G154">
        <v>1</v>
      </c>
      <c r="H154" t="s">
        <v>22</v>
      </c>
      <c r="I154" t="s">
        <v>22</v>
      </c>
      <c r="J154">
        <v>90055.08</v>
      </c>
      <c r="K154" t="s">
        <v>23</v>
      </c>
      <c r="L154">
        <v>0.1077733545486516</v>
      </c>
      <c r="M154" t="s">
        <v>23</v>
      </c>
      <c r="N154">
        <v>0</v>
      </c>
      <c r="O154">
        <v>0</v>
      </c>
      <c r="P154" t="s">
        <v>34</v>
      </c>
      <c r="Q154" t="s">
        <v>25</v>
      </c>
      <c r="R154" t="s">
        <v>29</v>
      </c>
      <c r="S154" t="s">
        <v>45</v>
      </c>
      <c r="T154" t="s">
        <v>40</v>
      </c>
      <c r="U154">
        <f t="shared" si="2"/>
        <v>1</v>
      </c>
    </row>
    <row r="155" spans="1:21" x14ac:dyDescent="0.2">
      <c r="A155">
        <v>525</v>
      </c>
      <c r="B155" t="s">
        <v>42</v>
      </c>
      <c r="C155" t="s">
        <v>21</v>
      </c>
      <c r="D155">
        <v>36</v>
      </c>
      <c r="E155">
        <v>2</v>
      </c>
      <c r="F155">
        <v>114628.4</v>
      </c>
      <c r="G155">
        <v>1</v>
      </c>
      <c r="H155" t="s">
        <v>23</v>
      </c>
      <c r="I155" t="s">
        <v>22</v>
      </c>
      <c r="J155">
        <v>168290.06</v>
      </c>
      <c r="K155" t="s">
        <v>23</v>
      </c>
      <c r="L155">
        <v>7.6225537509861691E-2</v>
      </c>
      <c r="M155" t="s">
        <v>23</v>
      </c>
      <c r="N155">
        <v>0</v>
      </c>
      <c r="O155">
        <v>0</v>
      </c>
      <c r="P155" t="s">
        <v>34</v>
      </c>
      <c r="Q155" t="s">
        <v>33</v>
      </c>
      <c r="R155" t="s">
        <v>26</v>
      </c>
      <c r="S155" t="s">
        <v>30</v>
      </c>
      <c r="T155" t="s">
        <v>31</v>
      </c>
      <c r="U155">
        <f t="shared" si="2"/>
        <v>1</v>
      </c>
    </row>
    <row r="156" spans="1:21" x14ac:dyDescent="0.2">
      <c r="A156">
        <v>606</v>
      </c>
      <c r="B156" t="s">
        <v>42</v>
      </c>
      <c r="C156" t="s">
        <v>21</v>
      </c>
      <c r="D156">
        <v>40</v>
      </c>
      <c r="E156">
        <v>5</v>
      </c>
      <c r="F156">
        <v>0</v>
      </c>
      <c r="G156">
        <v>2</v>
      </c>
      <c r="H156" t="s">
        <v>22</v>
      </c>
      <c r="I156" t="s">
        <v>22</v>
      </c>
      <c r="J156">
        <v>70899.27</v>
      </c>
      <c r="K156" t="s">
        <v>23</v>
      </c>
      <c r="L156">
        <v>5.7235312845469302E-2</v>
      </c>
      <c r="M156" t="s">
        <v>23</v>
      </c>
      <c r="N156">
        <v>0</v>
      </c>
      <c r="O156">
        <v>0</v>
      </c>
      <c r="P156" t="s">
        <v>34</v>
      </c>
      <c r="Q156" t="s">
        <v>33</v>
      </c>
      <c r="R156" t="s">
        <v>29</v>
      </c>
      <c r="S156" t="s">
        <v>27</v>
      </c>
      <c r="T156" t="s">
        <v>40</v>
      </c>
      <c r="U156">
        <f t="shared" si="2"/>
        <v>1</v>
      </c>
    </row>
    <row r="157" spans="1:21" x14ac:dyDescent="0.2">
      <c r="A157">
        <v>664</v>
      </c>
      <c r="B157" t="s">
        <v>41</v>
      </c>
      <c r="C157" t="s">
        <v>32</v>
      </c>
      <c r="D157">
        <v>36</v>
      </c>
      <c r="E157">
        <v>2</v>
      </c>
      <c r="F157">
        <v>127160.78</v>
      </c>
      <c r="G157">
        <v>2</v>
      </c>
      <c r="H157" t="s">
        <v>22</v>
      </c>
      <c r="I157" t="s">
        <v>23</v>
      </c>
      <c r="J157">
        <v>78140.75</v>
      </c>
      <c r="K157" t="s">
        <v>23</v>
      </c>
      <c r="L157">
        <v>0.42091181678869982</v>
      </c>
      <c r="M157" t="s">
        <v>23</v>
      </c>
      <c r="N157">
        <v>0</v>
      </c>
      <c r="O157">
        <v>0</v>
      </c>
      <c r="P157" t="s">
        <v>24</v>
      </c>
      <c r="Q157" t="s">
        <v>33</v>
      </c>
      <c r="R157" t="s">
        <v>26</v>
      </c>
      <c r="S157" t="s">
        <v>27</v>
      </c>
      <c r="T157" t="s">
        <v>40</v>
      </c>
      <c r="U157">
        <f t="shared" si="2"/>
        <v>1</v>
      </c>
    </row>
    <row r="158" spans="1:21" x14ac:dyDescent="0.2">
      <c r="A158">
        <v>736</v>
      </c>
      <c r="B158" t="s">
        <v>20</v>
      </c>
      <c r="C158" t="s">
        <v>32</v>
      </c>
      <c r="D158">
        <v>28</v>
      </c>
      <c r="E158">
        <v>2</v>
      </c>
      <c r="F158">
        <v>0</v>
      </c>
      <c r="G158">
        <v>2</v>
      </c>
      <c r="H158" t="s">
        <v>22</v>
      </c>
      <c r="I158" t="s">
        <v>22</v>
      </c>
      <c r="J158">
        <v>117431.1</v>
      </c>
      <c r="K158" t="s">
        <v>23</v>
      </c>
      <c r="L158">
        <v>4.2767320667394318E-2</v>
      </c>
      <c r="M158" t="s">
        <v>23</v>
      </c>
      <c r="N158">
        <v>0</v>
      </c>
      <c r="O158">
        <v>0</v>
      </c>
      <c r="P158" t="s">
        <v>34</v>
      </c>
      <c r="Q158" t="s">
        <v>36</v>
      </c>
      <c r="R158" t="s">
        <v>29</v>
      </c>
      <c r="S158" t="s">
        <v>37</v>
      </c>
      <c r="T158" t="s">
        <v>28</v>
      </c>
      <c r="U158">
        <f t="shared" si="2"/>
        <v>1</v>
      </c>
    </row>
    <row r="159" spans="1:21" x14ac:dyDescent="0.2">
      <c r="A159">
        <v>633</v>
      </c>
      <c r="B159" t="s">
        <v>42</v>
      </c>
      <c r="C159" t="s">
        <v>32</v>
      </c>
      <c r="D159">
        <v>37</v>
      </c>
      <c r="E159">
        <v>9</v>
      </c>
      <c r="F159">
        <v>156091.97</v>
      </c>
      <c r="G159">
        <v>1</v>
      </c>
      <c r="H159" t="s">
        <v>22</v>
      </c>
      <c r="I159" t="s">
        <v>23</v>
      </c>
      <c r="J159">
        <v>72008.61</v>
      </c>
      <c r="K159" t="s">
        <v>23</v>
      </c>
      <c r="L159">
        <v>0.27381739098647789</v>
      </c>
      <c r="M159" t="s">
        <v>23</v>
      </c>
      <c r="N159">
        <v>0</v>
      </c>
      <c r="O159">
        <v>0</v>
      </c>
      <c r="P159" t="s">
        <v>24</v>
      </c>
      <c r="Q159" t="s">
        <v>33</v>
      </c>
      <c r="R159" t="s">
        <v>47</v>
      </c>
      <c r="S159" t="s">
        <v>27</v>
      </c>
      <c r="T159" t="s">
        <v>40</v>
      </c>
      <c r="U159">
        <f t="shared" si="2"/>
        <v>1</v>
      </c>
    </row>
    <row r="160" spans="1:21" x14ac:dyDescent="0.2">
      <c r="A160">
        <v>663</v>
      </c>
      <c r="B160" t="s">
        <v>41</v>
      </c>
      <c r="C160" t="s">
        <v>32</v>
      </c>
      <c r="D160">
        <v>36</v>
      </c>
      <c r="E160">
        <v>6</v>
      </c>
      <c r="F160">
        <v>77253.5</v>
      </c>
      <c r="G160">
        <v>1</v>
      </c>
      <c r="H160" t="s">
        <v>23</v>
      </c>
      <c r="I160" t="s">
        <v>23</v>
      </c>
      <c r="J160">
        <v>35817.97</v>
      </c>
      <c r="K160" t="s">
        <v>22</v>
      </c>
      <c r="L160">
        <v>0.39778739294500159</v>
      </c>
      <c r="M160" t="s">
        <v>23</v>
      </c>
      <c r="N160">
        <v>1</v>
      </c>
      <c r="O160">
        <v>0</v>
      </c>
      <c r="P160" t="s">
        <v>24</v>
      </c>
      <c r="Q160" t="s">
        <v>33</v>
      </c>
      <c r="R160" t="s">
        <v>38</v>
      </c>
      <c r="S160" t="s">
        <v>27</v>
      </c>
      <c r="T160" t="s">
        <v>35</v>
      </c>
      <c r="U160">
        <f t="shared" si="2"/>
        <v>0</v>
      </c>
    </row>
    <row r="161" spans="1:21" x14ac:dyDescent="0.2">
      <c r="A161">
        <v>710</v>
      </c>
      <c r="B161" t="s">
        <v>20</v>
      </c>
      <c r="C161" t="s">
        <v>32</v>
      </c>
      <c r="D161">
        <v>27</v>
      </c>
      <c r="E161">
        <v>2</v>
      </c>
      <c r="F161">
        <v>135277.96</v>
      </c>
      <c r="G161">
        <v>1</v>
      </c>
      <c r="H161" t="s">
        <v>22</v>
      </c>
      <c r="I161" t="s">
        <v>23</v>
      </c>
      <c r="J161">
        <v>142200.15</v>
      </c>
      <c r="K161" t="s">
        <v>23</v>
      </c>
      <c r="L161">
        <v>0.16710048452442861</v>
      </c>
      <c r="M161" t="s">
        <v>23</v>
      </c>
      <c r="N161">
        <v>0</v>
      </c>
      <c r="O161">
        <v>0</v>
      </c>
      <c r="P161" t="s">
        <v>34</v>
      </c>
      <c r="Q161" t="s">
        <v>36</v>
      </c>
      <c r="R161" t="s">
        <v>26</v>
      </c>
      <c r="S161" t="s">
        <v>37</v>
      </c>
      <c r="T161" t="s">
        <v>28</v>
      </c>
      <c r="U161">
        <f t="shared" si="2"/>
        <v>1</v>
      </c>
    </row>
    <row r="162" spans="1:21" x14ac:dyDescent="0.2">
      <c r="A162">
        <v>720</v>
      </c>
      <c r="B162" t="s">
        <v>41</v>
      </c>
      <c r="C162" t="s">
        <v>21</v>
      </c>
      <c r="D162">
        <v>60</v>
      </c>
      <c r="E162">
        <v>9</v>
      </c>
      <c r="F162">
        <v>115920.62</v>
      </c>
      <c r="G162">
        <v>2</v>
      </c>
      <c r="H162" t="s">
        <v>23</v>
      </c>
      <c r="I162" t="s">
        <v>23</v>
      </c>
      <c r="J162">
        <v>157552.07999999999</v>
      </c>
      <c r="K162" t="s">
        <v>22</v>
      </c>
      <c r="L162">
        <v>0.68558453534676944</v>
      </c>
      <c r="M162" t="s">
        <v>22</v>
      </c>
      <c r="N162">
        <v>1</v>
      </c>
      <c r="O162">
        <v>1</v>
      </c>
      <c r="P162" t="s">
        <v>43</v>
      </c>
      <c r="Q162" t="s">
        <v>44</v>
      </c>
      <c r="R162" t="s">
        <v>26</v>
      </c>
      <c r="S162" t="s">
        <v>37</v>
      </c>
      <c r="T162" t="s">
        <v>31</v>
      </c>
      <c r="U162">
        <f t="shared" si="2"/>
        <v>1</v>
      </c>
    </row>
    <row r="163" spans="1:21" x14ac:dyDescent="0.2">
      <c r="A163">
        <v>742</v>
      </c>
      <c r="B163" t="s">
        <v>41</v>
      </c>
      <c r="C163" t="s">
        <v>32</v>
      </c>
      <c r="D163">
        <v>36</v>
      </c>
      <c r="E163">
        <v>2</v>
      </c>
      <c r="F163">
        <v>129748.54</v>
      </c>
      <c r="G163">
        <v>2</v>
      </c>
      <c r="H163" t="s">
        <v>23</v>
      </c>
      <c r="I163" t="s">
        <v>23</v>
      </c>
      <c r="J163">
        <v>47271.61</v>
      </c>
      <c r="K163" t="s">
        <v>22</v>
      </c>
      <c r="L163">
        <v>0.41304718821903241</v>
      </c>
      <c r="M163" t="s">
        <v>23</v>
      </c>
      <c r="N163">
        <v>1</v>
      </c>
      <c r="O163">
        <v>0</v>
      </c>
      <c r="P163" t="s">
        <v>24</v>
      </c>
      <c r="Q163" t="s">
        <v>33</v>
      </c>
      <c r="R163" t="s">
        <v>26</v>
      </c>
      <c r="S163" t="s">
        <v>37</v>
      </c>
      <c r="T163" t="s">
        <v>35</v>
      </c>
      <c r="U163">
        <f t="shared" si="2"/>
        <v>0</v>
      </c>
    </row>
    <row r="164" spans="1:21" x14ac:dyDescent="0.2">
      <c r="A164">
        <v>648</v>
      </c>
      <c r="B164" t="s">
        <v>42</v>
      </c>
      <c r="C164" t="s">
        <v>21</v>
      </c>
      <c r="D164">
        <v>33</v>
      </c>
      <c r="E164">
        <v>7</v>
      </c>
      <c r="F164">
        <v>134944</v>
      </c>
      <c r="G164">
        <v>1</v>
      </c>
      <c r="H164" t="s">
        <v>22</v>
      </c>
      <c r="I164" t="s">
        <v>22</v>
      </c>
      <c r="J164">
        <v>117036.38</v>
      </c>
      <c r="K164" t="s">
        <v>23</v>
      </c>
      <c r="L164">
        <v>5.1706486365292743E-2</v>
      </c>
      <c r="M164" t="s">
        <v>23</v>
      </c>
      <c r="N164">
        <v>0</v>
      </c>
      <c r="O164">
        <v>0</v>
      </c>
      <c r="P164" t="s">
        <v>34</v>
      </c>
      <c r="Q164" t="s">
        <v>33</v>
      </c>
      <c r="R164" t="s">
        <v>26</v>
      </c>
      <c r="S164" t="s">
        <v>27</v>
      </c>
      <c r="T164" t="s">
        <v>28</v>
      </c>
      <c r="U164">
        <f t="shared" si="2"/>
        <v>1</v>
      </c>
    </row>
    <row r="165" spans="1:21" x14ac:dyDescent="0.2">
      <c r="A165">
        <v>692</v>
      </c>
      <c r="B165" t="s">
        <v>20</v>
      </c>
      <c r="C165" t="s">
        <v>21</v>
      </c>
      <c r="D165">
        <v>28</v>
      </c>
      <c r="E165">
        <v>9</v>
      </c>
      <c r="F165">
        <v>118945.09</v>
      </c>
      <c r="G165">
        <v>1</v>
      </c>
      <c r="H165" t="s">
        <v>23</v>
      </c>
      <c r="I165" t="s">
        <v>23</v>
      </c>
      <c r="J165">
        <v>16064.25</v>
      </c>
      <c r="K165" t="s">
        <v>22</v>
      </c>
      <c r="L165">
        <v>9.2244098406850036E-2</v>
      </c>
      <c r="M165" t="s">
        <v>23</v>
      </c>
      <c r="N165">
        <v>1</v>
      </c>
      <c r="O165">
        <v>0</v>
      </c>
      <c r="P165" t="s">
        <v>34</v>
      </c>
      <c r="Q165" t="s">
        <v>36</v>
      </c>
      <c r="R165" t="s">
        <v>26</v>
      </c>
      <c r="S165" t="s">
        <v>27</v>
      </c>
      <c r="T165" t="s">
        <v>35</v>
      </c>
      <c r="U165">
        <f t="shared" si="2"/>
        <v>0</v>
      </c>
    </row>
    <row r="166" spans="1:21" x14ac:dyDescent="0.2">
      <c r="A166">
        <v>688</v>
      </c>
      <c r="B166" t="s">
        <v>42</v>
      </c>
      <c r="C166" t="s">
        <v>21</v>
      </c>
      <c r="D166">
        <v>26</v>
      </c>
      <c r="E166">
        <v>1</v>
      </c>
      <c r="F166">
        <v>0</v>
      </c>
      <c r="G166">
        <v>2</v>
      </c>
      <c r="H166" t="s">
        <v>22</v>
      </c>
      <c r="I166" t="s">
        <v>22</v>
      </c>
      <c r="J166">
        <v>104435.94</v>
      </c>
      <c r="K166" t="s">
        <v>23</v>
      </c>
      <c r="L166">
        <v>2.1958316191968041E-2</v>
      </c>
      <c r="M166" t="s">
        <v>23</v>
      </c>
      <c r="N166">
        <v>0</v>
      </c>
      <c r="O166">
        <v>0</v>
      </c>
      <c r="P166" t="s">
        <v>34</v>
      </c>
      <c r="Q166" t="s">
        <v>36</v>
      </c>
      <c r="R166" t="s">
        <v>29</v>
      </c>
      <c r="S166" t="s">
        <v>27</v>
      </c>
      <c r="T166" t="s">
        <v>28</v>
      </c>
      <c r="U166">
        <f t="shared" si="2"/>
        <v>1</v>
      </c>
    </row>
    <row r="167" spans="1:21" x14ac:dyDescent="0.2">
      <c r="A167">
        <v>698</v>
      </c>
      <c r="B167" t="s">
        <v>42</v>
      </c>
      <c r="C167" t="s">
        <v>21</v>
      </c>
      <c r="D167">
        <v>36</v>
      </c>
      <c r="E167">
        <v>2</v>
      </c>
      <c r="F167">
        <v>82275.350000000006</v>
      </c>
      <c r="G167">
        <v>2</v>
      </c>
      <c r="H167" t="s">
        <v>22</v>
      </c>
      <c r="I167" t="s">
        <v>22</v>
      </c>
      <c r="J167">
        <v>93249.26</v>
      </c>
      <c r="K167" t="s">
        <v>23</v>
      </c>
      <c r="L167">
        <v>5.3342481075167147E-2</v>
      </c>
      <c r="M167" t="s">
        <v>23</v>
      </c>
      <c r="N167">
        <v>0</v>
      </c>
      <c r="O167">
        <v>0</v>
      </c>
      <c r="P167" t="s">
        <v>34</v>
      </c>
      <c r="Q167" t="s">
        <v>33</v>
      </c>
      <c r="R167" t="s">
        <v>38</v>
      </c>
      <c r="S167" t="s">
        <v>27</v>
      </c>
      <c r="T167" t="s">
        <v>40</v>
      </c>
      <c r="U167">
        <f t="shared" si="2"/>
        <v>1</v>
      </c>
    </row>
    <row r="168" spans="1:21" x14ac:dyDescent="0.2">
      <c r="A168">
        <v>614</v>
      </c>
      <c r="B168" t="s">
        <v>41</v>
      </c>
      <c r="C168" t="s">
        <v>32</v>
      </c>
      <c r="D168">
        <v>31</v>
      </c>
      <c r="E168">
        <v>7</v>
      </c>
      <c r="F168">
        <v>120599.38</v>
      </c>
      <c r="G168">
        <v>2</v>
      </c>
      <c r="H168" t="s">
        <v>22</v>
      </c>
      <c r="I168" t="s">
        <v>22</v>
      </c>
      <c r="J168">
        <v>46163.44</v>
      </c>
      <c r="K168" t="s">
        <v>23</v>
      </c>
      <c r="L168">
        <v>0.1326092946123687</v>
      </c>
      <c r="M168" t="s">
        <v>23</v>
      </c>
      <c r="N168">
        <v>0</v>
      </c>
      <c r="O168">
        <v>0</v>
      </c>
      <c r="P168" t="s">
        <v>34</v>
      </c>
      <c r="Q168" t="s">
        <v>33</v>
      </c>
      <c r="R168" t="s">
        <v>26</v>
      </c>
      <c r="S168" t="s">
        <v>27</v>
      </c>
      <c r="T168" t="s">
        <v>35</v>
      </c>
      <c r="U168">
        <f t="shared" si="2"/>
        <v>1</v>
      </c>
    </row>
    <row r="169" spans="1:21" x14ac:dyDescent="0.2">
      <c r="A169">
        <v>790</v>
      </c>
      <c r="B169" t="s">
        <v>20</v>
      </c>
      <c r="C169" t="s">
        <v>32</v>
      </c>
      <c r="D169">
        <v>46</v>
      </c>
      <c r="E169">
        <v>9</v>
      </c>
      <c r="F169">
        <v>0</v>
      </c>
      <c r="G169">
        <v>1</v>
      </c>
      <c r="H169" t="s">
        <v>23</v>
      </c>
      <c r="I169" t="s">
        <v>23</v>
      </c>
      <c r="J169">
        <v>14679.81</v>
      </c>
      <c r="K169" t="s">
        <v>22</v>
      </c>
      <c r="L169">
        <v>0.31343886862459019</v>
      </c>
      <c r="M169" t="s">
        <v>23</v>
      </c>
      <c r="N169">
        <v>1</v>
      </c>
      <c r="O169">
        <v>0</v>
      </c>
      <c r="P169" t="s">
        <v>24</v>
      </c>
      <c r="Q169" t="s">
        <v>25</v>
      </c>
      <c r="R169" t="s">
        <v>29</v>
      </c>
      <c r="S169" t="s">
        <v>37</v>
      </c>
      <c r="T169" t="s">
        <v>35</v>
      </c>
      <c r="U169">
        <f t="shared" si="2"/>
        <v>0</v>
      </c>
    </row>
    <row r="170" spans="1:21" x14ac:dyDescent="0.2">
      <c r="A170">
        <v>618</v>
      </c>
      <c r="B170" t="s">
        <v>42</v>
      </c>
      <c r="C170" t="s">
        <v>32</v>
      </c>
      <c r="D170">
        <v>35</v>
      </c>
      <c r="E170">
        <v>10</v>
      </c>
      <c r="F170">
        <v>0</v>
      </c>
      <c r="G170">
        <v>2</v>
      </c>
      <c r="H170" t="s">
        <v>22</v>
      </c>
      <c r="I170" t="s">
        <v>23</v>
      </c>
      <c r="J170">
        <v>180439.75</v>
      </c>
      <c r="K170" t="s">
        <v>23</v>
      </c>
      <c r="L170">
        <v>0.17076245249163591</v>
      </c>
      <c r="M170" t="s">
        <v>23</v>
      </c>
      <c r="N170">
        <v>0</v>
      </c>
      <c r="O170">
        <v>0</v>
      </c>
      <c r="P170" t="s">
        <v>34</v>
      </c>
      <c r="Q170" t="s">
        <v>33</v>
      </c>
      <c r="R170" t="s">
        <v>29</v>
      </c>
      <c r="S170" t="s">
        <v>27</v>
      </c>
      <c r="T170" t="s">
        <v>31</v>
      </c>
      <c r="U170">
        <f t="shared" si="2"/>
        <v>1</v>
      </c>
    </row>
    <row r="171" spans="1:21" x14ac:dyDescent="0.2">
      <c r="A171">
        <v>516</v>
      </c>
      <c r="B171" t="s">
        <v>20</v>
      </c>
      <c r="C171" t="s">
        <v>32</v>
      </c>
      <c r="D171">
        <v>33</v>
      </c>
      <c r="E171">
        <v>3</v>
      </c>
      <c r="F171">
        <v>0</v>
      </c>
      <c r="G171">
        <v>2</v>
      </c>
      <c r="H171" t="s">
        <v>22</v>
      </c>
      <c r="I171" t="s">
        <v>22</v>
      </c>
      <c r="J171">
        <v>58685.59</v>
      </c>
      <c r="K171" t="s">
        <v>23</v>
      </c>
      <c r="L171">
        <v>6.6692068020055534E-2</v>
      </c>
      <c r="M171" t="s">
        <v>23</v>
      </c>
      <c r="N171">
        <v>0</v>
      </c>
      <c r="O171">
        <v>0</v>
      </c>
      <c r="P171" t="s">
        <v>34</v>
      </c>
      <c r="Q171" t="s">
        <v>33</v>
      </c>
      <c r="R171" t="s">
        <v>29</v>
      </c>
      <c r="S171" t="s">
        <v>30</v>
      </c>
      <c r="T171" t="s">
        <v>40</v>
      </c>
      <c r="U171">
        <f t="shared" si="2"/>
        <v>1</v>
      </c>
    </row>
    <row r="172" spans="1:21" x14ac:dyDescent="0.2">
      <c r="A172">
        <v>700</v>
      </c>
      <c r="B172" t="s">
        <v>42</v>
      </c>
      <c r="C172" t="s">
        <v>32</v>
      </c>
      <c r="D172">
        <v>26</v>
      </c>
      <c r="E172">
        <v>2</v>
      </c>
      <c r="F172">
        <v>0</v>
      </c>
      <c r="G172">
        <v>2</v>
      </c>
      <c r="H172" t="s">
        <v>23</v>
      </c>
      <c r="I172" t="s">
        <v>23</v>
      </c>
      <c r="J172">
        <v>50051.42</v>
      </c>
      <c r="K172" t="s">
        <v>23</v>
      </c>
      <c r="L172">
        <v>0.10107150126771081</v>
      </c>
      <c r="M172" t="s">
        <v>23</v>
      </c>
      <c r="N172">
        <v>0</v>
      </c>
      <c r="O172">
        <v>0</v>
      </c>
      <c r="P172" t="s">
        <v>34</v>
      </c>
      <c r="Q172" t="s">
        <v>36</v>
      </c>
      <c r="R172" t="s">
        <v>29</v>
      </c>
      <c r="S172" t="s">
        <v>27</v>
      </c>
      <c r="T172" t="s">
        <v>40</v>
      </c>
      <c r="U172">
        <f t="shared" si="2"/>
        <v>1</v>
      </c>
    </row>
    <row r="173" spans="1:21" x14ac:dyDescent="0.2">
      <c r="A173">
        <v>633</v>
      </c>
      <c r="B173" t="s">
        <v>42</v>
      </c>
      <c r="C173" t="s">
        <v>32</v>
      </c>
      <c r="D173">
        <v>30</v>
      </c>
      <c r="E173">
        <v>6</v>
      </c>
      <c r="F173">
        <v>0</v>
      </c>
      <c r="G173">
        <v>2</v>
      </c>
      <c r="H173" t="s">
        <v>23</v>
      </c>
      <c r="I173" t="s">
        <v>23</v>
      </c>
      <c r="J173">
        <v>41642.29</v>
      </c>
      <c r="K173" t="s">
        <v>23</v>
      </c>
      <c r="L173">
        <v>0.12709714142508119</v>
      </c>
      <c r="M173" t="s">
        <v>23</v>
      </c>
      <c r="N173">
        <v>0</v>
      </c>
      <c r="O173">
        <v>0</v>
      </c>
      <c r="P173" t="s">
        <v>34</v>
      </c>
      <c r="Q173" t="s">
        <v>36</v>
      </c>
      <c r="R173" t="s">
        <v>29</v>
      </c>
      <c r="S173" t="s">
        <v>27</v>
      </c>
      <c r="T173" t="s">
        <v>35</v>
      </c>
      <c r="U173">
        <f t="shared" si="2"/>
        <v>1</v>
      </c>
    </row>
    <row r="174" spans="1:21" x14ac:dyDescent="0.2">
      <c r="A174">
        <v>773</v>
      </c>
      <c r="B174" t="s">
        <v>20</v>
      </c>
      <c r="C174" t="s">
        <v>32</v>
      </c>
      <c r="D174">
        <v>41</v>
      </c>
      <c r="E174">
        <v>5</v>
      </c>
      <c r="F174">
        <v>0</v>
      </c>
      <c r="G174">
        <v>1</v>
      </c>
      <c r="H174" t="s">
        <v>22</v>
      </c>
      <c r="I174" t="s">
        <v>23</v>
      </c>
      <c r="J174">
        <v>28266.9</v>
      </c>
      <c r="K174" t="s">
        <v>22</v>
      </c>
      <c r="L174">
        <v>0.2520425313093041</v>
      </c>
      <c r="M174" t="s">
        <v>23</v>
      </c>
      <c r="N174">
        <v>1</v>
      </c>
      <c r="O174">
        <v>0</v>
      </c>
      <c r="P174" t="s">
        <v>24</v>
      </c>
      <c r="Q174" t="s">
        <v>25</v>
      </c>
      <c r="R174" t="s">
        <v>29</v>
      </c>
      <c r="S174" t="s">
        <v>37</v>
      </c>
      <c r="T174" t="s">
        <v>35</v>
      </c>
      <c r="U174">
        <f t="shared" si="2"/>
        <v>0</v>
      </c>
    </row>
    <row r="175" spans="1:21" x14ac:dyDescent="0.2">
      <c r="A175">
        <v>505</v>
      </c>
      <c r="B175" t="s">
        <v>42</v>
      </c>
      <c r="C175" t="s">
        <v>21</v>
      </c>
      <c r="D175">
        <v>49</v>
      </c>
      <c r="E175">
        <v>7</v>
      </c>
      <c r="F175">
        <v>80001.23</v>
      </c>
      <c r="G175">
        <v>1</v>
      </c>
      <c r="H175" t="s">
        <v>23</v>
      </c>
      <c r="I175" t="s">
        <v>23</v>
      </c>
      <c r="J175">
        <v>135180.10999999999</v>
      </c>
      <c r="K175" t="s">
        <v>23</v>
      </c>
      <c r="L175">
        <v>0.34607055903503992</v>
      </c>
      <c r="M175" t="s">
        <v>23</v>
      </c>
      <c r="N175">
        <v>0</v>
      </c>
      <c r="O175">
        <v>0</v>
      </c>
      <c r="P175" t="s">
        <v>24</v>
      </c>
      <c r="Q175" t="s">
        <v>25</v>
      </c>
      <c r="R175" t="s">
        <v>38</v>
      </c>
      <c r="S175" t="s">
        <v>30</v>
      </c>
      <c r="T175" t="s">
        <v>28</v>
      </c>
      <c r="U175">
        <f t="shared" si="2"/>
        <v>1</v>
      </c>
    </row>
    <row r="176" spans="1:21" x14ac:dyDescent="0.2">
      <c r="A176">
        <v>705</v>
      </c>
      <c r="B176" t="s">
        <v>42</v>
      </c>
      <c r="C176" t="s">
        <v>21</v>
      </c>
      <c r="D176">
        <v>25</v>
      </c>
      <c r="E176">
        <v>0</v>
      </c>
      <c r="F176">
        <v>97544.29</v>
      </c>
      <c r="G176">
        <v>1</v>
      </c>
      <c r="H176" t="s">
        <v>23</v>
      </c>
      <c r="I176" t="s">
        <v>22</v>
      </c>
      <c r="J176">
        <v>59887.15</v>
      </c>
      <c r="K176" t="s">
        <v>23</v>
      </c>
      <c r="L176">
        <v>2.9350207529945879E-2</v>
      </c>
      <c r="M176" t="s">
        <v>23</v>
      </c>
      <c r="N176">
        <v>0</v>
      </c>
      <c r="O176">
        <v>0</v>
      </c>
      <c r="P176" t="s">
        <v>34</v>
      </c>
      <c r="Q176" t="s">
        <v>36</v>
      </c>
      <c r="R176" t="s">
        <v>38</v>
      </c>
      <c r="S176" t="s">
        <v>37</v>
      </c>
      <c r="T176" t="s">
        <v>40</v>
      </c>
      <c r="U176">
        <f t="shared" si="2"/>
        <v>1</v>
      </c>
    </row>
    <row r="177" spans="1:21" x14ac:dyDescent="0.2">
      <c r="A177">
        <v>511</v>
      </c>
      <c r="B177" t="s">
        <v>41</v>
      </c>
      <c r="C177" t="s">
        <v>32</v>
      </c>
      <c r="D177">
        <v>41</v>
      </c>
      <c r="E177">
        <v>8</v>
      </c>
      <c r="F177">
        <v>153895.65</v>
      </c>
      <c r="G177">
        <v>1</v>
      </c>
      <c r="H177" t="s">
        <v>22</v>
      </c>
      <c r="I177" t="s">
        <v>22</v>
      </c>
      <c r="J177">
        <v>39087.42</v>
      </c>
      <c r="K177" t="s">
        <v>23</v>
      </c>
      <c r="L177">
        <v>0.28891075322201398</v>
      </c>
      <c r="M177" t="s">
        <v>23</v>
      </c>
      <c r="N177">
        <v>0</v>
      </c>
      <c r="O177">
        <v>0</v>
      </c>
      <c r="P177" t="s">
        <v>24</v>
      </c>
      <c r="Q177" t="s">
        <v>25</v>
      </c>
      <c r="R177" t="s">
        <v>47</v>
      </c>
      <c r="S177" t="s">
        <v>30</v>
      </c>
      <c r="T177" t="s">
        <v>35</v>
      </c>
      <c r="U177">
        <f t="shared" si="2"/>
        <v>1</v>
      </c>
    </row>
    <row r="178" spans="1:21" x14ac:dyDescent="0.2">
      <c r="A178">
        <v>523</v>
      </c>
      <c r="B178" t="s">
        <v>20</v>
      </c>
      <c r="C178" t="s">
        <v>21</v>
      </c>
      <c r="D178">
        <v>32</v>
      </c>
      <c r="E178">
        <v>4</v>
      </c>
      <c r="F178">
        <v>0</v>
      </c>
      <c r="G178">
        <v>2</v>
      </c>
      <c r="H178" t="s">
        <v>22</v>
      </c>
      <c r="I178" t="s">
        <v>23</v>
      </c>
      <c r="J178">
        <v>167848.02</v>
      </c>
      <c r="K178" t="s">
        <v>23</v>
      </c>
      <c r="L178">
        <v>0.1058539175452447</v>
      </c>
      <c r="M178" t="s">
        <v>23</v>
      </c>
      <c r="N178">
        <v>0</v>
      </c>
      <c r="O178">
        <v>0</v>
      </c>
      <c r="P178" t="s">
        <v>34</v>
      </c>
      <c r="Q178" t="s">
        <v>33</v>
      </c>
      <c r="R178" t="s">
        <v>29</v>
      </c>
      <c r="S178" t="s">
        <v>30</v>
      </c>
      <c r="T178" t="s">
        <v>31</v>
      </c>
      <c r="U178">
        <f t="shared" si="2"/>
        <v>1</v>
      </c>
    </row>
    <row r="179" spans="1:21" x14ac:dyDescent="0.2">
      <c r="A179">
        <v>667</v>
      </c>
      <c r="B179" t="s">
        <v>42</v>
      </c>
      <c r="C179" t="s">
        <v>21</v>
      </c>
      <c r="D179">
        <v>43</v>
      </c>
      <c r="E179">
        <v>8</v>
      </c>
      <c r="F179">
        <v>190227.46</v>
      </c>
      <c r="G179">
        <v>1</v>
      </c>
      <c r="H179" t="s">
        <v>22</v>
      </c>
      <c r="I179" t="s">
        <v>23</v>
      </c>
      <c r="J179">
        <v>97508.04</v>
      </c>
      <c r="K179" t="s">
        <v>22</v>
      </c>
      <c r="L179">
        <v>0.27291809820838442</v>
      </c>
      <c r="M179" t="s">
        <v>23</v>
      </c>
      <c r="N179">
        <v>1</v>
      </c>
      <c r="O179">
        <v>0</v>
      </c>
      <c r="P179" t="s">
        <v>24</v>
      </c>
      <c r="Q179" t="s">
        <v>25</v>
      </c>
      <c r="R179" t="s">
        <v>47</v>
      </c>
      <c r="S179" t="s">
        <v>27</v>
      </c>
      <c r="T179" t="s">
        <v>40</v>
      </c>
      <c r="U179">
        <f t="shared" si="2"/>
        <v>0</v>
      </c>
    </row>
    <row r="180" spans="1:21" x14ac:dyDescent="0.2">
      <c r="A180">
        <v>594</v>
      </c>
      <c r="B180" t="s">
        <v>42</v>
      </c>
      <c r="C180" t="s">
        <v>21</v>
      </c>
      <c r="D180">
        <v>38</v>
      </c>
      <c r="E180">
        <v>4</v>
      </c>
      <c r="F180">
        <v>0</v>
      </c>
      <c r="G180">
        <v>2</v>
      </c>
      <c r="H180" t="s">
        <v>23</v>
      </c>
      <c r="I180" t="s">
        <v>23</v>
      </c>
      <c r="J180">
        <v>186884.04</v>
      </c>
      <c r="K180" t="s">
        <v>23</v>
      </c>
      <c r="L180">
        <v>0.1500045563816948</v>
      </c>
      <c r="M180" t="s">
        <v>23</v>
      </c>
      <c r="N180">
        <v>0</v>
      </c>
      <c r="O180">
        <v>0</v>
      </c>
      <c r="P180" t="s">
        <v>34</v>
      </c>
      <c r="Q180" t="s">
        <v>33</v>
      </c>
      <c r="R180" t="s">
        <v>29</v>
      </c>
      <c r="S180" t="s">
        <v>30</v>
      </c>
      <c r="T180" t="s">
        <v>31</v>
      </c>
      <c r="U180">
        <f t="shared" si="2"/>
        <v>1</v>
      </c>
    </row>
    <row r="181" spans="1:21" x14ac:dyDescent="0.2">
      <c r="A181">
        <v>636</v>
      </c>
      <c r="B181" t="s">
        <v>42</v>
      </c>
      <c r="C181" t="s">
        <v>32</v>
      </c>
      <c r="D181">
        <v>48</v>
      </c>
      <c r="E181">
        <v>1</v>
      </c>
      <c r="F181">
        <v>170833.46</v>
      </c>
      <c r="G181">
        <v>1</v>
      </c>
      <c r="H181" t="s">
        <v>22</v>
      </c>
      <c r="I181" t="s">
        <v>23</v>
      </c>
      <c r="J181">
        <v>110510.28</v>
      </c>
      <c r="K181" t="s">
        <v>22</v>
      </c>
      <c r="L181">
        <v>0.51363583428939874</v>
      </c>
      <c r="M181" t="s">
        <v>22</v>
      </c>
      <c r="N181">
        <v>1</v>
      </c>
      <c r="O181">
        <v>1</v>
      </c>
      <c r="P181" t="s">
        <v>43</v>
      </c>
      <c r="Q181" t="s">
        <v>25</v>
      </c>
      <c r="R181" t="s">
        <v>47</v>
      </c>
      <c r="S181" t="s">
        <v>27</v>
      </c>
      <c r="T181" t="s">
        <v>28</v>
      </c>
      <c r="U181">
        <f t="shared" si="2"/>
        <v>1</v>
      </c>
    </row>
    <row r="182" spans="1:21" x14ac:dyDescent="0.2">
      <c r="A182">
        <v>501</v>
      </c>
      <c r="B182" t="s">
        <v>42</v>
      </c>
      <c r="C182" t="s">
        <v>32</v>
      </c>
      <c r="D182">
        <v>39</v>
      </c>
      <c r="E182">
        <v>9</v>
      </c>
      <c r="F182">
        <v>117301.66</v>
      </c>
      <c r="G182">
        <v>1</v>
      </c>
      <c r="H182" t="s">
        <v>23</v>
      </c>
      <c r="I182" t="s">
        <v>23</v>
      </c>
      <c r="J182">
        <v>182025.95</v>
      </c>
      <c r="K182" t="s">
        <v>23</v>
      </c>
      <c r="L182">
        <v>0.32240584649087389</v>
      </c>
      <c r="M182" t="s">
        <v>23</v>
      </c>
      <c r="N182">
        <v>0</v>
      </c>
      <c r="O182">
        <v>0</v>
      </c>
      <c r="P182" t="s">
        <v>24</v>
      </c>
      <c r="Q182" t="s">
        <v>33</v>
      </c>
      <c r="R182" t="s">
        <v>26</v>
      </c>
      <c r="S182" t="s">
        <v>30</v>
      </c>
      <c r="T182" t="s">
        <v>31</v>
      </c>
      <c r="U182">
        <f t="shared" si="2"/>
        <v>1</v>
      </c>
    </row>
    <row r="183" spans="1:21" x14ac:dyDescent="0.2">
      <c r="A183">
        <v>518</v>
      </c>
      <c r="B183" t="s">
        <v>42</v>
      </c>
      <c r="C183" t="s">
        <v>32</v>
      </c>
      <c r="D183">
        <v>45</v>
      </c>
      <c r="E183">
        <v>9</v>
      </c>
      <c r="F183">
        <v>105525.65</v>
      </c>
      <c r="G183">
        <v>2</v>
      </c>
      <c r="H183" t="s">
        <v>22</v>
      </c>
      <c r="I183" t="s">
        <v>22</v>
      </c>
      <c r="J183">
        <v>73418.289999999994</v>
      </c>
      <c r="K183" t="s">
        <v>23</v>
      </c>
      <c r="L183">
        <v>0.1641698718258485</v>
      </c>
      <c r="M183" t="s">
        <v>23</v>
      </c>
      <c r="N183">
        <v>0</v>
      </c>
      <c r="O183">
        <v>0</v>
      </c>
      <c r="P183" t="s">
        <v>34</v>
      </c>
      <c r="Q183" t="s">
        <v>25</v>
      </c>
      <c r="R183" t="s">
        <v>26</v>
      </c>
      <c r="S183" t="s">
        <v>30</v>
      </c>
      <c r="T183" t="s">
        <v>40</v>
      </c>
      <c r="U183">
        <f t="shared" si="2"/>
        <v>1</v>
      </c>
    </row>
    <row r="184" spans="1:21" x14ac:dyDescent="0.2">
      <c r="A184">
        <v>585</v>
      </c>
      <c r="B184" t="s">
        <v>42</v>
      </c>
      <c r="C184" t="s">
        <v>21</v>
      </c>
      <c r="D184">
        <v>42</v>
      </c>
      <c r="E184">
        <v>2</v>
      </c>
      <c r="F184">
        <v>0</v>
      </c>
      <c r="G184">
        <v>2</v>
      </c>
      <c r="H184" t="s">
        <v>22</v>
      </c>
      <c r="I184" t="s">
        <v>22</v>
      </c>
      <c r="J184">
        <v>18657.77</v>
      </c>
      <c r="K184" t="s">
        <v>23</v>
      </c>
      <c r="L184">
        <v>6.8562389583464139E-2</v>
      </c>
      <c r="M184" t="s">
        <v>23</v>
      </c>
      <c r="N184">
        <v>0</v>
      </c>
      <c r="O184">
        <v>0</v>
      </c>
      <c r="P184" t="s">
        <v>34</v>
      </c>
      <c r="Q184" t="s">
        <v>25</v>
      </c>
      <c r="R184" t="s">
        <v>29</v>
      </c>
      <c r="S184" t="s">
        <v>30</v>
      </c>
      <c r="T184" t="s">
        <v>35</v>
      </c>
      <c r="U184">
        <f t="shared" si="2"/>
        <v>1</v>
      </c>
    </row>
    <row r="185" spans="1:21" x14ac:dyDescent="0.2">
      <c r="A185">
        <v>733</v>
      </c>
      <c r="B185" t="s">
        <v>41</v>
      </c>
      <c r="C185" t="s">
        <v>21</v>
      </c>
      <c r="D185">
        <v>74</v>
      </c>
      <c r="E185">
        <v>3</v>
      </c>
      <c r="F185">
        <v>106545.53</v>
      </c>
      <c r="G185">
        <v>1</v>
      </c>
      <c r="H185" t="s">
        <v>22</v>
      </c>
      <c r="I185" t="s">
        <v>22</v>
      </c>
      <c r="J185">
        <v>134589.57999999999</v>
      </c>
      <c r="K185" t="s">
        <v>23</v>
      </c>
      <c r="L185">
        <v>0.70465663558470348</v>
      </c>
      <c r="M185" t="s">
        <v>22</v>
      </c>
      <c r="N185">
        <v>0</v>
      </c>
      <c r="O185">
        <v>1</v>
      </c>
      <c r="P185" t="s">
        <v>43</v>
      </c>
      <c r="Q185" t="s">
        <v>46</v>
      </c>
      <c r="R185" t="s">
        <v>26</v>
      </c>
      <c r="S185" t="s">
        <v>37</v>
      </c>
      <c r="T185" t="s">
        <v>28</v>
      </c>
      <c r="U185">
        <f t="shared" si="2"/>
        <v>0</v>
      </c>
    </row>
    <row r="186" spans="1:21" x14ac:dyDescent="0.2">
      <c r="A186">
        <v>728</v>
      </c>
      <c r="B186" t="s">
        <v>41</v>
      </c>
      <c r="C186" t="s">
        <v>32</v>
      </c>
      <c r="D186">
        <v>35</v>
      </c>
      <c r="E186">
        <v>8</v>
      </c>
      <c r="F186">
        <v>125884.95</v>
      </c>
      <c r="G186">
        <v>2</v>
      </c>
      <c r="H186" t="s">
        <v>22</v>
      </c>
      <c r="I186" t="s">
        <v>23</v>
      </c>
      <c r="J186">
        <v>54359.02</v>
      </c>
      <c r="K186" t="s">
        <v>22</v>
      </c>
      <c r="L186">
        <v>0.36062054226187629</v>
      </c>
      <c r="M186" t="s">
        <v>23</v>
      </c>
      <c r="N186">
        <v>1</v>
      </c>
      <c r="O186">
        <v>0</v>
      </c>
      <c r="P186" t="s">
        <v>24</v>
      </c>
      <c r="Q186" t="s">
        <v>33</v>
      </c>
      <c r="R186" t="s">
        <v>26</v>
      </c>
      <c r="S186" t="s">
        <v>37</v>
      </c>
      <c r="T186" t="s">
        <v>40</v>
      </c>
      <c r="U186">
        <f t="shared" si="2"/>
        <v>0</v>
      </c>
    </row>
    <row r="187" spans="1:21" x14ac:dyDescent="0.2">
      <c r="A187">
        <v>657</v>
      </c>
      <c r="B187" t="s">
        <v>41</v>
      </c>
      <c r="C187" t="s">
        <v>21</v>
      </c>
      <c r="D187">
        <v>25</v>
      </c>
      <c r="E187">
        <v>2</v>
      </c>
      <c r="F187">
        <v>171770.55</v>
      </c>
      <c r="G187">
        <v>1</v>
      </c>
      <c r="H187" t="s">
        <v>22</v>
      </c>
      <c r="I187" t="s">
        <v>23</v>
      </c>
      <c r="J187">
        <v>22745.5</v>
      </c>
      <c r="K187" t="s">
        <v>23</v>
      </c>
      <c r="L187">
        <v>0.18432060930844871</v>
      </c>
      <c r="M187" t="s">
        <v>23</v>
      </c>
      <c r="N187">
        <v>0</v>
      </c>
      <c r="O187">
        <v>0</v>
      </c>
      <c r="P187" t="s">
        <v>34</v>
      </c>
      <c r="Q187" t="s">
        <v>36</v>
      </c>
      <c r="R187" t="s">
        <v>47</v>
      </c>
      <c r="S187" t="s">
        <v>27</v>
      </c>
      <c r="T187" t="s">
        <v>35</v>
      </c>
      <c r="U187">
        <f t="shared" si="2"/>
        <v>1</v>
      </c>
    </row>
    <row r="188" spans="1:21" x14ac:dyDescent="0.2">
      <c r="A188">
        <v>639</v>
      </c>
      <c r="B188" t="s">
        <v>41</v>
      </c>
      <c r="C188" t="s">
        <v>21</v>
      </c>
      <c r="D188">
        <v>38</v>
      </c>
      <c r="E188">
        <v>5</v>
      </c>
      <c r="F188">
        <v>130170.82</v>
      </c>
      <c r="G188">
        <v>1</v>
      </c>
      <c r="H188" t="s">
        <v>22</v>
      </c>
      <c r="I188" t="s">
        <v>22</v>
      </c>
      <c r="J188">
        <v>149599.62</v>
      </c>
      <c r="K188" t="s">
        <v>23</v>
      </c>
      <c r="L188">
        <v>0.15458963528390701</v>
      </c>
      <c r="M188" t="s">
        <v>23</v>
      </c>
      <c r="N188">
        <v>0</v>
      </c>
      <c r="O188">
        <v>0</v>
      </c>
      <c r="P188" t="s">
        <v>34</v>
      </c>
      <c r="Q188" t="s">
        <v>33</v>
      </c>
      <c r="R188" t="s">
        <v>26</v>
      </c>
      <c r="S188" t="s">
        <v>27</v>
      </c>
      <c r="T188" t="s">
        <v>28</v>
      </c>
      <c r="U188">
        <f t="shared" si="2"/>
        <v>1</v>
      </c>
    </row>
    <row r="189" spans="1:21" x14ac:dyDescent="0.2">
      <c r="A189">
        <v>512</v>
      </c>
      <c r="B189" t="s">
        <v>20</v>
      </c>
      <c r="C189" t="s">
        <v>21</v>
      </c>
      <c r="D189">
        <v>36</v>
      </c>
      <c r="E189">
        <v>1</v>
      </c>
      <c r="F189">
        <v>0</v>
      </c>
      <c r="G189">
        <v>1</v>
      </c>
      <c r="H189" t="s">
        <v>23</v>
      </c>
      <c r="I189" t="s">
        <v>22</v>
      </c>
      <c r="J189">
        <v>135482.26</v>
      </c>
      <c r="K189" t="s">
        <v>22</v>
      </c>
      <c r="L189">
        <v>6.0482783554536262E-2</v>
      </c>
      <c r="M189" t="s">
        <v>23</v>
      </c>
      <c r="N189">
        <v>1</v>
      </c>
      <c r="O189">
        <v>0</v>
      </c>
      <c r="P189" t="s">
        <v>34</v>
      </c>
      <c r="Q189" t="s">
        <v>33</v>
      </c>
      <c r="R189" t="s">
        <v>29</v>
      </c>
      <c r="S189" t="s">
        <v>30</v>
      </c>
      <c r="T189" t="s">
        <v>28</v>
      </c>
      <c r="U189">
        <f t="shared" si="2"/>
        <v>0</v>
      </c>
    </row>
    <row r="190" spans="1:21" x14ac:dyDescent="0.2">
      <c r="A190">
        <v>577</v>
      </c>
      <c r="B190" t="s">
        <v>42</v>
      </c>
      <c r="C190" t="s">
        <v>32</v>
      </c>
      <c r="D190">
        <v>37</v>
      </c>
      <c r="E190">
        <v>4</v>
      </c>
      <c r="F190">
        <v>0</v>
      </c>
      <c r="G190">
        <v>1</v>
      </c>
      <c r="H190" t="s">
        <v>22</v>
      </c>
      <c r="I190" t="s">
        <v>22</v>
      </c>
      <c r="J190">
        <v>79881.39</v>
      </c>
      <c r="K190" t="s">
        <v>23</v>
      </c>
      <c r="L190">
        <v>8.8858697311289314E-2</v>
      </c>
      <c r="M190" t="s">
        <v>23</v>
      </c>
      <c r="N190">
        <v>0</v>
      </c>
      <c r="O190">
        <v>0</v>
      </c>
      <c r="P190" t="s">
        <v>34</v>
      </c>
      <c r="Q190" t="s">
        <v>33</v>
      </c>
      <c r="R190" t="s">
        <v>29</v>
      </c>
      <c r="S190" t="s">
        <v>30</v>
      </c>
      <c r="T190" t="s">
        <v>40</v>
      </c>
      <c r="U190">
        <f t="shared" si="2"/>
        <v>1</v>
      </c>
    </row>
    <row r="191" spans="1:21" x14ac:dyDescent="0.2">
      <c r="A191">
        <v>710</v>
      </c>
      <c r="B191" t="s">
        <v>20</v>
      </c>
      <c r="C191" t="s">
        <v>21</v>
      </c>
      <c r="D191">
        <v>35</v>
      </c>
      <c r="E191">
        <v>1</v>
      </c>
      <c r="F191">
        <v>106518.52</v>
      </c>
      <c r="G191">
        <v>1</v>
      </c>
      <c r="H191" t="s">
        <v>22</v>
      </c>
      <c r="I191" t="s">
        <v>22</v>
      </c>
      <c r="J191">
        <v>127951.81</v>
      </c>
      <c r="K191" t="s">
        <v>23</v>
      </c>
      <c r="L191">
        <v>6.2126964536388933E-2</v>
      </c>
      <c r="M191" t="s">
        <v>23</v>
      </c>
      <c r="N191">
        <v>0</v>
      </c>
      <c r="O191">
        <v>0</v>
      </c>
      <c r="P191" t="s">
        <v>34</v>
      </c>
      <c r="Q191" t="s">
        <v>33</v>
      </c>
      <c r="R191" t="s">
        <v>26</v>
      </c>
      <c r="S191" t="s">
        <v>37</v>
      </c>
      <c r="T191" t="s">
        <v>28</v>
      </c>
      <c r="U191">
        <f t="shared" si="2"/>
        <v>1</v>
      </c>
    </row>
    <row r="192" spans="1:21" x14ac:dyDescent="0.2">
      <c r="A192">
        <v>635</v>
      </c>
      <c r="B192" t="s">
        <v>42</v>
      </c>
      <c r="C192" t="s">
        <v>32</v>
      </c>
      <c r="D192">
        <v>48</v>
      </c>
      <c r="E192">
        <v>8</v>
      </c>
      <c r="F192">
        <v>130796.33</v>
      </c>
      <c r="G192">
        <v>2</v>
      </c>
      <c r="H192" t="s">
        <v>22</v>
      </c>
      <c r="I192" t="s">
        <v>22</v>
      </c>
      <c r="J192">
        <v>43250.3</v>
      </c>
      <c r="K192" t="s">
        <v>23</v>
      </c>
      <c r="L192">
        <v>0.19495323515109431</v>
      </c>
      <c r="M192" t="s">
        <v>23</v>
      </c>
      <c r="N192">
        <v>0</v>
      </c>
      <c r="O192">
        <v>0</v>
      </c>
      <c r="P192" t="s">
        <v>34</v>
      </c>
      <c r="Q192" t="s">
        <v>25</v>
      </c>
      <c r="R192" t="s">
        <v>26</v>
      </c>
      <c r="S192" t="s">
        <v>27</v>
      </c>
      <c r="T192" t="s">
        <v>35</v>
      </c>
      <c r="U192">
        <f t="shared" si="2"/>
        <v>1</v>
      </c>
    </row>
    <row r="193" spans="1:21" x14ac:dyDescent="0.2">
      <c r="A193">
        <v>789</v>
      </c>
      <c r="B193" t="s">
        <v>41</v>
      </c>
      <c r="C193" t="s">
        <v>21</v>
      </c>
      <c r="D193">
        <v>33</v>
      </c>
      <c r="E193">
        <v>8</v>
      </c>
      <c r="F193">
        <v>151607.56</v>
      </c>
      <c r="G193">
        <v>1</v>
      </c>
      <c r="H193" t="s">
        <v>22</v>
      </c>
      <c r="I193" t="s">
        <v>23</v>
      </c>
      <c r="J193">
        <v>4389.3999999999996</v>
      </c>
      <c r="K193" t="s">
        <v>23</v>
      </c>
      <c r="L193">
        <v>0.2372092416006113</v>
      </c>
      <c r="M193" t="s">
        <v>23</v>
      </c>
      <c r="N193">
        <v>0</v>
      </c>
      <c r="O193">
        <v>0</v>
      </c>
      <c r="P193" t="s">
        <v>24</v>
      </c>
      <c r="Q193" t="s">
        <v>33</v>
      </c>
      <c r="R193" t="s">
        <v>47</v>
      </c>
      <c r="S193" t="s">
        <v>37</v>
      </c>
      <c r="T193" t="s">
        <v>35</v>
      </c>
      <c r="U193">
        <f t="shared" si="2"/>
        <v>1</v>
      </c>
    </row>
    <row r="194" spans="1:21" x14ac:dyDescent="0.2">
      <c r="A194">
        <v>571</v>
      </c>
      <c r="B194" t="s">
        <v>41</v>
      </c>
      <c r="C194" t="s">
        <v>32</v>
      </c>
      <c r="D194">
        <v>66</v>
      </c>
      <c r="E194">
        <v>9</v>
      </c>
      <c r="F194">
        <v>111577.01</v>
      </c>
      <c r="G194">
        <v>1</v>
      </c>
      <c r="H194" t="s">
        <v>23</v>
      </c>
      <c r="I194" t="s">
        <v>22</v>
      </c>
      <c r="J194">
        <v>189271.9</v>
      </c>
      <c r="K194" t="s">
        <v>23</v>
      </c>
      <c r="L194">
        <v>0.70979282390295273</v>
      </c>
      <c r="M194" t="s">
        <v>22</v>
      </c>
      <c r="N194">
        <v>0</v>
      </c>
      <c r="O194">
        <v>1</v>
      </c>
      <c r="P194" t="s">
        <v>43</v>
      </c>
      <c r="Q194" t="s">
        <v>46</v>
      </c>
      <c r="R194" t="s">
        <v>26</v>
      </c>
      <c r="S194" t="s">
        <v>30</v>
      </c>
      <c r="T194" t="s">
        <v>31</v>
      </c>
      <c r="U194">
        <f t="shared" ref="U194:U257" si="3">IF(K194=M194,1,0)</f>
        <v>0</v>
      </c>
    </row>
    <row r="195" spans="1:21" x14ac:dyDescent="0.2">
      <c r="A195">
        <v>665</v>
      </c>
      <c r="B195" t="s">
        <v>20</v>
      </c>
      <c r="C195" t="s">
        <v>32</v>
      </c>
      <c r="D195">
        <v>42</v>
      </c>
      <c r="E195">
        <v>2</v>
      </c>
      <c r="F195">
        <v>156371.60999999999</v>
      </c>
      <c r="G195">
        <v>2</v>
      </c>
      <c r="H195" t="s">
        <v>23</v>
      </c>
      <c r="I195" t="s">
        <v>22</v>
      </c>
      <c r="J195">
        <v>156774.94</v>
      </c>
      <c r="K195" t="s">
        <v>22</v>
      </c>
      <c r="L195">
        <v>0.17311560434921891</v>
      </c>
      <c r="M195" t="s">
        <v>23</v>
      </c>
      <c r="N195">
        <v>1</v>
      </c>
      <c r="O195">
        <v>0</v>
      </c>
      <c r="P195" t="s">
        <v>34</v>
      </c>
      <c r="Q195" t="s">
        <v>25</v>
      </c>
      <c r="R195" t="s">
        <v>47</v>
      </c>
      <c r="S195" t="s">
        <v>27</v>
      </c>
      <c r="T195" t="s">
        <v>31</v>
      </c>
      <c r="U195">
        <f t="shared" si="3"/>
        <v>0</v>
      </c>
    </row>
    <row r="196" spans="1:21" x14ac:dyDescent="0.2">
      <c r="A196">
        <v>531</v>
      </c>
      <c r="B196" t="s">
        <v>20</v>
      </c>
      <c r="C196" t="s">
        <v>21</v>
      </c>
      <c r="D196">
        <v>27</v>
      </c>
      <c r="E196">
        <v>8</v>
      </c>
      <c r="F196">
        <v>132576.25</v>
      </c>
      <c r="G196">
        <v>1</v>
      </c>
      <c r="H196" t="s">
        <v>23</v>
      </c>
      <c r="I196" t="s">
        <v>23</v>
      </c>
      <c r="J196">
        <v>7222.92</v>
      </c>
      <c r="K196" t="s">
        <v>23</v>
      </c>
      <c r="L196">
        <v>9.9849717939443541E-2</v>
      </c>
      <c r="M196" t="s">
        <v>23</v>
      </c>
      <c r="N196">
        <v>0</v>
      </c>
      <c r="O196">
        <v>0</v>
      </c>
      <c r="P196" t="s">
        <v>34</v>
      </c>
      <c r="Q196" t="s">
        <v>36</v>
      </c>
      <c r="R196" t="s">
        <v>26</v>
      </c>
      <c r="S196" t="s">
        <v>30</v>
      </c>
      <c r="T196" t="s">
        <v>35</v>
      </c>
      <c r="U196">
        <f t="shared" si="3"/>
        <v>1</v>
      </c>
    </row>
    <row r="197" spans="1:21" x14ac:dyDescent="0.2">
      <c r="A197">
        <v>685</v>
      </c>
      <c r="B197" t="s">
        <v>20</v>
      </c>
      <c r="C197" t="s">
        <v>21</v>
      </c>
      <c r="D197">
        <v>35</v>
      </c>
      <c r="E197">
        <v>4</v>
      </c>
      <c r="F197">
        <v>137948.51</v>
      </c>
      <c r="G197">
        <v>1</v>
      </c>
      <c r="H197" t="s">
        <v>22</v>
      </c>
      <c r="I197" t="s">
        <v>23</v>
      </c>
      <c r="J197">
        <v>113639.64</v>
      </c>
      <c r="K197" t="s">
        <v>23</v>
      </c>
      <c r="L197">
        <v>0.1689383204587975</v>
      </c>
      <c r="M197" t="s">
        <v>23</v>
      </c>
      <c r="N197">
        <v>0</v>
      </c>
      <c r="O197">
        <v>0</v>
      </c>
      <c r="P197" t="s">
        <v>34</v>
      </c>
      <c r="Q197" t="s">
        <v>33</v>
      </c>
      <c r="R197" t="s">
        <v>26</v>
      </c>
      <c r="S197" t="s">
        <v>27</v>
      </c>
      <c r="T197" t="s">
        <v>28</v>
      </c>
      <c r="U197">
        <f t="shared" si="3"/>
        <v>1</v>
      </c>
    </row>
    <row r="198" spans="1:21" x14ac:dyDescent="0.2">
      <c r="A198">
        <v>683</v>
      </c>
      <c r="B198" t="s">
        <v>41</v>
      </c>
      <c r="C198" t="s">
        <v>32</v>
      </c>
      <c r="D198">
        <v>43</v>
      </c>
      <c r="E198">
        <v>4</v>
      </c>
      <c r="F198">
        <v>115888.04</v>
      </c>
      <c r="G198">
        <v>1</v>
      </c>
      <c r="H198" t="s">
        <v>22</v>
      </c>
      <c r="I198" t="s">
        <v>22</v>
      </c>
      <c r="J198">
        <v>117349.19</v>
      </c>
      <c r="K198" t="s">
        <v>22</v>
      </c>
      <c r="L198">
        <v>0.29999005272349027</v>
      </c>
      <c r="M198" t="s">
        <v>23</v>
      </c>
      <c r="N198">
        <v>1</v>
      </c>
      <c r="O198">
        <v>0</v>
      </c>
      <c r="P198" t="s">
        <v>24</v>
      </c>
      <c r="Q198" t="s">
        <v>25</v>
      </c>
      <c r="R198" t="s">
        <v>26</v>
      </c>
      <c r="S198" t="s">
        <v>27</v>
      </c>
      <c r="T198" t="s">
        <v>28</v>
      </c>
      <c r="U198">
        <f t="shared" si="3"/>
        <v>0</v>
      </c>
    </row>
    <row r="199" spans="1:21" x14ac:dyDescent="0.2">
      <c r="A199">
        <v>638</v>
      </c>
      <c r="B199" t="s">
        <v>42</v>
      </c>
      <c r="C199" t="s">
        <v>32</v>
      </c>
      <c r="D199">
        <v>48</v>
      </c>
      <c r="E199">
        <v>10</v>
      </c>
      <c r="F199">
        <v>138333.03</v>
      </c>
      <c r="G199">
        <v>1</v>
      </c>
      <c r="H199" t="s">
        <v>22</v>
      </c>
      <c r="I199" t="s">
        <v>22</v>
      </c>
      <c r="J199">
        <v>47679.14</v>
      </c>
      <c r="K199" t="s">
        <v>23</v>
      </c>
      <c r="L199">
        <v>0.20847031003947139</v>
      </c>
      <c r="M199" t="s">
        <v>23</v>
      </c>
      <c r="N199">
        <v>0</v>
      </c>
      <c r="O199">
        <v>0</v>
      </c>
      <c r="P199" t="s">
        <v>24</v>
      </c>
      <c r="Q199" t="s">
        <v>25</v>
      </c>
      <c r="R199" t="s">
        <v>26</v>
      </c>
      <c r="S199" t="s">
        <v>27</v>
      </c>
      <c r="T199" t="s">
        <v>35</v>
      </c>
      <c r="U199">
        <f t="shared" si="3"/>
        <v>1</v>
      </c>
    </row>
    <row r="200" spans="1:21" x14ac:dyDescent="0.2">
      <c r="A200">
        <v>586</v>
      </c>
      <c r="B200" t="s">
        <v>42</v>
      </c>
      <c r="C200" t="s">
        <v>32</v>
      </c>
      <c r="D200">
        <v>43</v>
      </c>
      <c r="E200">
        <v>8</v>
      </c>
      <c r="F200">
        <v>132558.26</v>
      </c>
      <c r="G200">
        <v>1</v>
      </c>
      <c r="H200" t="s">
        <v>22</v>
      </c>
      <c r="I200" t="s">
        <v>23</v>
      </c>
      <c r="J200">
        <v>67046.83</v>
      </c>
      <c r="K200" t="s">
        <v>22</v>
      </c>
      <c r="L200">
        <v>0.36753074789462908</v>
      </c>
      <c r="M200" t="s">
        <v>23</v>
      </c>
      <c r="N200">
        <v>1</v>
      </c>
      <c r="O200">
        <v>0</v>
      </c>
      <c r="P200" t="s">
        <v>24</v>
      </c>
      <c r="Q200" t="s">
        <v>25</v>
      </c>
      <c r="R200" t="s">
        <v>26</v>
      </c>
      <c r="S200" t="s">
        <v>30</v>
      </c>
      <c r="T200" t="s">
        <v>40</v>
      </c>
      <c r="U200">
        <f t="shared" si="3"/>
        <v>0</v>
      </c>
    </row>
    <row r="201" spans="1:21" x14ac:dyDescent="0.2">
      <c r="A201">
        <v>668</v>
      </c>
      <c r="B201" t="s">
        <v>42</v>
      </c>
      <c r="C201" t="s">
        <v>21</v>
      </c>
      <c r="D201">
        <v>32</v>
      </c>
      <c r="E201">
        <v>7</v>
      </c>
      <c r="F201">
        <v>0</v>
      </c>
      <c r="G201">
        <v>2</v>
      </c>
      <c r="H201" t="s">
        <v>22</v>
      </c>
      <c r="I201" t="s">
        <v>22</v>
      </c>
      <c r="J201">
        <v>777.37</v>
      </c>
      <c r="K201" t="s">
        <v>23</v>
      </c>
      <c r="L201">
        <v>2.887940883317737E-2</v>
      </c>
      <c r="M201" t="s">
        <v>23</v>
      </c>
      <c r="N201">
        <v>0</v>
      </c>
      <c r="O201">
        <v>0</v>
      </c>
      <c r="P201" t="s">
        <v>34</v>
      </c>
      <c r="Q201" t="s">
        <v>33</v>
      </c>
      <c r="R201" t="s">
        <v>29</v>
      </c>
      <c r="S201" t="s">
        <v>27</v>
      </c>
      <c r="T201" t="s">
        <v>35</v>
      </c>
      <c r="U201">
        <f t="shared" si="3"/>
        <v>1</v>
      </c>
    </row>
    <row r="202" spans="1:21" x14ac:dyDescent="0.2">
      <c r="A202">
        <v>659</v>
      </c>
      <c r="B202" t="s">
        <v>20</v>
      </c>
      <c r="C202" t="s">
        <v>21</v>
      </c>
      <c r="D202">
        <v>31</v>
      </c>
      <c r="E202">
        <v>7</v>
      </c>
      <c r="F202">
        <v>149620.88</v>
      </c>
      <c r="G202">
        <v>2</v>
      </c>
      <c r="H202" t="s">
        <v>22</v>
      </c>
      <c r="I202" t="s">
        <v>22</v>
      </c>
      <c r="J202">
        <v>104533.51</v>
      </c>
      <c r="K202" t="s">
        <v>23</v>
      </c>
      <c r="L202">
        <v>4.3155725635801348E-2</v>
      </c>
      <c r="M202" t="s">
        <v>23</v>
      </c>
      <c r="N202">
        <v>0</v>
      </c>
      <c r="O202">
        <v>0</v>
      </c>
      <c r="P202" t="s">
        <v>34</v>
      </c>
      <c r="Q202" t="s">
        <v>33</v>
      </c>
      <c r="R202" t="s">
        <v>26</v>
      </c>
      <c r="S202" t="s">
        <v>27</v>
      </c>
      <c r="T202" t="s">
        <v>28</v>
      </c>
      <c r="U202">
        <f t="shared" si="3"/>
        <v>1</v>
      </c>
    </row>
    <row r="203" spans="1:21" x14ac:dyDescent="0.2">
      <c r="A203">
        <v>661</v>
      </c>
      <c r="B203" t="s">
        <v>20</v>
      </c>
      <c r="C203" t="s">
        <v>32</v>
      </c>
      <c r="D203">
        <v>28</v>
      </c>
      <c r="E203">
        <v>7</v>
      </c>
      <c r="F203">
        <v>95357.49</v>
      </c>
      <c r="G203">
        <v>1</v>
      </c>
      <c r="H203" t="s">
        <v>23</v>
      </c>
      <c r="I203" t="s">
        <v>23</v>
      </c>
      <c r="J203">
        <v>102297.15</v>
      </c>
      <c r="K203" t="s">
        <v>23</v>
      </c>
      <c r="L203">
        <v>0.15565546941584721</v>
      </c>
      <c r="M203" t="s">
        <v>23</v>
      </c>
      <c r="N203">
        <v>0</v>
      </c>
      <c r="O203">
        <v>0</v>
      </c>
      <c r="P203" t="s">
        <v>34</v>
      </c>
      <c r="Q203" t="s">
        <v>36</v>
      </c>
      <c r="R203" t="s">
        <v>38</v>
      </c>
      <c r="S203" t="s">
        <v>27</v>
      </c>
      <c r="T203" t="s">
        <v>28</v>
      </c>
      <c r="U203">
        <f t="shared" si="3"/>
        <v>1</v>
      </c>
    </row>
    <row r="204" spans="1:21" x14ac:dyDescent="0.2">
      <c r="A204">
        <v>610</v>
      </c>
      <c r="B204" t="s">
        <v>20</v>
      </c>
      <c r="C204" t="s">
        <v>21</v>
      </c>
      <c r="D204">
        <v>29</v>
      </c>
      <c r="E204">
        <v>9</v>
      </c>
      <c r="F204">
        <v>0</v>
      </c>
      <c r="G204">
        <v>3</v>
      </c>
      <c r="H204" t="s">
        <v>23</v>
      </c>
      <c r="I204" t="s">
        <v>22</v>
      </c>
      <c r="J204">
        <v>83912.24</v>
      </c>
      <c r="K204" t="s">
        <v>23</v>
      </c>
      <c r="L204">
        <v>2.3587152030851301E-2</v>
      </c>
      <c r="M204" t="s">
        <v>23</v>
      </c>
      <c r="N204">
        <v>0</v>
      </c>
      <c r="O204">
        <v>0</v>
      </c>
      <c r="P204" t="s">
        <v>34</v>
      </c>
      <c r="Q204" t="s">
        <v>36</v>
      </c>
      <c r="R204" t="s">
        <v>29</v>
      </c>
      <c r="S204" t="s">
        <v>27</v>
      </c>
      <c r="T204" t="s">
        <v>40</v>
      </c>
      <c r="U204">
        <f t="shared" si="3"/>
        <v>1</v>
      </c>
    </row>
    <row r="205" spans="1:21" x14ac:dyDescent="0.2">
      <c r="A205">
        <v>587</v>
      </c>
      <c r="B205" t="s">
        <v>20</v>
      </c>
      <c r="C205" t="s">
        <v>21</v>
      </c>
      <c r="D205">
        <v>62</v>
      </c>
      <c r="E205">
        <v>7</v>
      </c>
      <c r="F205">
        <v>121286.27</v>
      </c>
      <c r="G205">
        <v>1</v>
      </c>
      <c r="H205" t="s">
        <v>23</v>
      </c>
      <c r="I205" t="s">
        <v>22</v>
      </c>
      <c r="J205">
        <v>6776.92</v>
      </c>
      <c r="K205" t="s">
        <v>23</v>
      </c>
      <c r="L205">
        <v>0.32136720134931079</v>
      </c>
      <c r="M205" t="s">
        <v>23</v>
      </c>
      <c r="N205">
        <v>0</v>
      </c>
      <c r="O205">
        <v>0</v>
      </c>
      <c r="P205" t="s">
        <v>24</v>
      </c>
      <c r="Q205" t="s">
        <v>46</v>
      </c>
      <c r="R205" t="s">
        <v>26</v>
      </c>
      <c r="S205" t="s">
        <v>30</v>
      </c>
      <c r="T205" t="s">
        <v>35</v>
      </c>
      <c r="U205">
        <f t="shared" si="3"/>
        <v>1</v>
      </c>
    </row>
    <row r="206" spans="1:21" x14ac:dyDescent="0.2">
      <c r="A206">
        <v>548</v>
      </c>
      <c r="B206" t="s">
        <v>42</v>
      </c>
      <c r="C206" t="s">
        <v>32</v>
      </c>
      <c r="D206">
        <v>29</v>
      </c>
      <c r="E206">
        <v>4</v>
      </c>
      <c r="F206">
        <v>0</v>
      </c>
      <c r="G206">
        <v>2</v>
      </c>
      <c r="H206" t="s">
        <v>23</v>
      </c>
      <c r="I206" t="s">
        <v>22</v>
      </c>
      <c r="J206">
        <v>48673.18</v>
      </c>
      <c r="K206" t="s">
        <v>23</v>
      </c>
      <c r="L206">
        <v>4.7953799832025489E-2</v>
      </c>
      <c r="M206" t="s">
        <v>23</v>
      </c>
      <c r="N206">
        <v>0</v>
      </c>
      <c r="O206">
        <v>0</v>
      </c>
      <c r="P206" t="s">
        <v>34</v>
      </c>
      <c r="Q206" t="s">
        <v>36</v>
      </c>
      <c r="R206" t="s">
        <v>29</v>
      </c>
      <c r="S206" t="s">
        <v>30</v>
      </c>
      <c r="T206" t="s">
        <v>35</v>
      </c>
      <c r="U206">
        <f t="shared" si="3"/>
        <v>1</v>
      </c>
    </row>
    <row r="207" spans="1:21" x14ac:dyDescent="0.2">
      <c r="A207">
        <v>633</v>
      </c>
      <c r="B207" t="s">
        <v>42</v>
      </c>
      <c r="C207" t="s">
        <v>21</v>
      </c>
      <c r="D207">
        <v>31</v>
      </c>
      <c r="E207">
        <v>1</v>
      </c>
      <c r="F207">
        <v>0</v>
      </c>
      <c r="G207">
        <v>1</v>
      </c>
      <c r="H207" t="s">
        <v>22</v>
      </c>
      <c r="I207" t="s">
        <v>23</v>
      </c>
      <c r="J207">
        <v>48606.71</v>
      </c>
      <c r="K207" t="s">
        <v>23</v>
      </c>
      <c r="L207">
        <v>9.7429289197763572E-2</v>
      </c>
      <c r="M207" t="s">
        <v>23</v>
      </c>
      <c r="N207">
        <v>0</v>
      </c>
      <c r="O207">
        <v>0</v>
      </c>
      <c r="P207" t="s">
        <v>34</v>
      </c>
      <c r="Q207" t="s">
        <v>33</v>
      </c>
      <c r="R207" t="s">
        <v>29</v>
      </c>
      <c r="S207" t="s">
        <v>27</v>
      </c>
      <c r="T207" t="s">
        <v>35</v>
      </c>
      <c r="U207">
        <f t="shared" si="3"/>
        <v>1</v>
      </c>
    </row>
    <row r="208" spans="1:21" x14ac:dyDescent="0.2">
      <c r="A208">
        <v>485</v>
      </c>
      <c r="B208" t="s">
        <v>20</v>
      </c>
      <c r="C208" t="s">
        <v>21</v>
      </c>
      <c r="D208">
        <v>32</v>
      </c>
      <c r="E208">
        <v>6</v>
      </c>
      <c r="F208">
        <v>102238.01</v>
      </c>
      <c r="G208">
        <v>2</v>
      </c>
      <c r="H208" t="s">
        <v>22</v>
      </c>
      <c r="I208" t="s">
        <v>22</v>
      </c>
      <c r="J208">
        <v>194010.12</v>
      </c>
      <c r="K208" t="s">
        <v>23</v>
      </c>
      <c r="L208">
        <v>4.9391381742021297E-2</v>
      </c>
      <c r="M208" t="s">
        <v>23</v>
      </c>
      <c r="N208">
        <v>0</v>
      </c>
      <c r="O208">
        <v>0</v>
      </c>
      <c r="P208" t="s">
        <v>34</v>
      </c>
      <c r="Q208" t="s">
        <v>33</v>
      </c>
      <c r="R208" t="s">
        <v>26</v>
      </c>
      <c r="S208" t="s">
        <v>45</v>
      </c>
      <c r="T208" t="s">
        <v>31</v>
      </c>
      <c r="U208">
        <f t="shared" si="3"/>
        <v>1</v>
      </c>
    </row>
    <row r="209" spans="1:21" x14ac:dyDescent="0.2">
      <c r="A209">
        <v>609</v>
      </c>
      <c r="B209" t="s">
        <v>20</v>
      </c>
      <c r="C209" t="s">
        <v>21</v>
      </c>
      <c r="D209">
        <v>53</v>
      </c>
      <c r="E209">
        <v>10</v>
      </c>
      <c r="F209">
        <v>0</v>
      </c>
      <c r="G209">
        <v>1</v>
      </c>
      <c r="H209" t="s">
        <v>22</v>
      </c>
      <c r="I209" t="s">
        <v>22</v>
      </c>
      <c r="J209">
        <v>154642.91</v>
      </c>
      <c r="K209" t="s">
        <v>23</v>
      </c>
      <c r="L209">
        <v>0.1478123204931498</v>
      </c>
      <c r="M209" t="s">
        <v>23</v>
      </c>
      <c r="N209">
        <v>0</v>
      </c>
      <c r="O209">
        <v>0</v>
      </c>
      <c r="P209" t="s">
        <v>34</v>
      </c>
      <c r="Q209" t="s">
        <v>44</v>
      </c>
      <c r="R209" t="s">
        <v>29</v>
      </c>
      <c r="S209" t="s">
        <v>27</v>
      </c>
      <c r="T209" t="s">
        <v>31</v>
      </c>
      <c r="U209">
        <f t="shared" si="3"/>
        <v>1</v>
      </c>
    </row>
    <row r="210" spans="1:21" x14ac:dyDescent="0.2">
      <c r="A210">
        <v>645</v>
      </c>
      <c r="B210" t="s">
        <v>42</v>
      </c>
      <c r="C210" t="s">
        <v>21</v>
      </c>
      <c r="D210">
        <v>29</v>
      </c>
      <c r="E210">
        <v>1</v>
      </c>
      <c r="F210">
        <v>130131.08</v>
      </c>
      <c r="G210">
        <v>2</v>
      </c>
      <c r="H210" t="s">
        <v>23</v>
      </c>
      <c r="I210" t="s">
        <v>22</v>
      </c>
      <c r="J210">
        <v>196474.35</v>
      </c>
      <c r="K210" t="s">
        <v>23</v>
      </c>
      <c r="L210">
        <v>4.2141071876709471E-2</v>
      </c>
      <c r="M210" t="s">
        <v>23</v>
      </c>
      <c r="N210">
        <v>0</v>
      </c>
      <c r="O210">
        <v>0</v>
      </c>
      <c r="P210" t="s">
        <v>34</v>
      </c>
      <c r="Q210" t="s">
        <v>36</v>
      </c>
      <c r="R210" t="s">
        <v>26</v>
      </c>
      <c r="S210" t="s">
        <v>27</v>
      </c>
      <c r="T210" t="s">
        <v>31</v>
      </c>
      <c r="U210">
        <f t="shared" si="3"/>
        <v>1</v>
      </c>
    </row>
    <row r="211" spans="1:21" x14ac:dyDescent="0.2">
      <c r="A211">
        <v>625</v>
      </c>
      <c r="B211" t="s">
        <v>42</v>
      </c>
      <c r="C211" t="s">
        <v>32</v>
      </c>
      <c r="D211">
        <v>24</v>
      </c>
      <c r="E211">
        <v>1</v>
      </c>
      <c r="F211">
        <v>0</v>
      </c>
      <c r="G211">
        <v>2</v>
      </c>
      <c r="H211" t="s">
        <v>22</v>
      </c>
      <c r="I211" t="s">
        <v>22</v>
      </c>
      <c r="J211">
        <v>180969.55</v>
      </c>
      <c r="K211" t="s">
        <v>23</v>
      </c>
      <c r="L211">
        <v>3.5213256442633338E-2</v>
      </c>
      <c r="M211" t="s">
        <v>23</v>
      </c>
      <c r="N211">
        <v>0</v>
      </c>
      <c r="O211">
        <v>0</v>
      </c>
      <c r="P211" t="s">
        <v>34</v>
      </c>
      <c r="Q211" t="s">
        <v>36</v>
      </c>
      <c r="R211" t="s">
        <v>29</v>
      </c>
      <c r="S211" t="s">
        <v>27</v>
      </c>
      <c r="T211" t="s">
        <v>31</v>
      </c>
      <c r="U211">
        <f t="shared" si="3"/>
        <v>1</v>
      </c>
    </row>
    <row r="212" spans="1:21" x14ac:dyDescent="0.2">
      <c r="A212">
        <v>625</v>
      </c>
      <c r="B212" t="s">
        <v>20</v>
      </c>
      <c r="C212" t="s">
        <v>32</v>
      </c>
      <c r="D212">
        <v>49</v>
      </c>
      <c r="E212">
        <v>2</v>
      </c>
      <c r="F212">
        <v>80816.45</v>
      </c>
      <c r="G212">
        <v>1</v>
      </c>
      <c r="H212" t="s">
        <v>22</v>
      </c>
      <c r="I212" t="s">
        <v>22</v>
      </c>
      <c r="J212">
        <v>20018.79</v>
      </c>
      <c r="K212" t="s">
        <v>23</v>
      </c>
      <c r="L212">
        <v>0.22811287793790791</v>
      </c>
      <c r="M212" t="s">
        <v>23</v>
      </c>
      <c r="N212">
        <v>0</v>
      </c>
      <c r="O212">
        <v>0</v>
      </c>
      <c r="P212" t="s">
        <v>24</v>
      </c>
      <c r="Q212" t="s">
        <v>25</v>
      </c>
      <c r="R212" t="s">
        <v>38</v>
      </c>
      <c r="S212" t="s">
        <v>27</v>
      </c>
      <c r="T212" t="s">
        <v>35</v>
      </c>
      <c r="U212">
        <f t="shared" si="3"/>
        <v>1</v>
      </c>
    </row>
    <row r="213" spans="1:21" x14ac:dyDescent="0.2">
      <c r="A213">
        <v>607</v>
      </c>
      <c r="B213" t="s">
        <v>41</v>
      </c>
      <c r="C213" t="s">
        <v>21</v>
      </c>
      <c r="D213">
        <v>38</v>
      </c>
      <c r="E213">
        <v>3</v>
      </c>
      <c r="F213">
        <v>98205.77</v>
      </c>
      <c r="G213">
        <v>1</v>
      </c>
      <c r="H213" t="s">
        <v>22</v>
      </c>
      <c r="I213" t="s">
        <v>23</v>
      </c>
      <c r="J213">
        <v>176318.27</v>
      </c>
      <c r="K213" t="s">
        <v>23</v>
      </c>
      <c r="L213">
        <v>0.35083980512780011</v>
      </c>
      <c r="M213" t="s">
        <v>23</v>
      </c>
      <c r="N213">
        <v>0</v>
      </c>
      <c r="O213">
        <v>0</v>
      </c>
      <c r="P213" t="s">
        <v>24</v>
      </c>
      <c r="Q213" t="s">
        <v>33</v>
      </c>
      <c r="R213" t="s">
        <v>38</v>
      </c>
      <c r="S213" t="s">
        <v>27</v>
      </c>
      <c r="T213" t="s">
        <v>31</v>
      </c>
      <c r="U213">
        <f t="shared" si="3"/>
        <v>1</v>
      </c>
    </row>
    <row r="214" spans="1:21" x14ac:dyDescent="0.2">
      <c r="A214">
        <v>490</v>
      </c>
      <c r="B214" t="s">
        <v>20</v>
      </c>
      <c r="C214" t="s">
        <v>32</v>
      </c>
      <c r="D214">
        <v>48</v>
      </c>
      <c r="E214">
        <v>8</v>
      </c>
      <c r="F214">
        <v>155413.06</v>
      </c>
      <c r="G214">
        <v>1</v>
      </c>
      <c r="H214" t="s">
        <v>22</v>
      </c>
      <c r="I214" t="s">
        <v>23</v>
      </c>
      <c r="J214">
        <v>187921.3</v>
      </c>
      <c r="K214" t="s">
        <v>23</v>
      </c>
      <c r="L214">
        <v>0.5147180254498257</v>
      </c>
      <c r="M214" t="s">
        <v>22</v>
      </c>
      <c r="N214">
        <v>0</v>
      </c>
      <c r="O214">
        <v>1</v>
      </c>
      <c r="P214" t="s">
        <v>43</v>
      </c>
      <c r="Q214" t="s">
        <v>25</v>
      </c>
      <c r="R214" t="s">
        <v>47</v>
      </c>
      <c r="S214" t="s">
        <v>45</v>
      </c>
      <c r="T214" t="s">
        <v>31</v>
      </c>
      <c r="U214">
        <f t="shared" si="3"/>
        <v>0</v>
      </c>
    </row>
    <row r="215" spans="1:21" x14ac:dyDescent="0.2">
      <c r="A215">
        <v>710</v>
      </c>
      <c r="B215" t="s">
        <v>20</v>
      </c>
      <c r="C215" t="s">
        <v>32</v>
      </c>
      <c r="D215">
        <v>38</v>
      </c>
      <c r="E215">
        <v>4</v>
      </c>
      <c r="F215">
        <v>0</v>
      </c>
      <c r="G215">
        <v>2</v>
      </c>
      <c r="H215" t="s">
        <v>22</v>
      </c>
      <c r="I215" t="s">
        <v>22</v>
      </c>
      <c r="J215">
        <v>136390.88</v>
      </c>
      <c r="K215" t="s">
        <v>23</v>
      </c>
      <c r="L215">
        <v>8.4764203800507934E-2</v>
      </c>
      <c r="M215" t="s">
        <v>23</v>
      </c>
      <c r="N215">
        <v>0</v>
      </c>
      <c r="O215">
        <v>0</v>
      </c>
      <c r="P215" t="s">
        <v>34</v>
      </c>
      <c r="Q215" t="s">
        <v>33</v>
      </c>
      <c r="R215" t="s">
        <v>29</v>
      </c>
      <c r="S215" t="s">
        <v>37</v>
      </c>
      <c r="T215" t="s">
        <v>28</v>
      </c>
      <c r="U215">
        <f t="shared" si="3"/>
        <v>1</v>
      </c>
    </row>
    <row r="216" spans="1:21" x14ac:dyDescent="0.2">
      <c r="A216">
        <v>594</v>
      </c>
      <c r="B216" t="s">
        <v>42</v>
      </c>
      <c r="C216" t="s">
        <v>21</v>
      </c>
      <c r="D216">
        <v>57</v>
      </c>
      <c r="E216">
        <v>6</v>
      </c>
      <c r="F216">
        <v>0</v>
      </c>
      <c r="G216">
        <v>1</v>
      </c>
      <c r="H216" t="s">
        <v>22</v>
      </c>
      <c r="I216" t="s">
        <v>23</v>
      </c>
      <c r="J216">
        <v>19376.560000000001</v>
      </c>
      <c r="K216" t="s">
        <v>22</v>
      </c>
      <c r="L216">
        <v>0.40357521629862159</v>
      </c>
      <c r="M216" t="s">
        <v>23</v>
      </c>
      <c r="N216">
        <v>1</v>
      </c>
      <c r="O216">
        <v>0</v>
      </c>
      <c r="P216" t="s">
        <v>24</v>
      </c>
      <c r="Q216" t="s">
        <v>44</v>
      </c>
      <c r="R216" t="s">
        <v>29</v>
      </c>
      <c r="S216" t="s">
        <v>30</v>
      </c>
      <c r="T216" t="s">
        <v>35</v>
      </c>
      <c r="U216">
        <f t="shared" si="3"/>
        <v>0</v>
      </c>
    </row>
    <row r="217" spans="1:21" x14ac:dyDescent="0.2">
      <c r="A217">
        <v>695</v>
      </c>
      <c r="B217" t="s">
        <v>41</v>
      </c>
      <c r="C217" t="s">
        <v>21</v>
      </c>
      <c r="D217">
        <v>52</v>
      </c>
      <c r="E217">
        <v>8</v>
      </c>
      <c r="F217">
        <v>103023.26</v>
      </c>
      <c r="G217">
        <v>1</v>
      </c>
      <c r="H217" t="s">
        <v>22</v>
      </c>
      <c r="I217" t="s">
        <v>22</v>
      </c>
      <c r="J217">
        <v>22485.64</v>
      </c>
      <c r="K217" t="s">
        <v>23</v>
      </c>
      <c r="L217">
        <v>0.28848457868201888</v>
      </c>
      <c r="M217" t="s">
        <v>23</v>
      </c>
      <c r="N217">
        <v>0</v>
      </c>
      <c r="O217">
        <v>0</v>
      </c>
      <c r="P217" t="s">
        <v>24</v>
      </c>
      <c r="Q217" t="s">
        <v>44</v>
      </c>
      <c r="R217" t="s">
        <v>26</v>
      </c>
      <c r="S217" t="s">
        <v>27</v>
      </c>
      <c r="T217" t="s">
        <v>35</v>
      </c>
      <c r="U217">
        <f t="shared" si="3"/>
        <v>1</v>
      </c>
    </row>
    <row r="218" spans="1:21" x14ac:dyDescent="0.2">
      <c r="A218">
        <v>702</v>
      </c>
      <c r="B218" t="s">
        <v>20</v>
      </c>
      <c r="C218" t="s">
        <v>21</v>
      </c>
      <c r="D218">
        <v>39</v>
      </c>
      <c r="E218">
        <v>8</v>
      </c>
      <c r="F218">
        <v>0</v>
      </c>
      <c r="G218">
        <v>2</v>
      </c>
      <c r="H218" t="s">
        <v>22</v>
      </c>
      <c r="I218" t="s">
        <v>23</v>
      </c>
      <c r="J218">
        <v>99654.13</v>
      </c>
      <c r="K218" t="s">
        <v>23</v>
      </c>
      <c r="L218">
        <v>0.13504291069468491</v>
      </c>
      <c r="M218" t="s">
        <v>23</v>
      </c>
      <c r="N218">
        <v>0</v>
      </c>
      <c r="O218">
        <v>0</v>
      </c>
      <c r="P218" t="s">
        <v>34</v>
      </c>
      <c r="Q218" t="s">
        <v>33</v>
      </c>
      <c r="R218" t="s">
        <v>29</v>
      </c>
      <c r="S218" t="s">
        <v>37</v>
      </c>
      <c r="T218" t="s">
        <v>40</v>
      </c>
      <c r="U218">
        <f t="shared" si="3"/>
        <v>1</v>
      </c>
    </row>
    <row r="219" spans="1:21" x14ac:dyDescent="0.2">
      <c r="A219">
        <v>664</v>
      </c>
      <c r="B219" t="s">
        <v>42</v>
      </c>
      <c r="C219" t="s">
        <v>21</v>
      </c>
      <c r="D219">
        <v>32</v>
      </c>
      <c r="E219">
        <v>10</v>
      </c>
      <c r="F219">
        <v>107209.73</v>
      </c>
      <c r="G219">
        <v>1</v>
      </c>
      <c r="H219" t="s">
        <v>22</v>
      </c>
      <c r="I219" t="s">
        <v>22</v>
      </c>
      <c r="J219">
        <v>112340.2</v>
      </c>
      <c r="K219" t="s">
        <v>23</v>
      </c>
      <c r="L219">
        <v>4.1966012761836841E-2</v>
      </c>
      <c r="M219" t="s">
        <v>23</v>
      </c>
      <c r="N219">
        <v>0</v>
      </c>
      <c r="O219">
        <v>0</v>
      </c>
      <c r="P219" t="s">
        <v>34</v>
      </c>
      <c r="Q219" t="s">
        <v>33</v>
      </c>
      <c r="R219" t="s">
        <v>26</v>
      </c>
      <c r="S219" t="s">
        <v>27</v>
      </c>
      <c r="T219" t="s">
        <v>28</v>
      </c>
      <c r="U219">
        <f t="shared" si="3"/>
        <v>1</v>
      </c>
    </row>
    <row r="220" spans="1:21" x14ac:dyDescent="0.2">
      <c r="A220">
        <v>461</v>
      </c>
      <c r="B220" t="s">
        <v>20</v>
      </c>
      <c r="C220" t="s">
        <v>32</v>
      </c>
      <c r="D220">
        <v>35</v>
      </c>
      <c r="E220">
        <v>8</v>
      </c>
      <c r="F220">
        <v>0</v>
      </c>
      <c r="G220">
        <v>1</v>
      </c>
      <c r="H220" t="s">
        <v>22</v>
      </c>
      <c r="I220" t="s">
        <v>23</v>
      </c>
      <c r="J220">
        <v>132295.95000000001</v>
      </c>
      <c r="K220" t="s">
        <v>23</v>
      </c>
      <c r="L220">
        <v>0.21134068772542289</v>
      </c>
      <c r="M220" t="s">
        <v>23</v>
      </c>
      <c r="N220">
        <v>0</v>
      </c>
      <c r="O220">
        <v>0</v>
      </c>
      <c r="P220" t="s">
        <v>24</v>
      </c>
      <c r="Q220" t="s">
        <v>33</v>
      </c>
      <c r="R220" t="s">
        <v>29</v>
      </c>
      <c r="S220" t="s">
        <v>45</v>
      </c>
      <c r="T220" t="s">
        <v>28</v>
      </c>
      <c r="U220">
        <f t="shared" si="3"/>
        <v>1</v>
      </c>
    </row>
    <row r="221" spans="1:21" x14ac:dyDescent="0.2">
      <c r="A221">
        <v>692</v>
      </c>
      <c r="B221" t="s">
        <v>42</v>
      </c>
      <c r="C221" t="s">
        <v>21</v>
      </c>
      <c r="D221">
        <v>29</v>
      </c>
      <c r="E221">
        <v>4</v>
      </c>
      <c r="F221">
        <v>0</v>
      </c>
      <c r="G221">
        <v>1</v>
      </c>
      <c r="H221" t="s">
        <v>22</v>
      </c>
      <c r="I221" t="s">
        <v>23</v>
      </c>
      <c r="J221">
        <v>76755.990000000005</v>
      </c>
      <c r="K221" t="s">
        <v>22</v>
      </c>
      <c r="L221">
        <v>7.8814234236465233E-2</v>
      </c>
      <c r="M221" t="s">
        <v>23</v>
      </c>
      <c r="N221">
        <v>1</v>
      </c>
      <c r="O221">
        <v>0</v>
      </c>
      <c r="P221" t="s">
        <v>34</v>
      </c>
      <c r="Q221" t="s">
        <v>36</v>
      </c>
      <c r="R221" t="s">
        <v>29</v>
      </c>
      <c r="S221" t="s">
        <v>27</v>
      </c>
      <c r="T221" t="s">
        <v>40</v>
      </c>
      <c r="U221">
        <f t="shared" si="3"/>
        <v>0</v>
      </c>
    </row>
    <row r="222" spans="1:21" x14ac:dyDescent="0.2">
      <c r="A222">
        <v>494</v>
      </c>
      <c r="B222" t="s">
        <v>20</v>
      </c>
      <c r="C222" t="s">
        <v>21</v>
      </c>
      <c r="D222">
        <v>38</v>
      </c>
      <c r="E222">
        <v>7</v>
      </c>
      <c r="F222">
        <v>0</v>
      </c>
      <c r="G222">
        <v>2</v>
      </c>
      <c r="H222" t="s">
        <v>22</v>
      </c>
      <c r="I222" t="s">
        <v>22</v>
      </c>
      <c r="J222">
        <v>6203.66</v>
      </c>
      <c r="K222" t="s">
        <v>23</v>
      </c>
      <c r="L222">
        <v>5.1688946143690892E-2</v>
      </c>
      <c r="M222" t="s">
        <v>23</v>
      </c>
      <c r="N222">
        <v>0</v>
      </c>
      <c r="O222">
        <v>0</v>
      </c>
      <c r="P222" t="s">
        <v>34</v>
      </c>
      <c r="Q222" t="s">
        <v>33</v>
      </c>
      <c r="R222" t="s">
        <v>29</v>
      </c>
      <c r="S222" t="s">
        <v>45</v>
      </c>
      <c r="T222" t="s">
        <v>35</v>
      </c>
      <c r="U222">
        <f t="shared" si="3"/>
        <v>1</v>
      </c>
    </row>
    <row r="223" spans="1:21" x14ac:dyDescent="0.2">
      <c r="A223">
        <v>731</v>
      </c>
      <c r="B223" t="s">
        <v>42</v>
      </c>
      <c r="C223" t="s">
        <v>32</v>
      </c>
      <c r="D223">
        <v>47</v>
      </c>
      <c r="E223">
        <v>1</v>
      </c>
      <c r="F223">
        <v>115414.19</v>
      </c>
      <c r="G223">
        <v>3</v>
      </c>
      <c r="H223" t="s">
        <v>23</v>
      </c>
      <c r="I223" t="s">
        <v>23</v>
      </c>
      <c r="J223">
        <v>191734.67</v>
      </c>
      <c r="K223" t="s">
        <v>22</v>
      </c>
      <c r="L223">
        <v>0.4113451115790655</v>
      </c>
      <c r="M223" t="s">
        <v>23</v>
      </c>
      <c r="N223">
        <v>1</v>
      </c>
      <c r="O223">
        <v>0</v>
      </c>
      <c r="P223" t="s">
        <v>24</v>
      </c>
      <c r="Q223" t="s">
        <v>25</v>
      </c>
      <c r="R223" t="s">
        <v>26</v>
      </c>
      <c r="S223" t="s">
        <v>37</v>
      </c>
      <c r="T223" t="s">
        <v>31</v>
      </c>
      <c r="U223">
        <f t="shared" si="3"/>
        <v>0</v>
      </c>
    </row>
    <row r="224" spans="1:21" x14ac:dyDescent="0.2">
      <c r="A224">
        <v>848</v>
      </c>
      <c r="B224" t="s">
        <v>41</v>
      </c>
      <c r="C224" t="s">
        <v>21</v>
      </c>
      <c r="D224">
        <v>31</v>
      </c>
      <c r="E224">
        <v>4</v>
      </c>
      <c r="F224">
        <v>90018.45</v>
      </c>
      <c r="G224">
        <v>2</v>
      </c>
      <c r="H224" t="s">
        <v>22</v>
      </c>
      <c r="I224" t="s">
        <v>23</v>
      </c>
      <c r="J224">
        <v>193132.98</v>
      </c>
      <c r="K224" t="s">
        <v>23</v>
      </c>
      <c r="L224">
        <v>0.19226436867322921</v>
      </c>
      <c r="M224" t="s">
        <v>23</v>
      </c>
      <c r="N224">
        <v>0</v>
      </c>
      <c r="O224">
        <v>0</v>
      </c>
      <c r="P224" t="s">
        <v>34</v>
      </c>
      <c r="Q224" t="s">
        <v>33</v>
      </c>
      <c r="R224" t="s">
        <v>38</v>
      </c>
      <c r="S224" t="s">
        <v>39</v>
      </c>
      <c r="T224" t="s">
        <v>31</v>
      </c>
      <c r="U224">
        <f t="shared" si="3"/>
        <v>1</v>
      </c>
    </row>
    <row r="225" spans="1:21" x14ac:dyDescent="0.2">
      <c r="A225">
        <v>809</v>
      </c>
      <c r="B225" t="s">
        <v>42</v>
      </c>
      <c r="C225" t="s">
        <v>32</v>
      </c>
      <c r="D225">
        <v>24</v>
      </c>
      <c r="E225">
        <v>4</v>
      </c>
      <c r="F225">
        <v>0</v>
      </c>
      <c r="G225">
        <v>2</v>
      </c>
      <c r="H225" t="s">
        <v>22</v>
      </c>
      <c r="I225" t="s">
        <v>23</v>
      </c>
      <c r="J225">
        <v>193518.76</v>
      </c>
      <c r="K225" t="s">
        <v>23</v>
      </c>
      <c r="L225">
        <v>8.3146153074442786E-2</v>
      </c>
      <c r="M225" t="s">
        <v>23</v>
      </c>
      <c r="N225">
        <v>0</v>
      </c>
      <c r="O225">
        <v>0</v>
      </c>
      <c r="P225" t="s">
        <v>34</v>
      </c>
      <c r="Q225" t="s">
        <v>36</v>
      </c>
      <c r="R225" t="s">
        <v>29</v>
      </c>
      <c r="S225" t="s">
        <v>39</v>
      </c>
      <c r="T225" t="s">
        <v>31</v>
      </c>
      <c r="U225">
        <f t="shared" si="3"/>
        <v>1</v>
      </c>
    </row>
    <row r="226" spans="1:21" x14ac:dyDescent="0.2">
      <c r="A226">
        <v>779</v>
      </c>
      <c r="B226" t="s">
        <v>41</v>
      </c>
      <c r="C226" t="s">
        <v>21</v>
      </c>
      <c r="D226">
        <v>33</v>
      </c>
      <c r="E226">
        <v>1</v>
      </c>
      <c r="F226">
        <v>158456.76</v>
      </c>
      <c r="G226">
        <v>1</v>
      </c>
      <c r="H226" t="s">
        <v>22</v>
      </c>
      <c r="I226" t="s">
        <v>22</v>
      </c>
      <c r="J226">
        <v>197000.92</v>
      </c>
      <c r="K226" t="s">
        <v>22</v>
      </c>
      <c r="L226">
        <v>0.1205791274594535</v>
      </c>
      <c r="M226" t="s">
        <v>23</v>
      </c>
      <c r="N226">
        <v>1</v>
      </c>
      <c r="O226">
        <v>0</v>
      </c>
      <c r="P226" t="s">
        <v>34</v>
      </c>
      <c r="Q226" t="s">
        <v>33</v>
      </c>
      <c r="R226" t="s">
        <v>47</v>
      </c>
      <c r="S226" t="s">
        <v>37</v>
      </c>
      <c r="T226" t="s">
        <v>31</v>
      </c>
      <c r="U226">
        <f t="shared" si="3"/>
        <v>0</v>
      </c>
    </row>
    <row r="227" spans="1:21" x14ac:dyDescent="0.2">
      <c r="A227">
        <v>669</v>
      </c>
      <c r="B227" t="s">
        <v>42</v>
      </c>
      <c r="C227" t="s">
        <v>32</v>
      </c>
      <c r="D227">
        <v>35</v>
      </c>
      <c r="E227">
        <v>7</v>
      </c>
      <c r="F227">
        <v>0</v>
      </c>
      <c r="G227">
        <v>1</v>
      </c>
      <c r="H227" t="s">
        <v>22</v>
      </c>
      <c r="I227" t="s">
        <v>22</v>
      </c>
      <c r="J227">
        <v>49108.23</v>
      </c>
      <c r="K227" t="s">
        <v>22</v>
      </c>
      <c r="L227">
        <v>6.812141888999744E-2</v>
      </c>
      <c r="M227" t="s">
        <v>23</v>
      </c>
      <c r="N227">
        <v>1</v>
      </c>
      <c r="O227">
        <v>0</v>
      </c>
      <c r="P227" t="s">
        <v>34</v>
      </c>
      <c r="Q227" t="s">
        <v>33</v>
      </c>
      <c r="R227" t="s">
        <v>29</v>
      </c>
      <c r="S227" t="s">
        <v>27</v>
      </c>
      <c r="T227" t="s">
        <v>35</v>
      </c>
      <c r="U227">
        <f t="shared" si="3"/>
        <v>0</v>
      </c>
    </row>
    <row r="228" spans="1:21" x14ac:dyDescent="0.2">
      <c r="A228">
        <v>559</v>
      </c>
      <c r="B228" t="s">
        <v>42</v>
      </c>
      <c r="C228" t="s">
        <v>21</v>
      </c>
      <c r="D228">
        <v>34</v>
      </c>
      <c r="E228">
        <v>4</v>
      </c>
      <c r="F228">
        <v>0</v>
      </c>
      <c r="G228">
        <v>2</v>
      </c>
      <c r="H228" t="s">
        <v>22</v>
      </c>
      <c r="I228" t="s">
        <v>22</v>
      </c>
      <c r="J228">
        <v>66721.98</v>
      </c>
      <c r="K228" t="s">
        <v>23</v>
      </c>
      <c r="L228">
        <v>3.9331092561821122E-2</v>
      </c>
      <c r="M228" t="s">
        <v>23</v>
      </c>
      <c r="N228">
        <v>0</v>
      </c>
      <c r="O228">
        <v>0</v>
      </c>
      <c r="P228" t="s">
        <v>34</v>
      </c>
      <c r="Q228" t="s">
        <v>33</v>
      </c>
      <c r="R228" t="s">
        <v>29</v>
      </c>
      <c r="S228" t="s">
        <v>30</v>
      </c>
      <c r="T228" t="s">
        <v>40</v>
      </c>
      <c r="U228">
        <f t="shared" si="3"/>
        <v>1</v>
      </c>
    </row>
    <row r="229" spans="1:21" x14ac:dyDescent="0.2">
      <c r="A229">
        <v>765</v>
      </c>
      <c r="B229" t="s">
        <v>41</v>
      </c>
      <c r="C229" t="s">
        <v>21</v>
      </c>
      <c r="D229">
        <v>43</v>
      </c>
      <c r="E229">
        <v>4</v>
      </c>
      <c r="F229">
        <v>148962.76</v>
      </c>
      <c r="G229">
        <v>1</v>
      </c>
      <c r="H229" t="s">
        <v>23</v>
      </c>
      <c r="I229" t="s">
        <v>22</v>
      </c>
      <c r="J229">
        <v>173878.87</v>
      </c>
      <c r="K229" t="s">
        <v>22</v>
      </c>
      <c r="L229">
        <v>0.21382431752775541</v>
      </c>
      <c r="M229" t="s">
        <v>23</v>
      </c>
      <c r="N229">
        <v>1</v>
      </c>
      <c r="O229">
        <v>0</v>
      </c>
      <c r="P229" t="s">
        <v>24</v>
      </c>
      <c r="Q229" t="s">
        <v>25</v>
      </c>
      <c r="R229" t="s">
        <v>26</v>
      </c>
      <c r="S229" t="s">
        <v>37</v>
      </c>
      <c r="T229" t="s">
        <v>31</v>
      </c>
      <c r="U229">
        <f t="shared" si="3"/>
        <v>0</v>
      </c>
    </row>
    <row r="230" spans="1:21" x14ac:dyDescent="0.2">
      <c r="A230">
        <v>593</v>
      </c>
      <c r="B230" t="s">
        <v>41</v>
      </c>
      <c r="C230" t="s">
        <v>32</v>
      </c>
      <c r="D230">
        <v>29</v>
      </c>
      <c r="E230">
        <v>5</v>
      </c>
      <c r="F230">
        <v>101713.84</v>
      </c>
      <c r="G230">
        <v>3</v>
      </c>
      <c r="H230" t="s">
        <v>22</v>
      </c>
      <c r="I230" t="s">
        <v>23</v>
      </c>
      <c r="J230">
        <v>134594.99</v>
      </c>
      <c r="K230" t="s">
        <v>23</v>
      </c>
      <c r="L230">
        <v>0.27186698317339991</v>
      </c>
      <c r="M230" t="s">
        <v>23</v>
      </c>
      <c r="N230">
        <v>0</v>
      </c>
      <c r="O230">
        <v>0</v>
      </c>
      <c r="P230" t="s">
        <v>24</v>
      </c>
      <c r="Q230" t="s">
        <v>36</v>
      </c>
      <c r="R230" t="s">
        <v>26</v>
      </c>
      <c r="S230" t="s">
        <v>30</v>
      </c>
      <c r="T230" t="s">
        <v>28</v>
      </c>
      <c r="U230">
        <f t="shared" si="3"/>
        <v>1</v>
      </c>
    </row>
    <row r="231" spans="1:21" x14ac:dyDescent="0.2">
      <c r="A231">
        <v>729</v>
      </c>
      <c r="B231" t="s">
        <v>42</v>
      </c>
      <c r="C231" t="s">
        <v>21</v>
      </c>
      <c r="D231">
        <v>34</v>
      </c>
      <c r="E231">
        <v>3</v>
      </c>
      <c r="F231">
        <v>152303.79999999999</v>
      </c>
      <c r="G231">
        <v>1</v>
      </c>
      <c r="H231" t="s">
        <v>22</v>
      </c>
      <c r="I231" t="s">
        <v>23</v>
      </c>
      <c r="J231">
        <v>12128.69</v>
      </c>
      <c r="K231" t="s">
        <v>23</v>
      </c>
      <c r="L231">
        <v>0.14984098867172541</v>
      </c>
      <c r="M231" t="s">
        <v>23</v>
      </c>
      <c r="N231">
        <v>0</v>
      </c>
      <c r="O231">
        <v>0</v>
      </c>
      <c r="P231" t="s">
        <v>34</v>
      </c>
      <c r="Q231" t="s">
        <v>33</v>
      </c>
      <c r="R231" t="s">
        <v>47</v>
      </c>
      <c r="S231" t="s">
        <v>37</v>
      </c>
      <c r="T231" t="s">
        <v>35</v>
      </c>
      <c r="U231">
        <f t="shared" si="3"/>
        <v>1</v>
      </c>
    </row>
    <row r="232" spans="1:21" x14ac:dyDescent="0.2">
      <c r="A232">
        <v>548</v>
      </c>
      <c r="B232" t="s">
        <v>42</v>
      </c>
      <c r="C232" t="s">
        <v>32</v>
      </c>
      <c r="D232">
        <v>35</v>
      </c>
      <c r="E232">
        <v>10</v>
      </c>
      <c r="F232">
        <v>0</v>
      </c>
      <c r="G232">
        <v>1</v>
      </c>
      <c r="H232" t="s">
        <v>22</v>
      </c>
      <c r="I232" t="s">
        <v>22</v>
      </c>
      <c r="J232">
        <v>31299.71</v>
      </c>
      <c r="K232" t="s">
        <v>23</v>
      </c>
      <c r="L232">
        <v>6.9044129011687827E-2</v>
      </c>
      <c r="M232" t="s">
        <v>23</v>
      </c>
      <c r="N232">
        <v>0</v>
      </c>
      <c r="O232">
        <v>0</v>
      </c>
      <c r="P232" t="s">
        <v>34</v>
      </c>
      <c r="Q232" t="s">
        <v>33</v>
      </c>
      <c r="R232" t="s">
        <v>29</v>
      </c>
      <c r="S232" t="s">
        <v>30</v>
      </c>
      <c r="T232" t="s">
        <v>35</v>
      </c>
      <c r="U232">
        <f t="shared" si="3"/>
        <v>1</v>
      </c>
    </row>
    <row r="233" spans="1:21" x14ac:dyDescent="0.2">
      <c r="A233">
        <v>647</v>
      </c>
      <c r="B233" t="s">
        <v>41</v>
      </c>
      <c r="C233" t="s">
        <v>32</v>
      </c>
      <c r="D233">
        <v>43</v>
      </c>
      <c r="E233">
        <v>3</v>
      </c>
      <c r="F233">
        <v>122717.53</v>
      </c>
      <c r="G233">
        <v>2</v>
      </c>
      <c r="H233" t="s">
        <v>22</v>
      </c>
      <c r="I233" t="s">
        <v>22</v>
      </c>
      <c r="J233">
        <v>87000.39</v>
      </c>
      <c r="K233" t="s">
        <v>23</v>
      </c>
      <c r="L233">
        <v>0.28791673415066249</v>
      </c>
      <c r="M233" t="s">
        <v>23</v>
      </c>
      <c r="N233">
        <v>0</v>
      </c>
      <c r="O233">
        <v>0</v>
      </c>
      <c r="P233" t="s">
        <v>24</v>
      </c>
      <c r="Q233" t="s">
        <v>25</v>
      </c>
      <c r="R233" t="s">
        <v>26</v>
      </c>
      <c r="S233" t="s">
        <v>27</v>
      </c>
      <c r="T233" t="s">
        <v>40</v>
      </c>
      <c r="U233">
        <f t="shared" si="3"/>
        <v>1</v>
      </c>
    </row>
    <row r="234" spans="1:21" x14ac:dyDescent="0.2">
      <c r="A234">
        <v>478</v>
      </c>
      <c r="B234" t="s">
        <v>20</v>
      </c>
      <c r="C234" t="s">
        <v>32</v>
      </c>
      <c r="D234">
        <v>36</v>
      </c>
      <c r="E234">
        <v>3</v>
      </c>
      <c r="F234">
        <v>92363.3</v>
      </c>
      <c r="G234">
        <v>2</v>
      </c>
      <c r="H234" t="s">
        <v>22</v>
      </c>
      <c r="I234" t="s">
        <v>23</v>
      </c>
      <c r="J234">
        <v>44912.7</v>
      </c>
      <c r="K234" t="s">
        <v>23</v>
      </c>
      <c r="L234">
        <v>0.25562866422369779</v>
      </c>
      <c r="M234" t="s">
        <v>23</v>
      </c>
      <c r="N234">
        <v>0</v>
      </c>
      <c r="O234">
        <v>0</v>
      </c>
      <c r="P234" t="s">
        <v>24</v>
      </c>
      <c r="Q234" t="s">
        <v>33</v>
      </c>
      <c r="R234" t="s">
        <v>38</v>
      </c>
      <c r="S234" t="s">
        <v>45</v>
      </c>
      <c r="T234" t="s">
        <v>35</v>
      </c>
      <c r="U234">
        <f t="shared" si="3"/>
        <v>1</v>
      </c>
    </row>
    <row r="235" spans="1:21" x14ac:dyDescent="0.2">
      <c r="A235">
        <v>807</v>
      </c>
      <c r="B235" t="s">
        <v>41</v>
      </c>
      <c r="C235" t="s">
        <v>32</v>
      </c>
      <c r="D235">
        <v>31</v>
      </c>
      <c r="E235">
        <v>1</v>
      </c>
      <c r="F235">
        <v>93460.47</v>
      </c>
      <c r="G235">
        <v>2</v>
      </c>
      <c r="H235" t="s">
        <v>23</v>
      </c>
      <c r="I235" t="s">
        <v>23</v>
      </c>
      <c r="J235">
        <v>172782.69</v>
      </c>
      <c r="K235" t="s">
        <v>23</v>
      </c>
      <c r="L235">
        <v>0.31639420743377522</v>
      </c>
      <c r="M235" t="s">
        <v>23</v>
      </c>
      <c r="N235">
        <v>0</v>
      </c>
      <c r="O235">
        <v>0</v>
      </c>
      <c r="P235" t="s">
        <v>24</v>
      </c>
      <c r="Q235" t="s">
        <v>33</v>
      </c>
      <c r="R235" t="s">
        <v>38</v>
      </c>
      <c r="S235" t="s">
        <v>39</v>
      </c>
      <c r="T235" t="s">
        <v>31</v>
      </c>
      <c r="U235">
        <f t="shared" si="3"/>
        <v>1</v>
      </c>
    </row>
    <row r="236" spans="1:21" x14ac:dyDescent="0.2">
      <c r="A236">
        <v>673</v>
      </c>
      <c r="B236" t="s">
        <v>42</v>
      </c>
      <c r="C236" t="s">
        <v>32</v>
      </c>
      <c r="D236">
        <v>43</v>
      </c>
      <c r="E236">
        <v>5</v>
      </c>
      <c r="F236">
        <v>168069.73</v>
      </c>
      <c r="G236">
        <v>1</v>
      </c>
      <c r="H236" t="s">
        <v>22</v>
      </c>
      <c r="I236" t="s">
        <v>22</v>
      </c>
      <c r="J236">
        <v>146992.24</v>
      </c>
      <c r="K236" t="s">
        <v>22</v>
      </c>
      <c r="L236">
        <v>0.18290406542244919</v>
      </c>
      <c r="M236" t="s">
        <v>23</v>
      </c>
      <c r="N236">
        <v>1</v>
      </c>
      <c r="O236">
        <v>0</v>
      </c>
      <c r="P236" t="s">
        <v>34</v>
      </c>
      <c r="Q236" t="s">
        <v>25</v>
      </c>
      <c r="R236" t="s">
        <v>47</v>
      </c>
      <c r="S236" t="s">
        <v>27</v>
      </c>
      <c r="T236" t="s">
        <v>28</v>
      </c>
      <c r="U236">
        <f t="shared" si="3"/>
        <v>0</v>
      </c>
    </row>
    <row r="237" spans="1:21" x14ac:dyDescent="0.2">
      <c r="A237">
        <v>670</v>
      </c>
      <c r="B237" t="s">
        <v>42</v>
      </c>
      <c r="C237" t="s">
        <v>32</v>
      </c>
      <c r="D237">
        <v>35</v>
      </c>
      <c r="E237">
        <v>3</v>
      </c>
      <c r="F237">
        <v>103465.02</v>
      </c>
      <c r="G237">
        <v>2</v>
      </c>
      <c r="H237" t="s">
        <v>22</v>
      </c>
      <c r="I237" t="s">
        <v>22</v>
      </c>
      <c r="J237">
        <v>174627.06</v>
      </c>
      <c r="K237" t="s">
        <v>23</v>
      </c>
      <c r="L237">
        <v>9.0901319090464117E-2</v>
      </c>
      <c r="M237" t="s">
        <v>23</v>
      </c>
      <c r="N237">
        <v>0</v>
      </c>
      <c r="O237">
        <v>0</v>
      </c>
      <c r="P237" t="s">
        <v>34</v>
      </c>
      <c r="Q237" t="s">
        <v>33</v>
      </c>
      <c r="R237" t="s">
        <v>26</v>
      </c>
      <c r="S237" t="s">
        <v>27</v>
      </c>
      <c r="T237" t="s">
        <v>31</v>
      </c>
      <c r="U237">
        <f t="shared" si="3"/>
        <v>1</v>
      </c>
    </row>
    <row r="238" spans="1:21" x14ac:dyDescent="0.2">
      <c r="A238">
        <v>780</v>
      </c>
      <c r="B238" t="s">
        <v>42</v>
      </c>
      <c r="C238" t="s">
        <v>21</v>
      </c>
      <c r="D238">
        <v>76</v>
      </c>
      <c r="E238">
        <v>10</v>
      </c>
      <c r="F238">
        <v>121313.88</v>
      </c>
      <c r="G238">
        <v>1</v>
      </c>
      <c r="H238" t="s">
        <v>23</v>
      </c>
      <c r="I238" t="s">
        <v>22</v>
      </c>
      <c r="J238">
        <v>64872.33</v>
      </c>
      <c r="K238" t="s">
        <v>23</v>
      </c>
      <c r="L238">
        <v>0.52237917312094118</v>
      </c>
      <c r="M238" t="s">
        <v>22</v>
      </c>
      <c r="N238">
        <v>0</v>
      </c>
      <c r="O238">
        <v>1</v>
      </c>
      <c r="P238" t="s">
        <v>43</v>
      </c>
      <c r="Q238" t="s">
        <v>46</v>
      </c>
      <c r="R238" t="s">
        <v>26</v>
      </c>
      <c r="S238" t="s">
        <v>37</v>
      </c>
      <c r="T238" t="s">
        <v>40</v>
      </c>
      <c r="U238">
        <f t="shared" si="3"/>
        <v>0</v>
      </c>
    </row>
    <row r="239" spans="1:21" x14ac:dyDescent="0.2">
      <c r="A239">
        <v>505</v>
      </c>
      <c r="B239" t="s">
        <v>41</v>
      </c>
      <c r="C239" t="s">
        <v>21</v>
      </c>
      <c r="D239">
        <v>29</v>
      </c>
      <c r="E239">
        <v>3</v>
      </c>
      <c r="F239">
        <v>145541.56</v>
      </c>
      <c r="G239">
        <v>2</v>
      </c>
      <c r="H239" t="s">
        <v>22</v>
      </c>
      <c r="I239" t="s">
        <v>22</v>
      </c>
      <c r="J239">
        <v>58019.95</v>
      </c>
      <c r="K239" t="s">
        <v>23</v>
      </c>
      <c r="L239">
        <v>8.7252838344470909E-2</v>
      </c>
      <c r="M239" t="s">
        <v>23</v>
      </c>
      <c r="N239">
        <v>0</v>
      </c>
      <c r="O239">
        <v>0</v>
      </c>
      <c r="P239" t="s">
        <v>34</v>
      </c>
      <c r="Q239" t="s">
        <v>36</v>
      </c>
      <c r="R239" t="s">
        <v>26</v>
      </c>
      <c r="S239" t="s">
        <v>30</v>
      </c>
      <c r="T239" t="s">
        <v>40</v>
      </c>
      <c r="U239">
        <f t="shared" si="3"/>
        <v>1</v>
      </c>
    </row>
    <row r="240" spans="1:21" x14ac:dyDescent="0.2">
      <c r="A240">
        <v>725</v>
      </c>
      <c r="B240" t="s">
        <v>41</v>
      </c>
      <c r="C240" t="s">
        <v>32</v>
      </c>
      <c r="D240">
        <v>33</v>
      </c>
      <c r="E240">
        <v>7</v>
      </c>
      <c r="F240">
        <v>115182.84</v>
      </c>
      <c r="G240">
        <v>2</v>
      </c>
      <c r="H240" t="s">
        <v>22</v>
      </c>
      <c r="I240" t="s">
        <v>22</v>
      </c>
      <c r="J240">
        <v>177279.41</v>
      </c>
      <c r="K240" t="s">
        <v>23</v>
      </c>
      <c r="L240">
        <v>0.1483467786183239</v>
      </c>
      <c r="M240" t="s">
        <v>23</v>
      </c>
      <c r="N240">
        <v>0</v>
      </c>
      <c r="O240">
        <v>0</v>
      </c>
      <c r="P240" t="s">
        <v>34</v>
      </c>
      <c r="Q240" t="s">
        <v>33</v>
      </c>
      <c r="R240" t="s">
        <v>26</v>
      </c>
      <c r="S240" t="s">
        <v>37</v>
      </c>
      <c r="T240" t="s">
        <v>31</v>
      </c>
      <c r="U240">
        <f t="shared" si="3"/>
        <v>1</v>
      </c>
    </row>
    <row r="241" spans="1:21" x14ac:dyDescent="0.2">
      <c r="A241">
        <v>659</v>
      </c>
      <c r="B241" t="s">
        <v>42</v>
      </c>
      <c r="C241" t="s">
        <v>32</v>
      </c>
      <c r="D241">
        <v>38</v>
      </c>
      <c r="E241">
        <v>3</v>
      </c>
      <c r="F241">
        <v>0</v>
      </c>
      <c r="G241">
        <v>2</v>
      </c>
      <c r="H241" t="s">
        <v>22</v>
      </c>
      <c r="I241" t="s">
        <v>23</v>
      </c>
      <c r="J241">
        <v>158553.1</v>
      </c>
      <c r="K241" t="s">
        <v>23</v>
      </c>
      <c r="L241">
        <v>0.22091020134357861</v>
      </c>
      <c r="M241" t="s">
        <v>23</v>
      </c>
      <c r="N241">
        <v>0</v>
      </c>
      <c r="O241">
        <v>0</v>
      </c>
      <c r="P241" t="s">
        <v>24</v>
      </c>
      <c r="Q241" t="s">
        <v>33</v>
      </c>
      <c r="R241" t="s">
        <v>29</v>
      </c>
      <c r="S241" t="s">
        <v>27</v>
      </c>
      <c r="T241" t="s">
        <v>31</v>
      </c>
      <c r="U241">
        <f t="shared" si="3"/>
        <v>1</v>
      </c>
    </row>
    <row r="242" spans="1:21" x14ac:dyDescent="0.2">
      <c r="A242">
        <v>775</v>
      </c>
      <c r="B242" t="s">
        <v>41</v>
      </c>
      <c r="C242" t="s">
        <v>21</v>
      </c>
      <c r="D242">
        <v>36</v>
      </c>
      <c r="E242">
        <v>2</v>
      </c>
      <c r="F242">
        <v>109949.05</v>
      </c>
      <c r="G242">
        <v>2</v>
      </c>
      <c r="H242" t="s">
        <v>23</v>
      </c>
      <c r="I242" t="s">
        <v>22</v>
      </c>
      <c r="J242">
        <v>71682.539999999994</v>
      </c>
      <c r="K242" t="s">
        <v>23</v>
      </c>
      <c r="L242">
        <v>0.1141304329384665</v>
      </c>
      <c r="M242" t="s">
        <v>23</v>
      </c>
      <c r="N242">
        <v>0</v>
      </c>
      <c r="O242">
        <v>0</v>
      </c>
      <c r="P242" t="s">
        <v>34</v>
      </c>
      <c r="Q242" t="s">
        <v>33</v>
      </c>
      <c r="R242" t="s">
        <v>26</v>
      </c>
      <c r="S242" t="s">
        <v>37</v>
      </c>
      <c r="T242" t="s">
        <v>40</v>
      </c>
      <c r="U242">
        <f t="shared" si="3"/>
        <v>1</v>
      </c>
    </row>
    <row r="243" spans="1:21" x14ac:dyDescent="0.2">
      <c r="A243">
        <v>519</v>
      </c>
      <c r="B243" t="s">
        <v>42</v>
      </c>
      <c r="C243" t="s">
        <v>32</v>
      </c>
      <c r="D243">
        <v>21</v>
      </c>
      <c r="E243">
        <v>1</v>
      </c>
      <c r="F243">
        <v>146329.57</v>
      </c>
      <c r="G243">
        <v>2</v>
      </c>
      <c r="H243" t="s">
        <v>22</v>
      </c>
      <c r="I243" t="s">
        <v>22</v>
      </c>
      <c r="J243">
        <v>194867.27</v>
      </c>
      <c r="K243" t="s">
        <v>23</v>
      </c>
      <c r="L243">
        <v>4.427514947445077E-2</v>
      </c>
      <c r="M243" t="s">
        <v>23</v>
      </c>
      <c r="N243">
        <v>0</v>
      </c>
      <c r="O243">
        <v>0</v>
      </c>
      <c r="P243" t="s">
        <v>34</v>
      </c>
      <c r="Q243" t="s">
        <v>36</v>
      </c>
      <c r="R243" t="s">
        <v>26</v>
      </c>
      <c r="S243" t="s">
        <v>30</v>
      </c>
      <c r="T243" t="s">
        <v>31</v>
      </c>
      <c r="U243">
        <f t="shared" si="3"/>
        <v>1</v>
      </c>
    </row>
    <row r="244" spans="1:21" x14ac:dyDescent="0.2">
      <c r="A244">
        <v>696</v>
      </c>
      <c r="B244" t="s">
        <v>41</v>
      </c>
      <c r="C244" t="s">
        <v>21</v>
      </c>
      <c r="D244">
        <v>30</v>
      </c>
      <c r="E244">
        <v>4</v>
      </c>
      <c r="F244">
        <v>114027.7</v>
      </c>
      <c r="G244">
        <v>1</v>
      </c>
      <c r="H244" t="s">
        <v>22</v>
      </c>
      <c r="I244" t="s">
        <v>22</v>
      </c>
      <c r="J244">
        <v>193716.56</v>
      </c>
      <c r="K244" t="s">
        <v>23</v>
      </c>
      <c r="L244">
        <v>8.8844556782813722E-2</v>
      </c>
      <c r="M244" t="s">
        <v>23</v>
      </c>
      <c r="N244">
        <v>0</v>
      </c>
      <c r="O244">
        <v>0</v>
      </c>
      <c r="P244" t="s">
        <v>34</v>
      </c>
      <c r="Q244" t="s">
        <v>36</v>
      </c>
      <c r="R244" t="s">
        <v>26</v>
      </c>
      <c r="S244" t="s">
        <v>27</v>
      </c>
      <c r="T244" t="s">
        <v>31</v>
      </c>
      <c r="U244">
        <f t="shared" si="3"/>
        <v>1</v>
      </c>
    </row>
    <row r="245" spans="1:21" x14ac:dyDescent="0.2">
      <c r="A245">
        <v>803</v>
      </c>
      <c r="B245" t="s">
        <v>42</v>
      </c>
      <c r="C245" t="s">
        <v>32</v>
      </c>
      <c r="D245">
        <v>26</v>
      </c>
      <c r="E245">
        <v>4</v>
      </c>
      <c r="F245">
        <v>0</v>
      </c>
      <c r="G245">
        <v>2</v>
      </c>
      <c r="H245" t="s">
        <v>22</v>
      </c>
      <c r="I245" t="s">
        <v>22</v>
      </c>
      <c r="J245">
        <v>181208.47</v>
      </c>
      <c r="K245" t="s">
        <v>23</v>
      </c>
      <c r="L245">
        <v>3.4060533936543153E-2</v>
      </c>
      <c r="M245" t="s">
        <v>23</v>
      </c>
      <c r="N245">
        <v>0</v>
      </c>
      <c r="O245">
        <v>0</v>
      </c>
      <c r="P245" t="s">
        <v>34</v>
      </c>
      <c r="Q245" t="s">
        <v>36</v>
      </c>
      <c r="R245" t="s">
        <v>29</v>
      </c>
      <c r="S245" t="s">
        <v>39</v>
      </c>
      <c r="T245" t="s">
        <v>31</v>
      </c>
      <c r="U245">
        <f t="shared" si="3"/>
        <v>1</v>
      </c>
    </row>
    <row r="246" spans="1:21" x14ac:dyDescent="0.2">
      <c r="A246">
        <v>693</v>
      </c>
      <c r="B246" t="s">
        <v>42</v>
      </c>
      <c r="C246" t="s">
        <v>21</v>
      </c>
      <c r="D246">
        <v>68</v>
      </c>
      <c r="E246">
        <v>4</v>
      </c>
      <c r="F246">
        <v>97705.99</v>
      </c>
      <c r="G246">
        <v>1</v>
      </c>
      <c r="H246" t="s">
        <v>22</v>
      </c>
      <c r="I246" t="s">
        <v>22</v>
      </c>
      <c r="J246">
        <v>61569.07</v>
      </c>
      <c r="K246" t="s">
        <v>23</v>
      </c>
      <c r="L246">
        <v>0.39683785876658201</v>
      </c>
      <c r="M246" t="s">
        <v>23</v>
      </c>
      <c r="N246">
        <v>0</v>
      </c>
      <c r="O246">
        <v>0</v>
      </c>
      <c r="P246" t="s">
        <v>24</v>
      </c>
      <c r="Q246" t="s">
        <v>46</v>
      </c>
      <c r="R246" t="s">
        <v>38</v>
      </c>
      <c r="S246" t="s">
        <v>27</v>
      </c>
      <c r="T246" t="s">
        <v>40</v>
      </c>
      <c r="U246">
        <f t="shared" si="3"/>
        <v>1</v>
      </c>
    </row>
    <row r="247" spans="1:21" x14ac:dyDescent="0.2">
      <c r="A247">
        <v>499</v>
      </c>
      <c r="B247" t="s">
        <v>41</v>
      </c>
      <c r="C247" t="s">
        <v>32</v>
      </c>
      <c r="D247">
        <v>55</v>
      </c>
      <c r="E247">
        <v>4</v>
      </c>
      <c r="F247">
        <v>126817.65</v>
      </c>
      <c r="G247">
        <v>2</v>
      </c>
      <c r="H247" t="s">
        <v>22</v>
      </c>
      <c r="I247" t="s">
        <v>23</v>
      </c>
      <c r="J247">
        <v>123269.71</v>
      </c>
      <c r="K247" t="s">
        <v>23</v>
      </c>
      <c r="L247">
        <v>0.76599901780279311</v>
      </c>
      <c r="M247" t="s">
        <v>22</v>
      </c>
      <c r="N247">
        <v>0</v>
      </c>
      <c r="O247">
        <v>1</v>
      </c>
      <c r="P247" t="s">
        <v>43</v>
      </c>
      <c r="Q247" t="s">
        <v>44</v>
      </c>
      <c r="R247" t="s">
        <v>26</v>
      </c>
      <c r="S247" t="s">
        <v>45</v>
      </c>
      <c r="T247" t="s">
        <v>28</v>
      </c>
      <c r="U247">
        <f t="shared" si="3"/>
        <v>0</v>
      </c>
    </row>
    <row r="248" spans="1:21" x14ac:dyDescent="0.2">
      <c r="A248">
        <v>628</v>
      </c>
      <c r="B248" t="s">
        <v>42</v>
      </c>
      <c r="C248" t="s">
        <v>32</v>
      </c>
      <c r="D248">
        <v>46</v>
      </c>
      <c r="E248">
        <v>1</v>
      </c>
      <c r="F248">
        <v>46870.43</v>
      </c>
      <c r="G248">
        <v>4</v>
      </c>
      <c r="H248" t="s">
        <v>22</v>
      </c>
      <c r="I248" t="s">
        <v>23</v>
      </c>
      <c r="J248">
        <v>31272.14</v>
      </c>
      <c r="K248" t="s">
        <v>22</v>
      </c>
      <c r="L248">
        <v>0.31770441226411672</v>
      </c>
      <c r="M248" t="s">
        <v>23</v>
      </c>
      <c r="N248">
        <v>1</v>
      </c>
      <c r="O248">
        <v>0</v>
      </c>
      <c r="P248" t="s">
        <v>24</v>
      </c>
      <c r="Q248" t="s">
        <v>25</v>
      </c>
      <c r="R248" t="s">
        <v>48</v>
      </c>
      <c r="S248" t="s">
        <v>27</v>
      </c>
      <c r="T248" t="s">
        <v>35</v>
      </c>
      <c r="U248">
        <f t="shared" si="3"/>
        <v>0</v>
      </c>
    </row>
    <row r="249" spans="1:21" x14ac:dyDescent="0.2">
      <c r="A249">
        <v>733</v>
      </c>
      <c r="B249" t="s">
        <v>42</v>
      </c>
      <c r="C249" t="s">
        <v>21</v>
      </c>
      <c r="D249">
        <v>42</v>
      </c>
      <c r="E249">
        <v>9</v>
      </c>
      <c r="F249">
        <v>120094.93</v>
      </c>
      <c r="G249">
        <v>1</v>
      </c>
      <c r="H249" t="s">
        <v>22</v>
      </c>
      <c r="I249" t="s">
        <v>23</v>
      </c>
      <c r="J249">
        <v>184056.45</v>
      </c>
      <c r="K249" t="s">
        <v>23</v>
      </c>
      <c r="L249">
        <v>0.22223502462312841</v>
      </c>
      <c r="M249" t="s">
        <v>23</v>
      </c>
      <c r="N249">
        <v>0</v>
      </c>
      <c r="O249">
        <v>0</v>
      </c>
      <c r="P249" t="s">
        <v>24</v>
      </c>
      <c r="Q249" t="s">
        <v>25</v>
      </c>
      <c r="R249" t="s">
        <v>26</v>
      </c>
      <c r="S249" t="s">
        <v>37</v>
      </c>
      <c r="T249" t="s">
        <v>31</v>
      </c>
      <c r="U249">
        <f t="shared" si="3"/>
        <v>1</v>
      </c>
    </row>
    <row r="250" spans="1:21" x14ac:dyDescent="0.2">
      <c r="A250">
        <v>534</v>
      </c>
      <c r="B250" t="s">
        <v>42</v>
      </c>
      <c r="C250" t="s">
        <v>32</v>
      </c>
      <c r="D250">
        <v>55</v>
      </c>
      <c r="E250">
        <v>8</v>
      </c>
      <c r="F250">
        <v>116973.26</v>
      </c>
      <c r="G250">
        <v>3</v>
      </c>
      <c r="H250" t="s">
        <v>22</v>
      </c>
      <c r="I250" t="s">
        <v>23</v>
      </c>
      <c r="J250">
        <v>122066.5</v>
      </c>
      <c r="K250" t="s">
        <v>22</v>
      </c>
      <c r="L250">
        <v>0.54097315263801016</v>
      </c>
      <c r="M250" t="s">
        <v>22</v>
      </c>
      <c r="N250">
        <v>1</v>
      </c>
      <c r="O250">
        <v>1</v>
      </c>
      <c r="P250" t="s">
        <v>43</v>
      </c>
      <c r="Q250" t="s">
        <v>44</v>
      </c>
      <c r="R250" t="s">
        <v>26</v>
      </c>
      <c r="S250" t="s">
        <v>30</v>
      </c>
      <c r="T250" t="s">
        <v>28</v>
      </c>
      <c r="U250">
        <f t="shared" si="3"/>
        <v>1</v>
      </c>
    </row>
    <row r="251" spans="1:21" x14ac:dyDescent="0.2">
      <c r="A251">
        <v>658</v>
      </c>
      <c r="B251" t="s">
        <v>42</v>
      </c>
      <c r="C251" t="s">
        <v>32</v>
      </c>
      <c r="D251">
        <v>44</v>
      </c>
      <c r="E251">
        <v>6</v>
      </c>
      <c r="F251">
        <v>148481.09</v>
      </c>
      <c r="G251">
        <v>1</v>
      </c>
      <c r="H251" t="s">
        <v>22</v>
      </c>
      <c r="I251" t="s">
        <v>23</v>
      </c>
      <c r="J251">
        <v>130529.13</v>
      </c>
      <c r="K251" t="s">
        <v>23</v>
      </c>
      <c r="L251">
        <v>0.40075550665412918</v>
      </c>
      <c r="M251" t="s">
        <v>23</v>
      </c>
      <c r="N251">
        <v>0</v>
      </c>
      <c r="O251">
        <v>0</v>
      </c>
      <c r="P251" t="s">
        <v>24</v>
      </c>
      <c r="Q251" t="s">
        <v>25</v>
      </c>
      <c r="R251" t="s">
        <v>26</v>
      </c>
      <c r="S251" t="s">
        <v>27</v>
      </c>
      <c r="T251" t="s">
        <v>28</v>
      </c>
      <c r="U251">
        <f t="shared" si="3"/>
        <v>1</v>
      </c>
    </row>
    <row r="252" spans="1:21" x14ac:dyDescent="0.2">
      <c r="A252">
        <v>681</v>
      </c>
      <c r="B252" t="s">
        <v>20</v>
      </c>
      <c r="C252" t="s">
        <v>21</v>
      </c>
      <c r="D252">
        <v>67</v>
      </c>
      <c r="E252">
        <v>7</v>
      </c>
      <c r="F252">
        <v>0</v>
      </c>
      <c r="G252">
        <v>2</v>
      </c>
      <c r="H252" t="s">
        <v>23</v>
      </c>
      <c r="I252" t="s">
        <v>22</v>
      </c>
      <c r="J252">
        <v>163714.92000000001</v>
      </c>
      <c r="K252" t="s">
        <v>23</v>
      </c>
      <c r="L252">
        <v>0.31588118873289761</v>
      </c>
      <c r="M252" t="s">
        <v>23</v>
      </c>
      <c r="N252">
        <v>0</v>
      </c>
      <c r="O252">
        <v>0</v>
      </c>
      <c r="P252" t="s">
        <v>24</v>
      </c>
      <c r="Q252" t="s">
        <v>46</v>
      </c>
      <c r="R252" t="s">
        <v>29</v>
      </c>
      <c r="S252" t="s">
        <v>27</v>
      </c>
      <c r="T252" t="s">
        <v>31</v>
      </c>
      <c r="U252">
        <f t="shared" si="3"/>
        <v>1</v>
      </c>
    </row>
    <row r="253" spans="1:21" x14ac:dyDescent="0.2">
      <c r="A253">
        <v>790</v>
      </c>
      <c r="B253" t="s">
        <v>20</v>
      </c>
      <c r="C253" t="s">
        <v>21</v>
      </c>
      <c r="D253">
        <v>46</v>
      </c>
      <c r="E253">
        <v>8</v>
      </c>
      <c r="F253">
        <v>182364.53</v>
      </c>
      <c r="G253">
        <v>1</v>
      </c>
      <c r="H253" t="s">
        <v>23</v>
      </c>
      <c r="I253" t="s">
        <v>23</v>
      </c>
      <c r="J253">
        <v>139266.48000000001</v>
      </c>
      <c r="K253" t="s">
        <v>22</v>
      </c>
      <c r="L253">
        <v>0.31660398868738687</v>
      </c>
      <c r="M253" t="s">
        <v>23</v>
      </c>
      <c r="N253">
        <v>1</v>
      </c>
      <c r="O253">
        <v>0</v>
      </c>
      <c r="P253" t="s">
        <v>24</v>
      </c>
      <c r="Q253" t="s">
        <v>25</v>
      </c>
      <c r="R253" t="s">
        <v>47</v>
      </c>
      <c r="S253" t="s">
        <v>37</v>
      </c>
      <c r="T253" t="s">
        <v>28</v>
      </c>
      <c r="U253">
        <f t="shared" si="3"/>
        <v>0</v>
      </c>
    </row>
    <row r="254" spans="1:21" x14ac:dyDescent="0.2">
      <c r="A254">
        <v>622</v>
      </c>
      <c r="B254" t="s">
        <v>42</v>
      </c>
      <c r="C254" t="s">
        <v>21</v>
      </c>
      <c r="D254">
        <v>35</v>
      </c>
      <c r="E254">
        <v>8</v>
      </c>
      <c r="F254">
        <v>0</v>
      </c>
      <c r="G254">
        <v>2</v>
      </c>
      <c r="H254" t="s">
        <v>22</v>
      </c>
      <c r="I254" t="s">
        <v>22</v>
      </c>
      <c r="J254">
        <v>131772.51</v>
      </c>
      <c r="K254" t="s">
        <v>23</v>
      </c>
      <c r="L254">
        <v>3.8865972369549077E-2</v>
      </c>
      <c r="M254" t="s">
        <v>23</v>
      </c>
      <c r="N254">
        <v>0</v>
      </c>
      <c r="O254">
        <v>0</v>
      </c>
      <c r="P254" t="s">
        <v>34</v>
      </c>
      <c r="Q254" t="s">
        <v>33</v>
      </c>
      <c r="R254" t="s">
        <v>29</v>
      </c>
      <c r="S254" t="s">
        <v>27</v>
      </c>
      <c r="T254" t="s">
        <v>28</v>
      </c>
      <c r="U254">
        <f t="shared" si="3"/>
        <v>1</v>
      </c>
    </row>
    <row r="255" spans="1:21" x14ac:dyDescent="0.2">
      <c r="A255">
        <v>734</v>
      </c>
      <c r="B255" t="s">
        <v>20</v>
      </c>
      <c r="C255" t="s">
        <v>32</v>
      </c>
      <c r="D255">
        <v>37</v>
      </c>
      <c r="E255">
        <v>2</v>
      </c>
      <c r="F255">
        <v>130404.92</v>
      </c>
      <c r="G255">
        <v>1</v>
      </c>
      <c r="H255" t="s">
        <v>23</v>
      </c>
      <c r="I255" t="s">
        <v>23</v>
      </c>
      <c r="J255">
        <v>34548.74</v>
      </c>
      <c r="K255" t="s">
        <v>23</v>
      </c>
      <c r="L255">
        <v>0.28421549080083641</v>
      </c>
      <c r="M255" t="s">
        <v>23</v>
      </c>
      <c r="N255">
        <v>0</v>
      </c>
      <c r="O255">
        <v>0</v>
      </c>
      <c r="P255" t="s">
        <v>24</v>
      </c>
      <c r="Q255" t="s">
        <v>33</v>
      </c>
      <c r="R255" t="s">
        <v>26</v>
      </c>
      <c r="S255" t="s">
        <v>37</v>
      </c>
      <c r="T255" t="s">
        <v>35</v>
      </c>
      <c r="U255">
        <f t="shared" si="3"/>
        <v>1</v>
      </c>
    </row>
    <row r="256" spans="1:21" x14ac:dyDescent="0.2">
      <c r="A256">
        <v>794</v>
      </c>
      <c r="B256" t="s">
        <v>42</v>
      </c>
      <c r="C256" t="s">
        <v>32</v>
      </c>
      <c r="D256">
        <v>41</v>
      </c>
      <c r="E256">
        <v>7</v>
      </c>
      <c r="F256">
        <v>0</v>
      </c>
      <c r="G256">
        <v>2</v>
      </c>
      <c r="H256" t="s">
        <v>22</v>
      </c>
      <c r="I256" t="s">
        <v>22</v>
      </c>
      <c r="J256">
        <v>74275.08</v>
      </c>
      <c r="K256" t="s">
        <v>23</v>
      </c>
      <c r="L256">
        <v>8.7222993830875145E-2</v>
      </c>
      <c r="M256" t="s">
        <v>23</v>
      </c>
      <c r="N256">
        <v>0</v>
      </c>
      <c r="O256">
        <v>0</v>
      </c>
      <c r="P256" t="s">
        <v>34</v>
      </c>
      <c r="Q256" t="s">
        <v>25</v>
      </c>
      <c r="R256" t="s">
        <v>29</v>
      </c>
      <c r="S256" t="s">
        <v>37</v>
      </c>
      <c r="T256" t="s">
        <v>40</v>
      </c>
      <c r="U256">
        <f t="shared" si="3"/>
        <v>1</v>
      </c>
    </row>
    <row r="257" spans="1:21" x14ac:dyDescent="0.2">
      <c r="A257">
        <v>824</v>
      </c>
      <c r="B257" t="s">
        <v>42</v>
      </c>
      <c r="C257" t="s">
        <v>21</v>
      </c>
      <c r="D257">
        <v>30</v>
      </c>
      <c r="E257">
        <v>0</v>
      </c>
      <c r="F257">
        <v>133634.01999999999</v>
      </c>
      <c r="G257">
        <v>1</v>
      </c>
      <c r="H257" t="s">
        <v>22</v>
      </c>
      <c r="I257" t="s">
        <v>22</v>
      </c>
      <c r="J257">
        <v>162053.92000000001</v>
      </c>
      <c r="K257" t="s">
        <v>23</v>
      </c>
      <c r="L257">
        <v>4.3413346985498563E-2</v>
      </c>
      <c r="M257" t="s">
        <v>23</v>
      </c>
      <c r="N257">
        <v>0</v>
      </c>
      <c r="O257">
        <v>0</v>
      </c>
      <c r="P257" t="s">
        <v>34</v>
      </c>
      <c r="Q257" t="s">
        <v>36</v>
      </c>
      <c r="R257" t="s">
        <v>26</v>
      </c>
      <c r="S257" t="s">
        <v>39</v>
      </c>
      <c r="T257" t="s">
        <v>31</v>
      </c>
      <c r="U257">
        <f t="shared" si="3"/>
        <v>1</v>
      </c>
    </row>
    <row r="258" spans="1:21" x14ac:dyDescent="0.2">
      <c r="A258">
        <v>428</v>
      </c>
      <c r="B258" t="s">
        <v>42</v>
      </c>
      <c r="C258" t="s">
        <v>32</v>
      </c>
      <c r="D258">
        <v>31</v>
      </c>
      <c r="E258">
        <v>2</v>
      </c>
      <c r="F258">
        <v>0</v>
      </c>
      <c r="G258">
        <v>2</v>
      </c>
      <c r="H258" t="s">
        <v>22</v>
      </c>
      <c r="I258" t="s">
        <v>23</v>
      </c>
      <c r="J258">
        <v>54487.43</v>
      </c>
      <c r="K258" t="s">
        <v>23</v>
      </c>
      <c r="L258">
        <v>0.16018813380897781</v>
      </c>
      <c r="M258" t="s">
        <v>23</v>
      </c>
      <c r="N258">
        <v>0</v>
      </c>
      <c r="O258">
        <v>0</v>
      </c>
      <c r="P258" t="s">
        <v>34</v>
      </c>
      <c r="Q258" t="s">
        <v>33</v>
      </c>
      <c r="R258" t="s">
        <v>29</v>
      </c>
      <c r="S258" t="s">
        <v>45</v>
      </c>
      <c r="T258" t="s">
        <v>40</v>
      </c>
      <c r="U258">
        <f t="shared" ref="U258:U321" si="4">IF(K258=M258,1,0)</f>
        <v>1</v>
      </c>
    </row>
    <row r="259" spans="1:21" x14ac:dyDescent="0.2">
      <c r="A259">
        <v>718</v>
      </c>
      <c r="B259" t="s">
        <v>42</v>
      </c>
      <c r="C259" t="s">
        <v>32</v>
      </c>
      <c r="D259">
        <v>31</v>
      </c>
      <c r="E259">
        <v>0</v>
      </c>
      <c r="F259">
        <v>118100.59</v>
      </c>
      <c r="G259">
        <v>2</v>
      </c>
      <c r="H259" t="s">
        <v>22</v>
      </c>
      <c r="I259" t="s">
        <v>23</v>
      </c>
      <c r="J259">
        <v>103165.15</v>
      </c>
      <c r="K259" t="s">
        <v>23</v>
      </c>
      <c r="L259">
        <v>0.18471822000791319</v>
      </c>
      <c r="M259" t="s">
        <v>23</v>
      </c>
      <c r="N259">
        <v>0</v>
      </c>
      <c r="O259">
        <v>0</v>
      </c>
      <c r="P259" t="s">
        <v>34</v>
      </c>
      <c r="Q259" t="s">
        <v>33</v>
      </c>
      <c r="R259" t="s">
        <v>26</v>
      </c>
      <c r="S259" t="s">
        <v>37</v>
      </c>
      <c r="T259" t="s">
        <v>28</v>
      </c>
      <c r="U259">
        <f t="shared" si="4"/>
        <v>1</v>
      </c>
    </row>
    <row r="260" spans="1:21" x14ac:dyDescent="0.2">
      <c r="A260">
        <v>591</v>
      </c>
      <c r="B260" t="s">
        <v>20</v>
      </c>
      <c r="C260" t="s">
        <v>21</v>
      </c>
      <c r="D260">
        <v>30</v>
      </c>
      <c r="E260">
        <v>8</v>
      </c>
      <c r="F260">
        <v>124857.69</v>
      </c>
      <c r="G260">
        <v>2</v>
      </c>
      <c r="H260" t="s">
        <v>23</v>
      </c>
      <c r="I260" t="s">
        <v>23</v>
      </c>
      <c r="J260">
        <v>50485.7</v>
      </c>
      <c r="K260" t="s">
        <v>23</v>
      </c>
      <c r="L260">
        <v>0.1073723199732874</v>
      </c>
      <c r="M260" t="s">
        <v>23</v>
      </c>
      <c r="N260">
        <v>0</v>
      </c>
      <c r="O260">
        <v>0</v>
      </c>
      <c r="P260" t="s">
        <v>34</v>
      </c>
      <c r="Q260" t="s">
        <v>36</v>
      </c>
      <c r="R260" t="s">
        <v>26</v>
      </c>
      <c r="S260" t="s">
        <v>30</v>
      </c>
      <c r="T260" t="s">
        <v>40</v>
      </c>
      <c r="U260">
        <f t="shared" si="4"/>
        <v>1</v>
      </c>
    </row>
    <row r="261" spans="1:21" x14ac:dyDescent="0.2">
      <c r="A261">
        <v>598</v>
      </c>
      <c r="B261" t="s">
        <v>42</v>
      </c>
      <c r="C261" t="s">
        <v>32</v>
      </c>
      <c r="D261">
        <v>43</v>
      </c>
      <c r="E261">
        <v>5</v>
      </c>
      <c r="F261">
        <v>0</v>
      </c>
      <c r="G261">
        <v>3</v>
      </c>
      <c r="H261" t="s">
        <v>22</v>
      </c>
      <c r="I261" t="s">
        <v>22</v>
      </c>
      <c r="J261">
        <v>100722.72</v>
      </c>
      <c r="K261" t="s">
        <v>22</v>
      </c>
      <c r="L261">
        <v>0.1077838887676044</v>
      </c>
      <c r="M261" t="s">
        <v>23</v>
      </c>
      <c r="N261">
        <v>1</v>
      </c>
      <c r="O261">
        <v>0</v>
      </c>
      <c r="P261" t="s">
        <v>34</v>
      </c>
      <c r="Q261" t="s">
        <v>25</v>
      </c>
      <c r="R261" t="s">
        <v>29</v>
      </c>
      <c r="S261" t="s">
        <v>30</v>
      </c>
      <c r="T261" t="s">
        <v>28</v>
      </c>
      <c r="U261">
        <f t="shared" si="4"/>
        <v>0</v>
      </c>
    </row>
    <row r="262" spans="1:21" x14ac:dyDescent="0.2">
      <c r="A262">
        <v>756</v>
      </c>
      <c r="B262" t="s">
        <v>41</v>
      </c>
      <c r="C262" t="s">
        <v>21</v>
      </c>
      <c r="D262">
        <v>41</v>
      </c>
      <c r="E262">
        <v>2</v>
      </c>
      <c r="F262">
        <v>124439.49</v>
      </c>
      <c r="G262">
        <v>2</v>
      </c>
      <c r="H262" t="s">
        <v>23</v>
      </c>
      <c r="I262" t="s">
        <v>22</v>
      </c>
      <c r="J262">
        <v>47093.11</v>
      </c>
      <c r="K262" t="s">
        <v>23</v>
      </c>
      <c r="L262">
        <v>0.162151132687573</v>
      </c>
      <c r="M262" t="s">
        <v>23</v>
      </c>
      <c r="N262">
        <v>0</v>
      </c>
      <c r="O262">
        <v>0</v>
      </c>
      <c r="P262" t="s">
        <v>34</v>
      </c>
      <c r="Q262" t="s">
        <v>25</v>
      </c>
      <c r="R262" t="s">
        <v>26</v>
      </c>
      <c r="S262" t="s">
        <v>37</v>
      </c>
      <c r="T262" t="s">
        <v>35</v>
      </c>
      <c r="U262">
        <f t="shared" si="4"/>
        <v>1</v>
      </c>
    </row>
    <row r="263" spans="1:21" x14ac:dyDescent="0.2">
      <c r="A263">
        <v>593</v>
      </c>
      <c r="B263" t="s">
        <v>41</v>
      </c>
      <c r="C263" t="s">
        <v>32</v>
      </c>
      <c r="D263">
        <v>62</v>
      </c>
      <c r="E263">
        <v>3</v>
      </c>
      <c r="F263">
        <v>118233.81</v>
      </c>
      <c r="G263">
        <v>1</v>
      </c>
      <c r="H263" t="s">
        <v>23</v>
      </c>
      <c r="I263" t="s">
        <v>22</v>
      </c>
      <c r="J263">
        <v>24765.53</v>
      </c>
      <c r="K263" t="s">
        <v>22</v>
      </c>
      <c r="L263">
        <v>0.6518354095107477</v>
      </c>
      <c r="M263" t="s">
        <v>22</v>
      </c>
      <c r="N263">
        <v>1</v>
      </c>
      <c r="O263">
        <v>1</v>
      </c>
      <c r="P263" t="s">
        <v>43</v>
      </c>
      <c r="Q263" t="s">
        <v>46</v>
      </c>
      <c r="R263" t="s">
        <v>26</v>
      </c>
      <c r="S263" t="s">
        <v>30</v>
      </c>
      <c r="T263" t="s">
        <v>35</v>
      </c>
      <c r="U263">
        <f t="shared" si="4"/>
        <v>1</v>
      </c>
    </row>
    <row r="264" spans="1:21" x14ac:dyDescent="0.2">
      <c r="A264">
        <v>849</v>
      </c>
      <c r="B264" t="s">
        <v>41</v>
      </c>
      <c r="C264" t="s">
        <v>21</v>
      </c>
      <c r="D264">
        <v>37</v>
      </c>
      <c r="E264">
        <v>7</v>
      </c>
      <c r="F264">
        <v>143452.74</v>
      </c>
      <c r="G264">
        <v>2</v>
      </c>
      <c r="H264" t="s">
        <v>22</v>
      </c>
      <c r="I264" t="s">
        <v>22</v>
      </c>
      <c r="J264">
        <v>17294.12</v>
      </c>
      <c r="K264" t="s">
        <v>23</v>
      </c>
      <c r="L264">
        <v>0.10897890632778399</v>
      </c>
      <c r="M264" t="s">
        <v>23</v>
      </c>
      <c r="N264">
        <v>0</v>
      </c>
      <c r="O264">
        <v>0</v>
      </c>
      <c r="P264" t="s">
        <v>34</v>
      </c>
      <c r="Q264" t="s">
        <v>33</v>
      </c>
      <c r="R264" t="s">
        <v>26</v>
      </c>
      <c r="S264" t="s">
        <v>39</v>
      </c>
      <c r="T264" t="s">
        <v>35</v>
      </c>
      <c r="U264">
        <f t="shared" si="4"/>
        <v>1</v>
      </c>
    </row>
    <row r="265" spans="1:21" x14ac:dyDescent="0.2">
      <c r="A265">
        <v>568</v>
      </c>
      <c r="B265" t="s">
        <v>20</v>
      </c>
      <c r="C265" t="s">
        <v>32</v>
      </c>
      <c r="D265">
        <v>43</v>
      </c>
      <c r="E265">
        <v>9</v>
      </c>
      <c r="F265">
        <v>0</v>
      </c>
      <c r="G265">
        <v>1</v>
      </c>
      <c r="H265" t="s">
        <v>22</v>
      </c>
      <c r="I265" t="s">
        <v>23</v>
      </c>
      <c r="J265">
        <v>125870.79</v>
      </c>
      <c r="K265" t="s">
        <v>22</v>
      </c>
      <c r="L265">
        <v>0.30525884222359678</v>
      </c>
      <c r="M265" t="s">
        <v>23</v>
      </c>
      <c r="N265">
        <v>1</v>
      </c>
      <c r="O265">
        <v>0</v>
      </c>
      <c r="P265" t="s">
        <v>24</v>
      </c>
      <c r="Q265" t="s">
        <v>25</v>
      </c>
      <c r="R265" t="s">
        <v>29</v>
      </c>
      <c r="S265" t="s">
        <v>30</v>
      </c>
      <c r="T265" t="s">
        <v>28</v>
      </c>
      <c r="U265">
        <f t="shared" si="4"/>
        <v>0</v>
      </c>
    </row>
    <row r="266" spans="1:21" x14ac:dyDescent="0.2">
      <c r="A266">
        <v>535</v>
      </c>
      <c r="B266" t="s">
        <v>41</v>
      </c>
      <c r="C266" t="s">
        <v>21</v>
      </c>
      <c r="D266">
        <v>48</v>
      </c>
      <c r="E266">
        <v>5</v>
      </c>
      <c r="F266">
        <v>134542.73000000001</v>
      </c>
      <c r="G266">
        <v>1</v>
      </c>
      <c r="H266" t="s">
        <v>22</v>
      </c>
      <c r="I266" t="s">
        <v>22</v>
      </c>
      <c r="J266">
        <v>58203.67</v>
      </c>
      <c r="K266" t="s">
        <v>22</v>
      </c>
      <c r="L266">
        <v>0.28355051722264202</v>
      </c>
      <c r="M266" t="s">
        <v>23</v>
      </c>
      <c r="N266">
        <v>1</v>
      </c>
      <c r="O266">
        <v>0</v>
      </c>
      <c r="P266" t="s">
        <v>24</v>
      </c>
      <c r="Q266" t="s">
        <v>25</v>
      </c>
      <c r="R266" t="s">
        <v>26</v>
      </c>
      <c r="S266" t="s">
        <v>30</v>
      </c>
      <c r="T266" t="s">
        <v>40</v>
      </c>
      <c r="U266">
        <f t="shared" si="4"/>
        <v>0</v>
      </c>
    </row>
    <row r="267" spans="1:21" x14ac:dyDescent="0.2">
      <c r="A267">
        <v>611</v>
      </c>
      <c r="B267" t="s">
        <v>20</v>
      </c>
      <c r="C267" t="s">
        <v>21</v>
      </c>
      <c r="D267">
        <v>52</v>
      </c>
      <c r="E267">
        <v>7</v>
      </c>
      <c r="F267">
        <v>0</v>
      </c>
      <c r="G267">
        <v>1</v>
      </c>
      <c r="H267" t="s">
        <v>23</v>
      </c>
      <c r="I267" t="s">
        <v>22</v>
      </c>
      <c r="J267">
        <v>73585.179999999993</v>
      </c>
      <c r="K267" t="s">
        <v>22</v>
      </c>
      <c r="L267">
        <v>0.1441779886540393</v>
      </c>
      <c r="M267" t="s">
        <v>23</v>
      </c>
      <c r="N267">
        <v>1</v>
      </c>
      <c r="O267">
        <v>0</v>
      </c>
      <c r="P267" t="s">
        <v>34</v>
      </c>
      <c r="Q267" t="s">
        <v>44</v>
      </c>
      <c r="R267" t="s">
        <v>29</v>
      </c>
      <c r="S267" t="s">
        <v>27</v>
      </c>
      <c r="T267" t="s">
        <v>40</v>
      </c>
      <c r="U267">
        <f t="shared" si="4"/>
        <v>0</v>
      </c>
    </row>
    <row r="268" spans="1:21" x14ac:dyDescent="0.2">
      <c r="A268">
        <v>709</v>
      </c>
      <c r="B268" t="s">
        <v>42</v>
      </c>
      <c r="C268" t="s">
        <v>21</v>
      </c>
      <c r="D268">
        <v>49</v>
      </c>
      <c r="E268">
        <v>4</v>
      </c>
      <c r="F268">
        <v>154344.49</v>
      </c>
      <c r="G268">
        <v>2</v>
      </c>
      <c r="H268" t="s">
        <v>22</v>
      </c>
      <c r="I268" t="s">
        <v>22</v>
      </c>
      <c r="J268">
        <v>38794.57</v>
      </c>
      <c r="K268" t="s">
        <v>23</v>
      </c>
      <c r="L268">
        <v>0.14122377415527429</v>
      </c>
      <c r="M268" t="s">
        <v>23</v>
      </c>
      <c r="N268">
        <v>0</v>
      </c>
      <c r="O268">
        <v>0</v>
      </c>
      <c r="P268" t="s">
        <v>34</v>
      </c>
      <c r="Q268" t="s">
        <v>25</v>
      </c>
      <c r="R268" t="s">
        <v>47</v>
      </c>
      <c r="S268" t="s">
        <v>37</v>
      </c>
      <c r="T268" t="s">
        <v>35</v>
      </c>
      <c r="U268">
        <f t="shared" si="4"/>
        <v>1</v>
      </c>
    </row>
    <row r="269" spans="1:21" x14ac:dyDescent="0.2">
      <c r="A269">
        <v>645</v>
      </c>
      <c r="B269" t="s">
        <v>20</v>
      </c>
      <c r="C269" t="s">
        <v>32</v>
      </c>
      <c r="D269">
        <v>37</v>
      </c>
      <c r="E269">
        <v>7</v>
      </c>
      <c r="F269">
        <v>0</v>
      </c>
      <c r="G269">
        <v>2</v>
      </c>
      <c r="H269" t="s">
        <v>22</v>
      </c>
      <c r="I269" t="s">
        <v>23</v>
      </c>
      <c r="J269">
        <v>13589.93</v>
      </c>
      <c r="K269" t="s">
        <v>23</v>
      </c>
      <c r="L269">
        <v>0.1905406593334697</v>
      </c>
      <c r="M269" t="s">
        <v>23</v>
      </c>
      <c r="N269">
        <v>0</v>
      </c>
      <c r="O269">
        <v>0</v>
      </c>
      <c r="P269" t="s">
        <v>34</v>
      </c>
      <c r="Q269" t="s">
        <v>33</v>
      </c>
      <c r="R269" t="s">
        <v>29</v>
      </c>
      <c r="S269" t="s">
        <v>27</v>
      </c>
      <c r="T269" t="s">
        <v>35</v>
      </c>
      <c r="U269">
        <f t="shared" si="4"/>
        <v>1</v>
      </c>
    </row>
    <row r="270" spans="1:21" x14ac:dyDescent="0.2">
      <c r="A270">
        <v>489</v>
      </c>
      <c r="B270" t="s">
        <v>42</v>
      </c>
      <c r="C270" t="s">
        <v>21</v>
      </c>
      <c r="D270">
        <v>38</v>
      </c>
      <c r="E270">
        <v>8</v>
      </c>
      <c r="F270">
        <v>0</v>
      </c>
      <c r="G270">
        <v>2</v>
      </c>
      <c r="H270" t="s">
        <v>23</v>
      </c>
      <c r="I270" t="s">
        <v>22</v>
      </c>
      <c r="J270">
        <v>196990.79</v>
      </c>
      <c r="K270" t="s">
        <v>23</v>
      </c>
      <c r="L270">
        <v>5.5975702371791128E-2</v>
      </c>
      <c r="M270" t="s">
        <v>23</v>
      </c>
      <c r="N270">
        <v>0</v>
      </c>
      <c r="O270">
        <v>0</v>
      </c>
      <c r="P270" t="s">
        <v>34</v>
      </c>
      <c r="Q270" t="s">
        <v>33</v>
      </c>
      <c r="R270" t="s">
        <v>29</v>
      </c>
      <c r="S270" t="s">
        <v>45</v>
      </c>
      <c r="T270" t="s">
        <v>31</v>
      </c>
      <c r="U270">
        <f t="shared" si="4"/>
        <v>1</v>
      </c>
    </row>
    <row r="271" spans="1:21" x14ac:dyDescent="0.2">
      <c r="A271">
        <v>429</v>
      </c>
      <c r="B271" t="s">
        <v>42</v>
      </c>
      <c r="C271" t="s">
        <v>32</v>
      </c>
      <c r="D271">
        <v>27</v>
      </c>
      <c r="E271">
        <v>6</v>
      </c>
      <c r="F271">
        <v>117307.44</v>
      </c>
      <c r="G271">
        <v>2</v>
      </c>
      <c r="H271" t="s">
        <v>22</v>
      </c>
      <c r="I271" t="s">
        <v>22</v>
      </c>
      <c r="J271">
        <v>24020.49</v>
      </c>
      <c r="K271" t="s">
        <v>23</v>
      </c>
      <c r="L271">
        <v>5.5434614689614657E-2</v>
      </c>
      <c r="M271" t="s">
        <v>23</v>
      </c>
      <c r="N271">
        <v>0</v>
      </c>
      <c r="O271">
        <v>0</v>
      </c>
      <c r="P271" t="s">
        <v>34</v>
      </c>
      <c r="Q271" t="s">
        <v>36</v>
      </c>
      <c r="R271" t="s">
        <v>26</v>
      </c>
      <c r="S271" t="s">
        <v>45</v>
      </c>
      <c r="T271" t="s">
        <v>35</v>
      </c>
      <c r="U271">
        <f t="shared" si="4"/>
        <v>1</v>
      </c>
    </row>
    <row r="272" spans="1:21" x14ac:dyDescent="0.2">
      <c r="A272">
        <v>768</v>
      </c>
      <c r="B272" t="s">
        <v>20</v>
      </c>
      <c r="C272" t="s">
        <v>32</v>
      </c>
      <c r="D272">
        <v>44</v>
      </c>
      <c r="E272">
        <v>6</v>
      </c>
      <c r="F272">
        <v>60603.4</v>
      </c>
      <c r="G272">
        <v>1</v>
      </c>
      <c r="H272" t="s">
        <v>22</v>
      </c>
      <c r="I272" t="s">
        <v>22</v>
      </c>
      <c r="J272">
        <v>178045.97</v>
      </c>
      <c r="K272" t="s">
        <v>23</v>
      </c>
      <c r="L272">
        <v>0.15044784891168711</v>
      </c>
      <c r="M272" t="s">
        <v>23</v>
      </c>
      <c r="N272">
        <v>0</v>
      </c>
      <c r="O272">
        <v>0</v>
      </c>
      <c r="P272" t="s">
        <v>34</v>
      </c>
      <c r="Q272" t="s">
        <v>25</v>
      </c>
      <c r="R272" t="s">
        <v>38</v>
      </c>
      <c r="S272" t="s">
        <v>37</v>
      </c>
      <c r="T272" t="s">
        <v>31</v>
      </c>
      <c r="U272">
        <f t="shared" si="4"/>
        <v>1</v>
      </c>
    </row>
    <row r="273" spans="1:21" x14ac:dyDescent="0.2">
      <c r="A273">
        <v>661</v>
      </c>
      <c r="B273" t="s">
        <v>20</v>
      </c>
      <c r="C273" t="s">
        <v>32</v>
      </c>
      <c r="D273">
        <v>42</v>
      </c>
      <c r="E273">
        <v>3</v>
      </c>
      <c r="F273">
        <v>0</v>
      </c>
      <c r="G273">
        <v>2</v>
      </c>
      <c r="H273" t="s">
        <v>22</v>
      </c>
      <c r="I273" t="s">
        <v>23</v>
      </c>
      <c r="J273">
        <v>35989.410000000003</v>
      </c>
      <c r="K273" t="s">
        <v>23</v>
      </c>
      <c r="L273">
        <v>0.26974246515048139</v>
      </c>
      <c r="M273" t="s">
        <v>23</v>
      </c>
      <c r="N273">
        <v>0</v>
      </c>
      <c r="O273">
        <v>0</v>
      </c>
      <c r="P273" t="s">
        <v>24</v>
      </c>
      <c r="Q273" t="s">
        <v>25</v>
      </c>
      <c r="R273" t="s">
        <v>29</v>
      </c>
      <c r="S273" t="s">
        <v>27</v>
      </c>
      <c r="T273" t="s">
        <v>35</v>
      </c>
      <c r="U273">
        <f t="shared" si="4"/>
        <v>1</v>
      </c>
    </row>
    <row r="274" spans="1:21" x14ac:dyDescent="0.2">
      <c r="A274">
        <v>582</v>
      </c>
      <c r="B274" t="s">
        <v>20</v>
      </c>
      <c r="C274" t="s">
        <v>32</v>
      </c>
      <c r="D274">
        <v>46</v>
      </c>
      <c r="E274">
        <v>8</v>
      </c>
      <c r="F274">
        <v>67563.31</v>
      </c>
      <c r="G274">
        <v>1</v>
      </c>
      <c r="H274" t="s">
        <v>22</v>
      </c>
      <c r="I274" t="s">
        <v>23</v>
      </c>
      <c r="J274">
        <v>44506.09</v>
      </c>
      <c r="K274" t="s">
        <v>22</v>
      </c>
      <c r="L274">
        <v>0.38681591217888972</v>
      </c>
      <c r="M274" t="s">
        <v>23</v>
      </c>
      <c r="N274">
        <v>1</v>
      </c>
      <c r="O274">
        <v>0</v>
      </c>
      <c r="P274" t="s">
        <v>24</v>
      </c>
      <c r="Q274" t="s">
        <v>25</v>
      </c>
      <c r="R274" t="s">
        <v>38</v>
      </c>
      <c r="S274" t="s">
        <v>30</v>
      </c>
      <c r="T274" t="s">
        <v>35</v>
      </c>
      <c r="U274">
        <f t="shared" si="4"/>
        <v>0</v>
      </c>
    </row>
    <row r="275" spans="1:21" x14ac:dyDescent="0.2">
      <c r="A275">
        <v>775</v>
      </c>
      <c r="B275" t="s">
        <v>41</v>
      </c>
      <c r="C275" t="s">
        <v>32</v>
      </c>
      <c r="D275">
        <v>38</v>
      </c>
      <c r="E275">
        <v>4</v>
      </c>
      <c r="F275">
        <v>125212.65</v>
      </c>
      <c r="G275">
        <v>2</v>
      </c>
      <c r="H275" t="s">
        <v>22</v>
      </c>
      <c r="I275" t="s">
        <v>22</v>
      </c>
      <c r="J275">
        <v>15795.88</v>
      </c>
      <c r="K275" t="s">
        <v>22</v>
      </c>
      <c r="L275">
        <v>0.19509071256354349</v>
      </c>
      <c r="M275" t="s">
        <v>23</v>
      </c>
      <c r="N275">
        <v>1</v>
      </c>
      <c r="O275">
        <v>0</v>
      </c>
      <c r="P275" t="s">
        <v>34</v>
      </c>
      <c r="Q275" t="s">
        <v>33</v>
      </c>
      <c r="R275" t="s">
        <v>26</v>
      </c>
      <c r="S275" t="s">
        <v>37</v>
      </c>
      <c r="T275" t="s">
        <v>35</v>
      </c>
      <c r="U275">
        <f t="shared" si="4"/>
        <v>0</v>
      </c>
    </row>
    <row r="276" spans="1:21" x14ac:dyDescent="0.2">
      <c r="A276">
        <v>561</v>
      </c>
      <c r="B276" t="s">
        <v>42</v>
      </c>
      <c r="C276" t="s">
        <v>21</v>
      </c>
      <c r="D276">
        <v>29</v>
      </c>
      <c r="E276">
        <v>9</v>
      </c>
      <c r="F276">
        <v>120268.13</v>
      </c>
      <c r="G276">
        <v>1</v>
      </c>
      <c r="H276" t="s">
        <v>22</v>
      </c>
      <c r="I276" t="s">
        <v>22</v>
      </c>
      <c r="J276">
        <v>173870.39</v>
      </c>
      <c r="K276" t="s">
        <v>23</v>
      </c>
      <c r="L276">
        <v>3.9519628716588193E-2</v>
      </c>
      <c r="M276" t="s">
        <v>23</v>
      </c>
      <c r="N276">
        <v>0</v>
      </c>
      <c r="O276">
        <v>0</v>
      </c>
      <c r="P276" t="s">
        <v>34</v>
      </c>
      <c r="Q276" t="s">
        <v>36</v>
      </c>
      <c r="R276" t="s">
        <v>26</v>
      </c>
      <c r="S276" t="s">
        <v>30</v>
      </c>
      <c r="T276" t="s">
        <v>31</v>
      </c>
      <c r="U276">
        <f t="shared" si="4"/>
        <v>1</v>
      </c>
    </row>
    <row r="277" spans="1:21" x14ac:dyDescent="0.2">
      <c r="A277">
        <v>705</v>
      </c>
      <c r="B277" t="s">
        <v>20</v>
      </c>
      <c r="C277" t="s">
        <v>21</v>
      </c>
      <c r="D277">
        <v>46</v>
      </c>
      <c r="E277">
        <v>7</v>
      </c>
      <c r="F277">
        <v>0</v>
      </c>
      <c r="G277">
        <v>2</v>
      </c>
      <c r="H277" t="s">
        <v>22</v>
      </c>
      <c r="I277" t="s">
        <v>23</v>
      </c>
      <c r="J277">
        <v>117273.35</v>
      </c>
      <c r="K277" t="s">
        <v>23</v>
      </c>
      <c r="L277">
        <v>0.2122247254817517</v>
      </c>
      <c r="M277" t="s">
        <v>23</v>
      </c>
      <c r="N277">
        <v>0</v>
      </c>
      <c r="O277">
        <v>0</v>
      </c>
      <c r="P277" t="s">
        <v>24</v>
      </c>
      <c r="Q277" t="s">
        <v>25</v>
      </c>
      <c r="R277" t="s">
        <v>29</v>
      </c>
      <c r="S277" t="s">
        <v>37</v>
      </c>
      <c r="T277" t="s">
        <v>28</v>
      </c>
      <c r="U277">
        <f t="shared" si="4"/>
        <v>1</v>
      </c>
    </row>
    <row r="278" spans="1:21" x14ac:dyDescent="0.2">
      <c r="A278">
        <v>572</v>
      </c>
      <c r="B278" t="s">
        <v>20</v>
      </c>
      <c r="C278" t="s">
        <v>21</v>
      </c>
      <c r="D278">
        <v>23</v>
      </c>
      <c r="E278">
        <v>2</v>
      </c>
      <c r="F278">
        <v>126873.52</v>
      </c>
      <c r="G278">
        <v>1</v>
      </c>
      <c r="H278" t="s">
        <v>23</v>
      </c>
      <c r="I278" t="s">
        <v>22</v>
      </c>
      <c r="J278">
        <v>67040.12</v>
      </c>
      <c r="K278" t="s">
        <v>23</v>
      </c>
      <c r="L278">
        <v>3.001138213246729E-2</v>
      </c>
      <c r="M278" t="s">
        <v>23</v>
      </c>
      <c r="N278">
        <v>0</v>
      </c>
      <c r="O278">
        <v>0</v>
      </c>
      <c r="P278" t="s">
        <v>34</v>
      </c>
      <c r="Q278" t="s">
        <v>36</v>
      </c>
      <c r="R278" t="s">
        <v>26</v>
      </c>
      <c r="S278" t="s">
        <v>30</v>
      </c>
      <c r="T278" t="s">
        <v>40</v>
      </c>
      <c r="U278">
        <f t="shared" si="4"/>
        <v>1</v>
      </c>
    </row>
    <row r="279" spans="1:21" x14ac:dyDescent="0.2">
      <c r="A279">
        <v>799</v>
      </c>
      <c r="B279" t="s">
        <v>41</v>
      </c>
      <c r="C279" t="s">
        <v>21</v>
      </c>
      <c r="D279">
        <v>28</v>
      </c>
      <c r="E279">
        <v>7</v>
      </c>
      <c r="F279">
        <v>167658.32999999999</v>
      </c>
      <c r="G279">
        <v>2</v>
      </c>
      <c r="H279" t="s">
        <v>22</v>
      </c>
      <c r="I279" t="s">
        <v>22</v>
      </c>
      <c r="J279">
        <v>111138.25</v>
      </c>
      <c r="K279" t="s">
        <v>23</v>
      </c>
      <c r="L279">
        <v>6.8033510380004047E-2</v>
      </c>
      <c r="M279" t="s">
        <v>23</v>
      </c>
      <c r="N279">
        <v>0</v>
      </c>
      <c r="O279">
        <v>0</v>
      </c>
      <c r="P279" t="s">
        <v>34</v>
      </c>
      <c r="Q279" t="s">
        <v>36</v>
      </c>
      <c r="R279" t="s">
        <v>47</v>
      </c>
      <c r="S279" t="s">
        <v>37</v>
      </c>
      <c r="T279" t="s">
        <v>28</v>
      </c>
      <c r="U279">
        <f t="shared" si="4"/>
        <v>1</v>
      </c>
    </row>
    <row r="280" spans="1:21" x14ac:dyDescent="0.2">
      <c r="A280">
        <v>607</v>
      </c>
      <c r="B280" t="s">
        <v>41</v>
      </c>
      <c r="C280" t="s">
        <v>32</v>
      </c>
      <c r="D280">
        <v>24</v>
      </c>
      <c r="E280">
        <v>2</v>
      </c>
      <c r="F280">
        <v>109483.54</v>
      </c>
      <c r="G280">
        <v>2</v>
      </c>
      <c r="H280" t="s">
        <v>23</v>
      </c>
      <c r="I280" t="s">
        <v>22</v>
      </c>
      <c r="J280">
        <v>127560.77</v>
      </c>
      <c r="K280" t="s">
        <v>23</v>
      </c>
      <c r="L280">
        <v>9.5928473639193185E-2</v>
      </c>
      <c r="M280" t="s">
        <v>23</v>
      </c>
      <c r="N280">
        <v>0</v>
      </c>
      <c r="O280">
        <v>0</v>
      </c>
      <c r="P280" t="s">
        <v>34</v>
      </c>
      <c r="Q280" t="s">
        <v>36</v>
      </c>
      <c r="R280" t="s">
        <v>26</v>
      </c>
      <c r="S280" t="s">
        <v>27</v>
      </c>
      <c r="T280" t="s">
        <v>28</v>
      </c>
      <c r="U280">
        <f t="shared" si="4"/>
        <v>1</v>
      </c>
    </row>
    <row r="281" spans="1:21" x14ac:dyDescent="0.2">
      <c r="A281">
        <v>521</v>
      </c>
      <c r="B281" t="s">
        <v>41</v>
      </c>
      <c r="C281" t="s">
        <v>32</v>
      </c>
      <c r="D281">
        <v>40</v>
      </c>
      <c r="E281">
        <v>9</v>
      </c>
      <c r="F281">
        <v>134504.78</v>
      </c>
      <c r="G281">
        <v>1</v>
      </c>
      <c r="H281" t="s">
        <v>22</v>
      </c>
      <c r="I281" t="s">
        <v>23</v>
      </c>
      <c r="J281">
        <v>18082.060000000001</v>
      </c>
      <c r="K281" t="s">
        <v>23</v>
      </c>
      <c r="L281">
        <v>0.50661795094986395</v>
      </c>
      <c r="M281" t="s">
        <v>22</v>
      </c>
      <c r="N281">
        <v>0</v>
      </c>
      <c r="O281">
        <v>1</v>
      </c>
      <c r="P281" t="s">
        <v>43</v>
      </c>
      <c r="Q281" t="s">
        <v>33</v>
      </c>
      <c r="R281" t="s">
        <v>26</v>
      </c>
      <c r="S281" t="s">
        <v>30</v>
      </c>
      <c r="T281" t="s">
        <v>35</v>
      </c>
      <c r="U281">
        <f t="shared" si="4"/>
        <v>0</v>
      </c>
    </row>
    <row r="282" spans="1:21" x14ac:dyDescent="0.2">
      <c r="A282">
        <v>603</v>
      </c>
      <c r="B282" t="s">
        <v>20</v>
      </c>
      <c r="C282" t="s">
        <v>32</v>
      </c>
      <c r="D282">
        <v>42</v>
      </c>
      <c r="E282">
        <v>8</v>
      </c>
      <c r="F282">
        <v>91611.12</v>
      </c>
      <c r="G282">
        <v>1</v>
      </c>
      <c r="H282" t="s">
        <v>23</v>
      </c>
      <c r="I282" t="s">
        <v>23</v>
      </c>
      <c r="J282">
        <v>144675.29999999999</v>
      </c>
      <c r="K282" t="s">
        <v>22</v>
      </c>
      <c r="L282">
        <v>0.34963479550071969</v>
      </c>
      <c r="M282" t="s">
        <v>23</v>
      </c>
      <c r="N282">
        <v>1</v>
      </c>
      <c r="O282">
        <v>0</v>
      </c>
      <c r="P282" t="s">
        <v>24</v>
      </c>
      <c r="Q282" t="s">
        <v>25</v>
      </c>
      <c r="R282" t="s">
        <v>38</v>
      </c>
      <c r="S282" t="s">
        <v>27</v>
      </c>
      <c r="T282" t="s">
        <v>28</v>
      </c>
      <c r="U282">
        <f t="shared" si="4"/>
        <v>0</v>
      </c>
    </row>
    <row r="283" spans="1:21" x14ac:dyDescent="0.2">
      <c r="A283">
        <v>573</v>
      </c>
      <c r="B283" t="s">
        <v>20</v>
      </c>
      <c r="C283" t="s">
        <v>32</v>
      </c>
      <c r="D283">
        <v>44</v>
      </c>
      <c r="E283">
        <v>4</v>
      </c>
      <c r="F283">
        <v>0</v>
      </c>
      <c r="G283">
        <v>1</v>
      </c>
      <c r="H283" t="s">
        <v>22</v>
      </c>
      <c r="I283" t="s">
        <v>22</v>
      </c>
      <c r="J283">
        <v>94862.93</v>
      </c>
      <c r="K283" t="s">
        <v>23</v>
      </c>
      <c r="L283">
        <v>0.14677484181774389</v>
      </c>
      <c r="M283" t="s">
        <v>23</v>
      </c>
      <c r="N283">
        <v>0</v>
      </c>
      <c r="O283">
        <v>0</v>
      </c>
      <c r="P283" t="s">
        <v>34</v>
      </c>
      <c r="Q283" t="s">
        <v>25</v>
      </c>
      <c r="R283" t="s">
        <v>29</v>
      </c>
      <c r="S283" t="s">
        <v>30</v>
      </c>
      <c r="T283" t="s">
        <v>40</v>
      </c>
      <c r="U283">
        <f t="shared" si="4"/>
        <v>1</v>
      </c>
    </row>
    <row r="284" spans="1:21" x14ac:dyDescent="0.2">
      <c r="A284">
        <v>670</v>
      </c>
      <c r="B284" t="s">
        <v>42</v>
      </c>
      <c r="C284" t="s">
        <v>32</v>
      </c>
      <c r="D284">
        <v>31</v>
      </c>
      <c r="E284">
        <v>9</v>
      </c>
      <c r="F284">
        <v>0</v>
      </c>
      <c r="G284">
        <v>1</v>
      </c>
      <c r="H284" t="s">
        <v>23</v>
      </c>
      <c r="I284" t="s">
        <v>22</v>
      </c>
      <c r="J284">
        <v>76254.83</v>
      </c>
      <c r="K284" t="s">
        <v>23</v>
      </c>
      <c r="L284">
        <v>5.1919275792971863E-2</v>
      </c>
      <c r="M284" t="s">
        <v>23</v>
      </c>
      <c r="N284">
        <v>0</v>
      </c>
      <c r="O284">
        <v>0</v>
      </c>
      <c r="P284" t="s">
        <v>34</v>
      </c>
      <c r="Q284" t="s">
        <v>33</v>
      </c>
      <c r="R284" t="s">
        <v>29</v>
      </c>
      <c r="S284" t="s">
        <v>27</v>
      </c>
      <c r="T284" t="s">
        <v>40</v>
      </c>
      <c r="U284">
        <f t="shared" si="4"/>
        <v>1</v>
      </c>
    </row>
    <row r="285" spans="1:21" x14ac:dyDescent="0.2">
      <c r="A285">
        <v>504</v>
      </c>
      <c r="B285" t="s">
        <v>41</v>
      </c>
      <c r="C285" t="s">
        <v>21</v>
      </c>
      <c r="D285">
        <v>56</v>
      </c>
      <c r="E285">
        <v>9</v>
      </c>
      <c r="F285">
        <v>104217.3</v>
      </c>
      <c r="G285">
        <v>1</v>
      </c>
      <c r="H285" t="s">
        <v>23</v>
      </c>
      <c r="I285" t="s">
        <v>23</v>
      </c>
      <c r="J285">
        <v>55857.48</v>
      </c>
      <c r="K285" t="s">
        <v>22</v>
      </c>
      <c r="L285">
        <v>0.65689990625886818</v>
      </c>
      <c r="M285" t="s">
        <v>22</v>
      </c>
      <c r="N285">
        <v>1</v>
      </c>
      <c r="O285">
        <v>1</v>
      </c>
      <c r="P285" t="s">
        <v>43</v>
      </c>
      <c r="Q285" t="s">
        <v>44</v>
      </c>
      <c r="R285" t="s">
        <v>26</v>
      </c>
      <c r="S285" t="s">
        <v>30</v>
      </c>
      <c r="T285" t="s">
        <v>40</v>
      </c>
      <c r="U285">
        <f t="shared" si="4"/>
        <v>1</v>
      </c>
    </row>
    <row r="286" spans="1:21" x14ac:dyDescent="0.2">
      <c r="A286">
        <v>594</v>
      </c>
      <c r="B286" t="s">
        <v>41</v>
      </c>
      <c r="C286" t="s">
        <v>32</v>
      </c>
      <c r="D286">
        <v>26</v>
      </c>
      <c r="E286">
        <v>6</v>
      </c>
      <c r="F286">
        <v>135067.51999999999</v>
      </c>
      <c r="G286">
        <v>2</v>
      </c>
      <c r="H286" t="s">
        <v>23</v>
      </c>
      <c r="I286" t="s">
        <v>23</v>
      </c>
      <c r="J286">
        <v>131211.85999999999</v>
      </c>
      <c r="K286" t="s">
        <v>23</v>
      </c>
      <c r="L286">
        <v>0.26751787989743081</v>
      </c>
      <c r="M286" t="s">
        <v>23</v>
      </c>
      <c r="N286">
        <v>0</v>
      </c>
      <c r="O286">
        <v>0</v>
      </c>
      <c r="P286" t="s">
        <v>24</v>
      </c>
      <c r="Q286" t="s">
        <v>36</v>
      </c>
      <c r="R286" t="s">
        <v>26</v>
      </c>
      <c r="S286" t="s">
        <v>30</v>
      </c>
      <c r="T286" t="s">
        <v>28</v>
      </c>
      <c r="U286">
        <f t="shared" si="4"/>
        <v>1</v>
      </c>
    </row>
    <row r="287" spans="1:21" x14ac:dyDescent="0.2">
      <c r="A287">
        <v>817</v>
      </c>
      <c r="B287" t="s">
        <v>42</v>
      </c>
      <c r="C287" t="s">
        <v>32</v>
      </c>
      <c r="D287">
        <v>55</v>
      </c>
      <c r="E287">
        <v>10</v>
      </c>
      <c r="F287">
        <v>117561.49</v>
      </c>
      <c r="G287">
        <v>1</v>
      </c>
      <c r="H287" t="s">
        <v>22</v>
      </c>
      <c r="I287" t="s">
        <v>23</v>
      </c>
      <c r="J287">
        <v>95941.55</v>
      </c>
      <c r="K287" t="s">
        <v>22</v>
      </c>
      <c r="L287">
        <v>0.53068327803107374</v>
      </c>
      <c r="M287" t="s">
        <v>22</v>
      </c>
      <c r="N287">
        <v>1</v>
      </c>
      <c r="O287">
        <v>1</v>
      </c>
      <c r="P287" t="s">
        <v>43</v>
      </c>
      <c r="Q287" t="s">
        <v>44</v>
      </c>
      <c r="R287" t="s">
        <v>26</v>
      </c>
      <c r="S287" t="s">
        <v>39</v>
      </c>
      <c r="T287" t="s">
        <v>40</v>
      </c>
      <c r="U287">
        <f t="shared" si="4"/>
        <v>1</v>
      </c>
    </row>
    <row r="288" spans="1:21" x14ac:dyDescent="0.2">
      <c r="A288">
        <v>578</v>
      </c>
      <c r="B288" t="s">
        <v>42</v>
      </c>
      <c r="C288" t="s">
        <v>21</v>
      </c>
      <c r="D288">
        <v>23</v>
      </c>
      <c r="E288">
        <v>10</v>
      </c>
      <c r="F288">
        <v>88980.32</v>
      </c>
      <c r="G288">
        <v>1</v>
      </c>
      <c r="H288" t="s">
        <v>22</v>
      </c>
      <c r="I288" t="s">
        <v>22</v>
      </c>
      <c r="J288">
        <v>125222.36</v>
      </c>
      <c r="K288" t="s">
        <v>23</v>
      </c>
      <c r="L288">
        <v>2.2434598091390919E-2</v>
      </c>
      <c r="M288" t="s">
        <v>23</v>
      </c>
      <c r="N288">
        <v>0</v>
      </c>
      <c r="O288">
        <v>0</v>
      </c>
      <c r="P288" t="s">
        <v>34</v>
      </c>
      <c r="Q288" t="s">
        <v>36</v>
      </c>
      <c r="R288" t="s">
        <v>38</v>
      </c>
      <c r="S288" t="s">
        <v>30</v>
      </c>
      <c r="T288" t="s">
        <v>28</v>
      </c>
      <c r="U288">
        <f t="shared" si="4"/>
        <v>1</v>
      </c>
    </row>
    <row r="289" spans="1:21" x14ac:dyDescent="0.2">
      <c r="A289">
        <v>568</v>
      </c>
      <c r="B289" t="s">
        <v>41</v>
      </c>
      <c r="C289" t="s">
        <v>32</v>
      </c>
      <c r="D289">
        <v>31</v>
      </c>
      <c r="E289">
        <v>1</v>
      </c>
      <c r="F289">
        <v>61592.14</v>
      </c>
      <c r="G289">
        <v>2</v>
      </c>
      <c r="H289" t="s">
        <v>22</v>
      </c>
      <c r="I289" t="s">
        <v>22</v>
      </c>
      <c r="J289">
        <v>61796.639999999999</v>
      </c>
      <c r="K289" t="s">
        <v>23</v>
      </c>
      <c r="L289">
        <v>0.13334550740393961</v>
      </c>
      <c r="M289" t="s">
        <v>23</v>
      </c>
      <c r="N289">
        <v>0</v>
      </c>
      <c r="O289">
        <v>0</v>
      </c>
      <c r="P289" t="s">
        <v>34</v>
      </c>
      <c r="Q289" t="s">
        <v>33</v>
      </c>
      <c r="R289" t="s">
        <v>38</v>
      </c>
      <c r="S289" t="s">
        <v>30</v>
      </c>
      <c r="T289" t="s">
        <v>40</v>
      </c>
      <c r="U289">
        <f t="shared" si="4"/>
        <v>1</v>
      </c>
    </row>
    <row r="290" spans="1:21" x14ac:dyDescent="0.2">
      <c r="A290">
        <v>726</v>
      </c>
      <c r="B290" t="s">
        <v>20</v>
      </c>
      <c r="C290" t="s">
        <v>32</v>
      </c>
      <c r="D290">
        <v>26</v>
      </c>
      <c r="E290">
        <v>1</v>
      </c>
      <c r="F290">
        <v>80780.160000000003</v>
      </c>
      <c r="G290">
        <v>1</v>
      </c>
      <c r="H290" t="s">
        <v>22</v>
      </c>
      <c r="I290" t="s">
        <v>22</v>
      </c>
      <c r="J290">
        <v>19225.849999999999</v>
      </c>
      <c r="K290" t="s">
        <v>23</v>
      </c>
      <c r="L290">
        <v>4.8729463761529972E-2</v>
      </c>
      <c r="M290" t="s">
        <v>23</v>
      </c>
      <c r="N290">
        <v>0</v>
      </c>
      <c r="O290">
        <v>0</v>
      </c>
      <c r="P290" t="s">
        <v>34</v>
      </c>
      <c r="Q290" t="s">
        <v>36</v>
      </c>
      <c r="R290" t="s">
        <v>38</v>
      </c>
      <c r="S290" t="s">
        <v>37</v>
      </c>
      <c r="T290" t="s">
        <v>35</v>
      </c>
      <c r="U290">
        <f t="shared" si="4"/>
        <v>1</v>
      </c>
    </row>
    <row r="291" spans="1:21" x14ac:dyDescent="0.2">
      <c r="A291">
        <v>574</v>
      </c>
      <c r="B291" t="s">
        <v>42</v>
      </c>
      <c r="C291" t="s">
        <v>21</v>
      </c>
      <c r="D291">
        <v>26</v>
      </c>
      <c r="E291">
        <v>8</v>
      </c>
      <c r="F291">
        <v>97460.1</v>
      </c>
      <c r="G291">
        <v>1</v>
      </c>
      <c r="H291" t="s">
        <v>22</v>
      </c>
      <c r="I291" t="s">
        <v>22</v>
      </c>
      <c r="J291">
        <v>43093.67</v>
      </c>
      <c r="K291" t="s">
        <v>23</v>
      </c>
      <c r="L291">
        <v>2.8357186412703711E-2</v>
      </c>
      <c r="M291" t="s">
        <v>23</v>
      </c>
      <c r="N291">
        <v>0</v>
      </c>
      <c r="O291">
        <v>0</v>
      </c>
      <c r="P291" t="s">
        <v>34</v>
      </c>
      <c r="Q291" t="s">
        <v>36</v>
      </c>
      <c r="R291" t="s">
        <v>38</v>
      </c>
      <c r="S291" t="s">
        <v>30</v>
      </c>
      <c r="T291" t="s">
        <v>35</v>
      </c>
      <c r="U291">
        <f t="shared" si="4"/>
        <v>1</v>
      </c>
    </row>
    <row r="292" spans="1:21" x14ac:dyDescent="0.2">
      <c r="A292">
        <v>850</v>
      </c>
      <c r="B292" t="s">
        <v>42</v>
      </c>
      <c r="C292" t="s">
        <v>21</v>
      </c>
      <c r="D292">
        <v>36</v>
      </c>
      <c r="E292">
        <v>1</v>
      </c>
      <c r="F292">
        <v>104077.19</v>
      </c>
      <c r="G292">
        <v>2</v>
      </c>
      <c r="H292" t="s">
        <v>23</v>
      </c>
      <c r="I292" t="s">
        <v>22</v>
      </c>
      <c r="J292">
        <v>68594</v>
      </c>
      <c r="K292" t="s">
        <v>23</v>
      </c>
      <c r="L292">
        <v>5.2813731077732427E-2</v>
      </c>
      <c r="M292" t="s">
        <v>23</v>
      </c>
      <c r="N292">
        <v>0</v>
      </c>
      <c r="O292">
        <v>0</v>
      </c>
      <c r="P292" t="s">
        <v>34</v>
      </c>
      <c r="Q292" t="s">
        <v>33</v>
      </c>
      <c r="R292" t="s">
        <v>26</v>
      </c>
      <c r="S292" t="s">
        <v>39</v>
      </c>
      <c r="T292" t="s">
        <v>40</v>
      </c>
      <c r="U292">
        <f t="shared" si="4"/>
        <v>1</v>
      </c>
    </row>
    <row r="293" spans="1:21" x14ac:dyDescent="0.2">
      <c r="A293">
        <v>475</v>
      </c>
      <c r="B293" t="s">
        <v>42</v>
      </c>
      <c r="C293" t="s">
        <v>32</v>
      </c>
      <c r="D293">
        <v>46</v>
      </c>
      <c r="E293">
        <v>10</v>
      </c>
      <c r="F293">
        <v>0</v>
      </c>
      <c r="G293">
        <v>2</v>
      </c>
      <c r="H293" t="s">
        <v>23</v>
      </c>
      <c r="I293" t="s">
        <v>23</v>
      </c>
      <c r="J293">
        <v>122953</v>
      </c>
      <c r="K293" t="s">
        <v>22</v>
      </c>
      <c r="L293">
        <v>0.33911183561910901</v>
      </c>
      <c r="M293" t="s">
        <v>23</v>
      </c>
      <c r="N293">
        <v>1</v>
      </c>
      <c r="O293">
        <v>0</v>
      </c>
      <c r="P293" t="s">
        <v>24</v>
      </c>
      <c r="Q293" t="s">
        <v>25</v>
      </c>
      <c r="R293" t="s">
        <v>29</v>
      </c>
      <c r="S293" t="s">
        <v>45</v>
      </c>
      <c r="T293" t="s">
        <v>28</v>
      </c>
      <c r="U293">
        <f t="shared" si="4"/>
        <v>0</v>
      </c>
    </row>
    <row r="294" spans="1:21" x14ac:dyDescent="0.2">
      <c r="A294">
        <v>642</v>
      </c>
      <c r="B294" t="s">
        <v>42</v>
      </c>
      <c r="C294" t="s">
        <v>32</v>
      </c>
      <c r="D294">
        <v>39</v>
      </c>
      <c r="E294">
        <v>4</v>
      </c>
      <c r="F294">
        <v>0</v>
      </c>
      <c r="G294">
        <v>1</v>
      </c>
      <c r="H294" t="s">
        <v>22</v>
      </c>
      <c r="I294" t="s">
        <v>22</v>
      </c>
      <c r="J294">
        <v>76821.240000000005</v>
      </c>
      <c r="K294" t="s">
        <v>23</v>
      </c>
      <c r="L294">
        <v>9.740665636029755E-2</v>
      </c>
      <c r="M294" t="s">
        <v>23</v>
      </c>
      <c r="N294">
        <v>0</v>
      </c>
      <c r="O294">
        <v>0</v>
      </c>
      <c r="P294" t="s">
        <v>34</v>
      </c>
      <c r="Q294" t="s">
        <v>33</v>
      </c>
      <c r="R294" t="s">
        <v>29</v>
      </c>
      <c r="S294" t="s">
        <v>27</v>
      </c>
      <c r="T294" t="s">
        <v>40</v>
      </c>
      <c r="U294">
        <f t="shared" si="4"/>
        <v>1</v>
      </c>
    </row>
    <row r="295" spans="1:21" x14ac:dyDescent="0.2">
      <c r="A295">
        <v>609</v>
      </c>
      <c r="B295" t="s">
        <v>42</v>
      </c>
      <c r="C295" t="s">
        <v>32</v>
      </c>
      <c r="D295">
        <v>39</v>
      </c>
      <c r="E295">
        <v>8</v>
      </c>
      <c r="F295">
        <v>141675.23000000001</v>
      </c>
      <c r="G295">
        <v>1</v>
      </c>
      <c r="H295" t="s">
        <v>23</v>
      </c>
      <c r="I295" t="s">
        <v>22</v>
      </c>
      <c r="J295">
        <v>175664.25</v>
      </c>
      <c r="K295" t="s">
        <v>23</v>
      </c>
      <c r="L295">
        <v>0.1384796244509619</v>
      </c>
      <c r="M295" t="s">
        <v>23</v>
      </c>
      <c r="N295">
        <v>0</v>
      </c>
      <c r="O295">
        <v>0</v>
      </c>
      <c r="P295" t="s">
        <v>34</v>
      </c>
      <c r="Q295" t="s">
        <v>33</v>
      </c>
      <c r="R295" t="s">
        <v>26</v>
      </c>
      <c r="S295" t="s">
        <v>27</v>
      </c>
      <c r="T295" t="s">
        <v>31</v>
      </c>
      <c r="U295">
        <f t="shared" si="4"/>
        <v>1</v>
      </c>
    </row>
    <row r="296" spans="1:21" x14ac:dyDescent="0.2">
      <c r="A296">
        <v>735</v>
      </c>
      <c r="B296" t="s">
        <v>20</v>
      </c>
      <c r="C296" t="s">
        <v>21</v>
      </c>
      <c r="D296">
        <v>50</v>
      </c>
      <c r="E296">
        <v>9</v>
      </c>
      <c r="F296">
        <v>0</v>
      </c>
      <c r="G296">
        <v>1</v>
      </c>
      <c r="H296" t="s">
        <v>23</v>
      </c>
      <c r="I296" t="s">
        <v>23</v>
      </c>
      <c r="J296">
        <v>166677.35</v>
      </c>
      <c r="K296" t="s">
        <v>22</v>
      </c>
      <c r="L296">
        <v>0.2864936917758707</v>
      </c>
      <c r="M296" t="s">
        <v>23</v>
      </c>
      <c r="N296">
        <v>1</v>
      </c>
      <c r="O296">
        <v>0</v>
      </c>
      <c r="P296" t="s">
        <v>24</v>
      </c>
      <c r="Q296" t="s">
        <v>25</v>
      </c>
      <c r="R296" t="s">
        <v>29</v>
      </c>
      <c r="S296" t="s">
        <v>37</v>
      </c>
      <c r="T296" t="s">
        <v>31</v>
      </c>
      <c r="U296">
        <f t="shared" si="4"/>
        <v>0</v>
      </c>
    </row>
    <row r="297" spans="1:21" x14ac:dyDescent="0.2">
      <c r="A297">
        <v>685</v>
      </c>
      <c r="B297" t="s">
        <v>41</v>
      </c>
      <c r="C297" t="s">
        <v>21</v>
      </c>
      <c r="D297">
        <v>57</v>
      </c>
      <c r="E297">
        <v>7</v>
      </c>
      <c r="F297">
        <v>101868.51</v>
      </c>
      <c r="G297">
        <v>1</v>
      </c>
      <c r="H297" t="s">
        <v>23</v>
      </c>
      <c r="I297" t="s">
        <v>22</v>
      </c>
      <c r="J297">
        <v>113483.96</v>
      </c>
      <c r="K297" t="s">
        <v>23</v>
      </c>
      <c r="L297">
        <v>0.39509465712151642</v>
      </c>
      <c r="M297" t="s">
        <v>23</v>
      </c>
      <c r="N297">
        <v>0</v>
      </c>
      <c r="O297">
        <v>0</v>
      </c>
      <c r="P297" t="s">
        <v>24</v>
      </c>
      <c r="Q297" t="s">
        <v>44</v>
      </c>
      <c r="R297" t="s">
        <v>26</v>
      </c>
      <c r="S297" t="s">
        <v>27</v>
      </c>
      <c r="T297" t="s">
        <v>28</v>
      </c>
      <c r="U297">
        <f t="shared" si="4"/>
        <v>1</v>
      </c>
    </row>
    <row r="298" spans="1:21" x14ac:dyDescent="0.2">
      <c r="A298">
        <v>661</v>
      </c>
      <c r="B298" t="s">
        <v>42</v>
      </c>
      <c r="C298" t="s">
        <v>32</v>
      </c>
      <c r="D298">
        <v>31</v>
      </c>
      <c r="E298">
        <v>7</v>
      </c>
      <c r="F298">
        <v>144162.29999999999</v>
      </c>
      <c r="G298">
        <v>2</v>
      </c>
      <c r="H298" t="s">
        <v>22</v>
      </c>
      <c r="I298" t="s">
        <v>22</v>
      </c>
      <c r="J298">
        <v>14490.79</v>
      </c>
      <c r="K298" t="s">
        <v>23</v>
      </c>
      <c r="L298">
        <v>6.5639477107042557E-2</v>
      </c>
      <c r="M298" t="s">
        <v>23</v>
      </c>
      <c r="N298">
        <v>0</v>
      </c>
      <c r="O298">
        <v>0</v>
      </c>
      <c r="P298" t="s">
        <v>34</v>
      </c>
      <c r="Q298" t="s">
        <v>33</v>
      </c>
      <c r="R298" t="s">
        <v>26</v>
      </c>
      <c r="S298" t="s">
        <v>27</v>
      </c>
      <c r="T298" t="s">
        <v>35</v>
      </c>
      <c r="U298">
        <f t="shared" si="4"/>
        <v>1</v>
      </c>
    </row>
    <row r="299" spans="1:21" x14ac:dyDescent="0.2">
      <c r="A299">
        <v>741</v>
      </c>
      <c r="B299" t="s">
        <v>42</v>
      </c>
      <c r="C299" t="s">
        <v>21</v>
      </c>
      <c r="D299">
        <v>32</v>
      </c>
      <c r="E299">
        <v>8</v>
      </c>
      <c r="F299">
        <v>0</v>
      </c>
      <c r="G299">
        <v>2</v>
      </c>
      <c r="H299" t="s">
        <v>22</v>
      </c>
      <c r="I299" t="s">
        <v>23</v>
      </c>
      <c r="J299">
        <v>143598.70000000001</v>
      </c>
      <c r="K299" t="s">
        <v>23</v>
      </c>
      <c r="L299">
        <v>8.1969913736089861E-2</v>
      </c>
      <c r="M299" t="s">
        <v>23</v>
      </c>
      <c r="N299">
        <v>0</v>
      </c>
      <c r="O299">
        <v>0</v>
      </c>
      <c r="P299" t="s">
        <v>34</v>
      </c>
      <c r="Q299" t="s">
        <v>33</v>
      </c>
      <c r="R299" t="s">
        <v>29</v>
      </c>
      <c r="S299" t="s">
        <v>37</v>
      </c>
      <c r="T299" t="s">
        <v>28</v>
      </c>
      <c r="U299">
        <f t="shared" si="4"/>
        <v>1</v>
      </c>
    </row>
    <row r="300" spans="1:21" x14ac:dyDescent="0.2">
      <c r="A300">
        <v>576</v>
      </c>
      <c r="B300" t="s">
        <v>42</v>
      </c>
      <c r="C300" t="s">
        <v>21</v>
      </c>
      <c r="D300">
        <v>36</v>
      </c>
      <c r="E300">
        <v>6</v>
      </c>
      <c r="F300">
        <v>0</v>
      </c>
      <c r="G300">
        <v>2</v>
      </c>
      <c r="H300" t="s">
        <v>22</v>
      </c>
      <c r="I300" t="s">
        <v>22</v>
      </c>
      <c r="J300">
        <v>48314</v>
      </c>
      <c r="K300" t="s">
        <v>23</v>
      </c>
      <c r="L300">
        <v>4.2726409529662737E-2</v>
      </c>
      <c r="M300" t="s">
        <v>23</v>
      </c>
      <c r="N300">
        <v>0</v>
      </c>
      <c r="O300">
        <v>0</v>
      </c>
      <c r="P300" t="s">
        <v>34</v>
      </c>
      <c r="Q300" t="s">
        <v>33</v>
      </c>
      <c r="R300" t="s">
        <v>29</v>
      </c>
      <c r="S300" t="s">
        <v>30</v>
      </c>
      <c r="T300" t="s">
        <v>35</v>
      </c>
      <c r="U300">
        <f t="shared" si="4"/>
        <v>1</v>
      </c>
    </row>
    <row r="301" spans="1:21" x14ac:dyDescent="0.2">
      <c r="A301">
        <v>535</v>
      </c>
      <c r="B301" t="s">
        <v>42</v>
      </c>
      <c r="C301" t="s">
        <v>21</v>
      </c>
      <c r="D301">
        <v>33</v>
      </c>
      <c r="E301">
        <v>2</v>
      </c>
      <c r="F301">
        <v>133040.32000000001</v>
      </c>
      <c r="G301">
        <v>1</v>
      </c>
      <c r="H301" t="s">
        <v>22</v>
      </c>
      <c r="I301" t="s">
        <v>22</v>
      </c>
      <c r="J301">
        <v>110299.78</v>
      </c>
      <c r="K301" t="s">
        <v>23</v>
      </c>
      <c r="L301">
        <v>6.0619035173263017E-2</v>
      </c>
      <c r="M301" t="s">
        <v>23</v>
      </c>
      <c r="N301">
        <v>0</v>
      </c>
      <c r="O301">
        <v>0</v>
      </c>
      <c r="P301" t="s">
        <v>34</v>
      </c>
      <c r="Q301" t="s">
        <v>33</v>
      </c>
      <c r="R301" t="s">
        <v>26</v>
      </c>
      <c r="S301" t="s">
        <v>30</v>
      </c>
      <c r="T301" t="s">
        <v>28</v>
      </c>
      <c r="U301">
        <f t="shared" si="4"/>
        <v>1</v>
      </c>
    </row>
    <row r="302" spans="1:21" x14ac:dyDescent="0.2">
      <c r="A302">
        <v>723</v>
      </c>
      <c r="B302" t="s">
        <v>41</v>
      </c>
      <c r="C302" t="s">
        <v>21</v>
      </c>
      <c r="D302">
        <v>52</v>
      </c>
      <c r="E302">
        <v>5</v>
      </c>
      <c r="F302">
        <v>131694.97</v>
      </c>
      <c r="G302">
        <v>1</v>
      </c>
      <c r="H302" t="s">
        <v>23</v>
      </c>
      <c r="I302" t="s">
        <v>22</v>
      </c>
      <c r="J302">
        <v>92873.5</v>
      </c>
      <c r="K302" t="s">
        <v>22</v>
      </c>
      <c r="L302">
        <v>0.32808209424816392</v>
      </c>
      <c r="M302" t="s">
        <v>23</v>
      </c>
      <c r="N302">
        <v>1</v>
      </c>
      <c r="O302">
        <v>0</v>
      </c>
      <c r="P302" t="s">
        <v>24</v>
      </c>
      <c r="Q302" t="s">
        <v>44</v>
      </c>
      <c r="R302" t="s">
        <v>26</v>
      </c>
      <c r="S302" t="s">
        <v>37</v>
      </c>
      <c r="T302" t="s">
        <v>40</v>
      </c>
      <c r="U302">
        <f t="shared" si="4"/>
        <v>0</v>
      </c>
    </row>
    <row r="303" spans="1:21" x14ac:dyDescent="0.2">
      <c r="A303">
        <v>787</v>
      </c>
      <c r="B303" t="s">
        <v>42</v>
      </c>
      <c r="C303" t="s">
        <v>32</v>
      </c>
      <c r="D303">
        <v>35</v>
      </c>
      <c r="E303">
        <v>1</v>
      </c>
      <c r="F303">
        <v>106266.8</v>
      </c>
      <c r="G303">
        <v>1</v>
      </c>
      <c r="H303" t="s">
        <v>22</v>
      </c>
      <c r="I303" t="s">
        <v>22</v>
      </c>
      <c r="J303">
        <v>16607.150000000001</v>
      </c>
      <c r="K303" t="s">
        <v>23</v>
      </c>
      <c r="L303">
        <v>8.9346431472485E-2</v>
      </c>
      <c r="M303" t="s">
        <v>23</v>
      </c>
      <c r="N303">
        <v>0</v>
      </c>
      <c r="O303">
        <v>0</v>
      </c>
      <c r="P303" t="s">
        <v>34</v>
      </c>
      <c r="Q303" t="s">
        <v>33</v>
      </c>
      <c r="R303" t="s">
        <v>26</v>
      </c>
      <c r="S303" t="s">
        <v>37</v>
      </c>
      <c r="T303" t="s">
        <v>35</v>
      </c>
      <c r="U303">
        <f t="shared" si="4"/>
        <v>1</v>
      </c>
    </row>
    <row r="304" spans="1:21" x14ac:dyDescent="0.2">
      <c r="A304">
        <v>711</v>
      </c>
      <c r="B304" t="s">
        <v>42</v>
      </c>
      <c r="C304" t="s">
        <v>21</v>
      </c>
      <c r="D304">
        <v>34</v>
      </c>
      <c r="E304">
        <v>8</v>
      </c>
      <c r="F304">
        <v>0</v>
      </c>
      <c r="G304">
        <v>2</v>
      </c>
      <c r="H304" t="s">
        <v>23</v>
      </c>
      <c r="I304" t="s">
        <v>23</v>
      </c>
      <c r="J304">
        <v>48260.19</v>
      </c>
      <c r="K304" t="s">
        <v>23</v>
      </c>
      <c r="L304">
        <v>9.3787056786545864E-2</v>
      </c>
      <c r="M304" t="s">
        <v>23</v>
      </c>
      <c r="N304">
        <v>0</v>
      </c>
      <c r="O304">
        <v>0</v>
      </c>
      <c r="P304" t="s">
        <v>34</v>
      </c>
      <c r="Q304" t="s">
        <v>33</v>
      </c>
      <c r="R304" t="s">
        <v>29</v>
      </c>
      <c r="S304" t="s">
        <v>37</v>
      </c>
      <c r="T304" t="s">
        <v>35</v>
      </c>
      <c r="U304">
        <f t="shared" si="4"/>
        <v>1</v>
      </c>
    </row>
    <row r="305" spans="1:21" x14ac:dyDescent="0.2">
      <c r="A305">
        <v>661</v>
      </c>
      <c r="B305" t="s">
        <v>41</v>
      </c>
      <c r="C305" t="s">
        <v>21</v>
      </c>
      <c r="D305">
        <v>35</v>
      </c>
      <c r="E305">
        <v>8</v>
      </c>
      <c r="F305">
        <v>124098.54</v>
      </c>
      <c r="G305">
        <v>1</v>
      </c>
      <c r="H305" t="s">
        <v>22</v>
      </c>
      <c r="I305" t="s">
        <v>23</v>
      </c>
      <c r="J305">
        <v>86678.48</v>
      </c>
      <c r="K305" t="s">
        <v>23</v>
      </c>
      <c r="L305">
        <v>0.27754018227079669</v>
      </c>
      <c r="M305" t="s">
        <v>23</v>
      </c>
      <c r="N305">
        <v>0</v>
      </c>
      <c r="O305">
        <v>0</v>
      </c>
      <c r="P305" t="s">
        <v>24</v>
      </c>
      <c r="Q305" t="s">
        <v>33</v>
      </c>
      <c r="R305" t="s">
        <v>26</v>
      </c>
      <c r="S305" t="s">
        <v>27</v>
      </c>
      <c r="T305" t="s">
        <v>40</v>
      </c>
      <c r="U305">
        <f t="shared" si="4"/>
        <v>1</v>
      </c>
    </row>
    <row r="306" spans="1:21" x14ac:dyDescent="0.2">
      <c r="A306">
        <v>611</v>
      </c>
      <c r="B306" t="s">
        <v>42</v>
      </c>
      <c r="C306" t="s">
        <v>32</v>
      </c>
      <c r="D306">
        <v>26</v>
      </c>
      <c r="E306">
        <v>2</v>
      </c>
      <c r="F306">
        <v>107508.93</v>
      </c>
      <c r="G306">
        <v>2</v>
      </c>
      <c r="H306" t="s">
        <v>22</v>
      </c>
      <c r="I306" t="s">
        <v>22</v>
      </c>
      <c r="J306">
        <v>120801.65</v>
      </c>
      <c r="K306" t="s">
        <v>23</v>
      </c>
      <c r="L306">
        <v>5.0805201318933069E-2</v>
      </c>
      <c r="M306" t="s">
        <v>23</v>
      </c>
      <c r="N306">
        <v>0</v>
      </c>
      <c r="O306">
        <v>0</v>
      </c>
      <c r="P306" t="s">
        <v>34</v>
      </c>
      <c r="Q306" t="s">
        <v>36</v>
      </c>
      <c r="R306" t="s">
        <v>26</v>
      </c>
      <c r="S306" t="s">
        <v>27</v>
      </c>
      <c r="T306" t="s">
        <v>28</v>
      </c>
      <c r="U306">
        <f t="shared" si="4"/>
        <v>1</v>
      </c>
    </row>
    <row r="307" spans="1:21" x14ac:dyDescent="0.2">
      <c r="A307">
        <v>850</v>
      </c>
      <c r="B307" t="s">
        <v>42</v>
      </c>
      <c r="C307" t="s">
        <v>32</v>
      </c>
      <c r="D307">
        <v>37</v>
      </c>
      <c r="E307">
        <v>3</v>
      </c>
      <c r="F307">
        <v>212778.2</v>
      </c>
      <c r="G307">
        <v>1</v>
      </c>
      <c r="H307" t="s">
        <v>23</v>
      </c>
      <c r="I307" t="s">
        <v>22</v>
      </c>
      <c r="J307">
        <v>69372.88</v>
      </c>
      <c r="K307" t="s">
        <v>23</v>
      </c>
      <c r="L307">
        <v>0.12796675658577869</v>
      </c>
      <c r="M307" t="s">
        <v>23</v>
      </c>
      <c r="N307">
        <v>0</v>
      </c>
      <c r="O307">
        <v>0</v>
      </c>
      <c r="P307" t="s">
        <v>34</v>
      </c>
      <c r="Q307" t="s">
        <v>33</v>
      </c>
      <c r="R307" t="s">
        <v>47</v>
      </c>
      <c r="S307" t="s">
        <v>39</v>
      </c>
      <c r="T307" t="s">
        <v>40</v>
      </c>
      <c r="U307">
        <f t="shared" si="4"/>
        <v>1</v>
      </c>
    </row>
    <row r="308" spans="1:21" x14ac:dyDescent="0.2">
      <c r="A308">
        <v>838</v>
      </c>
      <c r="B308" t="s">
        <v>42</v>
      </c>
      <c r="C308" t="s">
        <v>32</v>
      </c>
      <c r="D308">
        <v>34</v>
      </c>
      <c r="E308">
        <v>8</v>
      </c>
      <c r="F308">
        <v>0</v>
      </c>
      <c r="G308">
        <v>2</v>
      </c>
      <c r="H308" t="s">
        <v>22</v>
      </c>
      <c r="I308" t="s">
        <v>23</v>
      </c>
      <c r="J308">
        <v>27472.07</v>
      </c>
      <c r="K308" t="s">
        <v>23</v>
      </c>
      <c r="L308">
        <v>0.13557446617273991</v>
      </c>
      <c r="M308" t="s">
        <v>23</v>
      </c>
      <c r="N308">
        <v>0</v>
      </c>
      <c r="O308">
        <v>0</v>
      </c>
      <c r="P308" t="s">
        <v>34</v>
      </c>
      <c r="Q308" t="s">
        <v>33</v>
      </c>
      <c r="R308" t="s">
        <v>29</v>
      </c>
      <c r="S308" t="s">
        <v>39</v>
      </c>
      <c r="T308" t="s">
        <v>35</v>
      </c>
      <c r="U308">
        <f t="shared" si="4"/>
        <v>1</v>
      </c>
    </row>
    <row r="309" spans="1:21" x14ac:dyDescent="0.2">
      <c r="A309">
        <v>821</v>
      </c>
      <c r="B309" t="s">
        <v>42</v>
      </c>
      <c r="C309" t="s">
        <v>32</v>
      </c>
      <c r="D309">
        <v>28</v>
      </c>
      <c r="E309">
        <v>8</v>
      </c>
      <c r="F309">
        <v>0</v>
      </c>
      <c r="G309">
        <v>1</v>
      </c>
      <c r="H309" t="s">
        <v>22</v>
      </c>
      <c r="I309" t="s">
        <v>22</v>
      </c>
      <c r="J309">
        <v>36754.129999999997</v>
      </c>
      <c r="K309" t="s">
        <v>23</v>
      </c>
      <c r="L309">
        <v>3.6763414478009827E-2</v>
      </c>
      <c r="M309" t="s">
        <v>23</v>
      </c>
      <c r="N309">
        <v>0</v>
      </c>
      <c r="O309">
        <v>0</v>
      </c>
      <c r="P309" t="s">
        <v>34</v>
      </c>
      <c r="Q309" t="s">
        <v>36</v>
      </c>
      <c r="R309" t="s">
        <v>29</v>
      </c>
      <c r="S309" t="s">
        <v>39</v>
      </c>
      <c r="T309" t="s">
        <v>35</v>
      </c>
      <c r="U309">
        <f t="shared" si="4"/>
        <v>1</v>
      </c>
    </row>
    <row r="310" spans="1:21" x14ac:dyDescent="0.2">
      <c r="A310">
        <v>656</v>
      </c>
      <c r="B310" t="s">
        <v>20</v>
      </c>
      <c r="C310" t="s">
        <v>21</v>
      </c>
      <c r="D310">
        <v>69</v>
      </c>
      <c r="E310">
        <v>6</v>
      </c>
      <c r="F310">
        <v>163975.09</v>
      </c>
      <c r="G310">
        <v>1</v>
      </c>
      <c r="H310" t="s">
        <v>22</v>
      </c>
      <c r="I310" t="s">
        <v>22</v>
      </c>
      <c r="J310">
        <v>36108.5</v>
      </c>
      <c r="K310" t="s">
        <v>23</v>
      </c>
      <c r="L310">
        <v>0.45941703020630009</v>
      </c>
      <c r="M310" t="s">
        <v>23</v>
      </c>
      <c r="N310">
        <v>0</v>
      </c>
      <c r="O310">
        <v>0</v>
      </c>
      <c r="P310" t="s">
        <v>24</v>
      </c>
      <c r="Q310" t="s">
        <v>46</v>
      </c>
      <c r="R310" t="s">
        <v>47</v>
      </c>
      <c r="S310" t="s">
        <v>27</v>
      </c>
      <c r="T310" t="s">
        <v>35</v>
      </c>
      <c r="U310">
        <f t="shared" si="4"/>
        <v>1</v>
      </c>
    </row>
    <row r="311" spans="1:21" x14ac:dyDescent="0.2">
      <c r="A311">
        <v>701</v>
      </c>
      <c r="B311" t="s">
        <v>41</v>
      </c>
      <c r="C311" t="s">
        <v>32</v>
      </c>
      <c r="D311">
        <v>48</v>
      </c>
      <c r="E311">
        <v>1</v>
      </c>
      <c r="F311">
        <v>92072.68</v>
      </c>
      <c r="G311">
        <v>1</v>
      </c>
      <c r="H311" t="s">
        <v>22</v>
      </c>
      <c r="I311" t="s">
        <v>22</v>
      </c>
      <c r="J311">
        <v>133992.35999999999</v>
      </c>
      <c r="K311" t="s">
        <v>23</v>
      </c>
      <c r="L311">
        <v>0.38156964955800782</v>
      </c>
      <c r="M311" t="s">
        <v>23</v>
      </c>
      <c r="N311">
        <v>0</v>
      </c>
      <c r="O311">
        <v>0</v>
      </c>
      <c r="P311" t="s">
        <v>24</v>
      </c>
      <c r="Q311" t="s">
        <v>25</v>
      </c>
      <c r="R311" t="s">
        <v>38</v>
      </c>
      <c r="S311" t="s">
        <v>37</v>
      </c>
      <c r="T311" t="s">
        <v>28</v>
      </c>
      <c r="U311">
        <f t="shared" si="4"/>
        <v>1</v>
      </c>
    </row>
    <row r="312" spans="1:21" x14ac:dyDescent="0.2">
      <c r="A312">
        <v>652</v>
      </c>
      <c r="B312" t="s">
        <v>42</v>
      </c>
      <c r="C312" t="s">
        <v>21</v>
      </c>
      <c r="D312">
        <v>48</v>
      </c>
      <c r="E312">
        <v>4</v>
      </c>
      <c r="F312">
        <v>59486.31</v>
      </c>
      <c r="G312">
        <v>1</v>
      </c>
      <c r="H312" t="s">
        <v>22</v>
      </c>
      <c r="I312" t="s">
        <v>23</v>
      </c>
      <c r="J312">
        <v>163944.18</v>
      </c>
      <c r="K312" t="s">
        <v>22</v>
      </c>
      <c r="L312">
        <v>0.30532866814422788</v>
      </c>
      <c r="M312" t="s">
        <v>23</v>
      </c>
      <c r="N312">
        <v>1</v>
      </c>
      <c r="O312">
        <v>0</v>
      </c>
      <c r="P312" t="s">
        <v>24</v>
      </c>
      <c r="Q312" t="s">
        <v>25</v>
      </c>
      <c r="R312" t="s">
        <v>38</v>
      </c>
      <c r="S312" t="s">
        <v>27</v>
      </c>
      <c r="T312" t="s">
        <v>31</v>
      </c>
      <c r="U312">
        <f t="shared" si="4"/>
        <v>0</v>
      </c>
    </row>
    <row r="313" spans="1:21" x14ac:dyDescent="0.2">
      <c r="A313">
        <v>592</v>
      </c>
      <c r="B313" t="s">
        <v>42</v>
      </c>
      <c r="C313" t="s">
        <v>32</v>
      </c>
      <c r="D313">
        <v>38</v>
      </c>
      <c r="E313">
        <v>8</v>
      </c>
      <c r="F313">
        <v>119278.01</v>
      </c>
      <c r="G313">
        <v>2</v>
      </c>
      <c r="H313" t="s">
        <v>23</v>
      </c>
      <c r="I313" t="s">
        <v>22</v>
      </c>
      <c r="J313">
        <v>19370.73</v>
      </c>
      <c r="K313" t="s">
        <v>23</v>
      </c>
      <c r="L313">
        <v>0.1053352278055433</v>
      </c>
      <c r="M313" t="s">
        <v>23</v>
      </c>
      <c r="N313">
        <v>0</v>
      </c>
      <c r="O313">
        <v>0</v>
      </c>
      <c r="P313" t="s">
        <v>34</v>
      </c>
      <c r="Q313" t="s">
        <v>33</v>
      </c>
      <c r="R313" t="s">
        <v>26</v>
      </c>
      <c r="S313" t="s">
        <v>30</v>
      </c>
      <c r="T313" t="s">
        <v>35</v>
      </c>
      <c r="U313">
        <f t="shared" si="4"/>
        <v>1</v>
      </c>
    </row>
    <row r="314" spans="1:21" x14ac:dyDescent="0.2">
      <c r="A314">
        <v>571</v>
      </c>
      <c r="B314" t="s">
        <v>42</v>
      </c>
      <c r="C314" t="s">
        <v>32</v>
      </c>
      <c r="D314">
        <v>35</v>
      </c>
      <c r="E314">
        <v>1</v>
      </c>
      <c r="F314">
        <v>104783.81</v>
      </c>
      <c r="G314">
        <v>2</v>
      </c>
      <c r="H314" t="s">
        <v>23</v>
      </c>
      <c r="I314" t="s">
        <v>22</v>
      </c>
      <c r="J314">
        <v>178512.52</v>
      </c>
      <c r="K314" t="s">
        <v>23</v>
      </c>
      <c r="L314">
        <v>0.10370142882953889</v>
      </c>
      <c r="M314" t="s">
        <v>23</v>
      </c>
      <c r="N314">
        <v>0</v>
      </c>
      <c r="O314">
        <v>0</v>
      </c>
      <c r="P314" t="s">
        <v>34</v>
      </c>
      <c r="Q314" t="s">
        <v>33</v>
      </c>
      <c r="R314" t="s">
        <v>26</v>
      </c>
      <c r="S314" t="s">
        <v>30</v>
      </c>
      <c r="T314" t="s">
        <v>31</v>
      </c>
      <c r="U314">
        <f t="shared" si="4"/>
        <v>1</v>
      </c>
    </row>
    <row r="315" spans="1:21" x14ac:dyDescent="0.2">
      <c r="A315">
        <v>694</v>
      </c>
      <c r="B315" t="s">
        <v>41</v>
      </c>
      <c r="C315" t="s">
        <v>21</v>
      </c>
      <c r="D315">
        <v>31</v>
      </c>
      <c r="E315">
        <v>6</v>
      </c>
      <c r="F315">
        <v>109052.59</v>
      </c>
      <c r="G315">
        <v>2</v>
      </c>
      <c r="H315" t="s">
        <v>22</v>
      </c>
      <c r="I315" t="s">
        <v>22</v>
      </c>
      <c r="J315">
        <v>19448.93</v>
      </c>
      <c r="K315" t="s">
        <v>22</v>
      </c>
      <c r="L315">
        <v>7.5436769336376372E-2</v>
      </c>
      <c r="M315" t="s">
        <v>23</v>
      </c>
      <c r="N315">
        <v>1</v>
      </c>
      <c r="O315">
        <v>0</v>
      </c>
      <c r="P315" t="s">
        <v>34</v>
      </c>
      <c r="Q315" t="s">
        <v>33</v>
      </c>
      <c r="R315" t="s">
        <v>26</v>
      </c>
      <c r="S315" t="s">
        <v>27</v>
      </c>
      <c r="T315" t="s">
        <v>35</v>
      </c>
      <c r="U315">
        <f t="shared" si="4"/>
        <v>0</v>
      </c>
    </row>
    <row r="316" spans="1:21" x14ac:dyDescent="0.2">
      <c r="A316">
        <v>713</v>
      </c>
      <c r="B316" t="s">
        <v>42</v>
      </c>
      <c r="C316" t="s">
        <v>21</v>
      </c>
      <c r="D316">
        <v>53</v>
      </c>
      <c r="E316">
        <v>6</v>
      </c>
      <c r="F316">
        <v>115029.4</v>
      </c>
      <c r="G316">
        <v>1</v>
      </c>
      <c r="H316" t="s">
        <v>23</v>
      </c>
      <c r="I316" t="s">
        <v>23</v>
      </c>
      <c r="J316">
        <v>191521.32</v>
      </c>
      <c r="K316" t="s">
        <v>22</v>
      </c>
      <c r="L316">
        <v>0.41525252759280951</v>
      </c>
      <c r="M316" t="s">
        <v>23</v>
      </c>
      <c r="N316">
        <v>1</v>
      </c>
      <c r="O316">
        <v>0</v>
      </c>
      <c r="P316" t="s">
        <v>24</v>
      </c>
      <c r="Q316" t="s">
        <v>44</v>
      </c>
      <c r="R316" t="s">
        <v>26</v>
      </c>
      <c r="S316" t="s">
        <v>37</v>
      </c>
      <c r="T316" t="s">
        <v>31</v>
      </c>
      <c r="U316">
        <f t="shared" si="4"/>
        <v>0</v>
      </c>
    </row>
    <row r="317" spans="1:21" x14ac:dyDescent="0.2">
      <c r="A317">
        <v>671</v>
      </c>
      <c r="B317" t="s">
        <v>20</v>
      </c>
      <c r="C317" t="s">
        <v>32</v>
      </c>
      <c r="D317">
        <v>42</v>
      </c>
      <c r="E317">
        <v>3</v>
      </c>
      <c r="F317">
        <v>0</v>
      </c>
      <c r="G317">
        <v>2</v>
      </c>
      <c r="H317" t="s">
        <v>22</v>
      </c>
      <c r="I317" t="s">
        <v>22</v>
      </c>
      <c r="J317">
        <v>128449.33</v>
      </c>
      <c r="K317" t="s">
        <v>23</v>
      </c>
      <c r="L317">
        <v>0.11496591058421041</v>
      </c>
      <c r="M317" t="s">
        <v>23</v>
      </c>
      <c r="N317">
        <v>0</v>
      </c>
      <c r="O317">
        <v>0</v>
      </c>
      <c r="P317" t="s">
        <v>34</v>
      </c>
      <c r="Q317" t="s">
        <v>25</v>
      </c>
      <c r="R317" t="s">
        <v>29</v>
      </c>
      <c r="S317" t="s">
        <v>27</v>
      </c>
      <c r="T317" t="s">
        <v>28</v>
      </c>
      <c r="U317">
        <f t="shared" si="4"/>
        <v>1</v>
      </c>
    </row>
    <row r="318" spans="1:21" x14ac:dyDescent="0.2">
      <c r="A318">
        <v>538</v>
      </c>
      <c r="B318" t="s">
        <v>42</v>
      </c>
      <c r="C318" t="s">
        <v>21</v>
      </c>
      <c r="D318">
        <v>33</v>
      </c>
      <c r="E318">
        <v>6</v>
      </c>
      <c r="F318">
        <v>93791.38</v>
      </c>
      <c r="G318">
        <v>1</v>
      </c>
      <c r="H318" t="s">
        <v>22</v>
      </c>
      <c r="I318" t="s">
        <v>22</v>
      </c>
      <c r="J318">
        <v>199249.29</v>
      </c>
      <c r="K318" t="s">
        <v>23</v>
      </c>
      <c r="L318">
        <v>5.3464017990205427E-2</v>
      </c>
      <c r="M318" t="s">
        <v>23</v>
      </c>
      <c r="N318">
        <v>0</v>
      </c>
      <c r="O318">
        <v>0</v>
      </c>
      <c r="P318" t="s">
        <v>34</v>
      </c>
      <c r="Q318" t="s">
        <v>33</v>
      </c>
      <c r="R318" t="s">
        <v>38</v>
      </c>
      <c r="S318" t="s">
        <v>30</v>
      </c>
      <c r="T318" t="s">
        <v>31</v>
      </c>
      <c r="U318">
        <f t="shared" si="4"/>
        <v>1</v>
      </c>
    </row>
    <row r="319" spans="1:21" x14ac:dyDescent="0.2">
      <c r="A319">
        <v>632</v>
      </c>
      <c r="B319" t="s">
        <v>20</v>
      </c>
      <c r="C319" t="s">
        <v>32</v>
      </c>
      <c r="D319">
        <v>39</v>
      </c>
      <c r="E319">
        <v>5</v>
      </c>
      <c r="F319">
        <v>97854.37</v>
      </c>
      <c r="G319">
        <v>2</v>
      </c>
      <c r="H319" t="s">
        <v>22</v>
      </c>
      <c r="I319" t="s">
        <v>23</v>
      </c>
      <c r="J319">
        <v>93536.38</v>
      </c>
      <c r="K319" t="s">
        <v>23</v>
      </c>
      <c r="L319">
        <v>0.27856455449542661</v>
      </c>
      <c r="M319" t="s">
        <v>23</v>
      </c>
      <c r="N319">
        <v>0</v>
      </c>
      <c r="O319">
        <v>0</v>
      </c>
      <c r="P319" t="s">
        <v>24</v>
      </c>
      <c r="Q319" t="s">
        <v>33</v>
      </c>
      <c r="R319" t="s">
        <v>38</v>
      </c>
      <c r="S319" t="s">
        <v>27</v>
      </c>
      <c r="T319" t="s">
        <v>40</v>
      </c>
      <c r="U319">
        <f t="shared" si="4"/>
        <v>1</v>
      </c>
    </row>
    <row r="320" spans="1:21" x14ac:dyDescent="0.2">
      <c r="A320">
        <v>621</v>
      </c>
      <c r="B320" t="s">
        <v>42</v>
      </c>
      <c r="C320" t="s">
        <v>21</v>
      </c>
      <c r="D320">
        <v>39</v>
      </c>
      <c r="E320">
        <v>6</v>
      </c>
      <c r="F320">
        <v>0</v>
      </c>
      <c r="G320">
        <v>2</v>
      </c>
      <c r="H320" t="s">
        <v>22</v>
      </c>
      <c r="I320" t="s">
        <v>22</v>
      </c>
      <c r="J320">
        <v>58883.91</v>
      </c>
      <c r="K320" t="s">
        <v>23</v>
      </c>
      <c r="L320">
        <v>5.1537443914008427E-2</v>
      </c>
      <c r="M320" t="s">
        <v>23</v>
      </c>
      <c r="N320">
        <v>0</v>
      </c>
      <c r="O320">
        <v>0</v>
      </c>
      <c r="P320" t="s">
        <v>34</v>
      </c>
      <c r="Q320" t="s">
        <v>33</v>
      </c>
      <c r="R320" t="s">
        <v>29</v>
      </c>
      <c r="S320" t="s">
        <v>27</v>
      </c>
      <c r="T320" t="s">
        <v>40</v>
      </c>
      <c r="U320">
        <f t="shared" si="4"/>
        <v>1</v>
      </c>
    </row>
    <row r="321" spans="1:21" x14ac:dyDescent="0.2">
      <c r="A321">
        <v>677</v>
      </c>
      <c r="B321" t="s">
        <v>42</v>
      </c>
      <c r="C321" t="s">
        <v>21</v>
      </c>
      <c r="D321">
        <v>38</v>
      </c>
      <c r="E321">
        <v>4</v>
      </c>
      <c r="F321">
        <v>0</v>
      </c>
      <c r="G321">
        <v>2</v>
      </c>
      <c r="H321" t="s">
        <v>22</v>
      </c>
      <c r="I321" t="s">
        <v>23</v>
      </c>
      <c r="J321">
        <v>187800.63</v>
      </c>
      <c r="K321" t="s">
        <v>23</v>
      </c>
      <c r="L321">
        <v>0.13898697480216379</v>
      </c>
      <c r="M321" t="s">
        <v>23</v>
      </c>
      <c r="N321">
        <v>0</v>
      </c>
      <c r="O321">
        <v>0</v>
      </c>
      <c r="P321" t="s">
        <v>34</v>
      </c>
      <c r="Q321" t="s">
        <v>33</v>
      </c>
      <c r="R321" t="s">
        <v>29</v>
      </c>
      <c r="S321" t="s">
        <v>27</v>
      </c>
      <c r="T321" t="s">
        <v>31</v>
      </c>
      <c r="U321">
        <f t="shared" si="4"/>
        <v>1</v>
      </c>
    </row>
    <row r="322" spans="1:21" x14ac:dyDescent="0.2">
      <c r="A322">
        <v>517</v>
      </c>
      <c r="B322" t="s">
        <v>42</v>
      </c>
      <c r="C322" t="s">
        <v>21</v>
      </c>
      <c r="D322">
        <v>28</v>
      </c>
      <c r="E322">
        <v>2</v>
      </c>
      <c r="F322">
        <v>115062.61</v>
      </c>
      <c r="G322">
        <v>1</v>
      </c>
      <c r="H322" t="s">
        <v>22</v>
      </c>
      <c r="I322" t="s">
        <v>23</v>
      </c>
      <c r="J322">
        <v>179056.23</v>
      </c>
      <c r="K322" t="s">
        <v>23</v>
      </c>
      <c r="L322">
        <v>0.1174942091330161</v>
      </c>
      <c r="M322" t="s">
        <v>23</v>
      </c>
      <c r="N322">
        <v>0</v>
      </c>
      <c r="O322">
        <v>0</v>
      </c>
      <c r="P322" t="s">
        <v>34</v>
      </c>
      <c r="Q322" t="s">
        <v>36</v>
      </c>
      <c r="R322" t="s">
        <v>26</v>
      </c>
      <c r="S322" t="s">
        <v>30</v>
      </c>
      <c r="T322" t="s">
        <v>31</v>
      </c>
      <c r="U322">
        <f t="shared" ref="U322:U385" si="5">IF(K322=M322,1,0)</f>
        <v>1</v>
      </c>
    </row>
    <row r="323" spans="1:21" x14ac:dyDescent="0.2">
      <c r="A323">
        <v>834</v>
      </c>
      <c r="B323" t="s">
        <v>42</v>
      </c>
      <c r="C323" t="s">
        <v>32</v>
      </c>
      <c r="D323">
        <v>49</v>
      </c>
      <c r="E323">
        <v>8</v>
      </c>
      <c r="F323">
        <v>160602.25</v>
      </c>
      <c r="G323">
        <v>2</v>
      </c>
      <c r="H323" t="s">
        <v>22</v>
      </c>
      <c r="I323" t="s">
        <v>23</v>
      </c>
      <c r="J323">
        <v>129273.94</v>
      </c>
      <c r="K323" t="s">
        <v>23</v>
      </c>
      <c r="L323">
        <v>0.43372352425567628</v>
      </c>
      <c r="M323" t="s">
        <v>23</v>
      </c>
      <c r="N323">
        <v>0</v>
      </c>
      <c r="O323">
        <v>0</v>
      </c>
      <c r="P323" t="s">
        <v>24</v>
      </c>
      <c r="Q323" t="s">
        <v>25</v>
      </c>
      <c r="R323" t="s">
        <v>47</v>
      </c>
      <c r="S323" t="s">
        <v>39</v>
      </c>
      <c r="T323" t="s">
        <v>28</v>
      </c>
      <c r="U323">
        <f t="shared" si="5"/>
        <v>1</v>
      </c>
    </row>
    <row r="324" spans="1:21" x14ac:dyDescent="0.2">
      <c r="A324">
        <v>594</v>
      </c>
      <c r="B324" t="s">
        <v>42</v>
      </c>
      <c r="C324" t="s">
        <v>32</v>
      </c>
      <c r="D324">
        <v>49</v>
      </c>
      <c r="E324">
        <v>4</v>
      </c>
      <c r="F324">
        <v>0</v>
      </c>
      <c r="G324">
        <v>2</v>
      </c>
      <c r="H324" t="s">
        <v>22</v>
      </c>
      <c r="I324" t="s">
        <v>22</v>
      </c>
      <c r="J324">
        <v>23631.55</v>
      </c>
      <c r="K324" t="s">
        <v>23</v>
      </c>
      <c r="L324">
        <v>0.1698650657456417</v>
      </c>
      <c r="M324" t="s">
        <v>23</v>
      </c>
      <c r="N324">
        <v>0</v>
      </c>
      <c r="O324">
        <v>0</v>
      </c>
      <c r="P324" t="s">
        <v>34</v>
      </c>
      <c r="Q324" t="s">
        <v>25</v>
      </c>
      <c r="R324" t="s">
        <v>29</v>
      </c>
      <c r="S324" t="s">
        <v>30</v>
      </c>
      <c r="T324" t="s">
        <v>35</v>
      </c>
      <c r="U324">
        <f t="shared" si="5"/>
        <v>1</v>
      </c>
    </row>
    <row r="325" spans="1:21" x14ac:dyDescent="0.2">
      <c r="A325">
        <v>689</v>
      </c>
      <c r="B325" t="s">
        <v>20</v>
      </c>
      <c r="C325" t="s">
        <v>21</v>
      </c>
      <c r="D325">
        <v>38</v>
      </c>
      <c r="E325">
        <v>5</v>
      </c>
      <c r="F325">
        <v>75075.14</v>
      </c>
      <c r="G325">
        <v>1</v>
      </c>
      <c r="H325" t="s">
        <v>22</v>
      </c>
      <c r="I325" t="s">
        <v>22</v>
      </c>
      <c r="J325">
        <v>8651.92</v>
      </c>
      <c r="K325" t="s">
        <v>22</v>
      </c>
      <c r="L325">
        <v>6.2660925142427493E-2</v>
      </c>
      <c r="M325" t="s">
        <v>23</v>
      </c>
      <c r="N325">
        <v>1</v>
      </c>
      <c r="O325">
        <v>0</v>
      </c>
      <c r="P325" t="s">
        <v>34</v>
      </c>
      <c r="Q325" t="s">
        <v>33</v>
      </c>
      <c r="R325" t="s">
        <v>38</v>
      </c>
      <c r="S325" t="s">
        <v>27</v>
      </c>
      <c r="T325" t="s">
        <v>35</v>
      </c>
      <c r="U325">
        <f t="shared" si="5"/>
        <v>0</v>
      </c>
    </row>
    <row r="326" spans="1:21" x14ac:dyDescent="0.2">
      <c r="A326">
        <v>589</v>
      </c>
      <c r="B326" t="s">
        <v>42</v>
      </c>
      <c r="C326" t="s">
        <v>21</v>
      </c>
      <c r="D326">
        <v>38</v>
      </c>
      <c r="E326">
        <v>2</v>
      </c>
      <c r="F326">
        <v>0</v>
      </c>
      <c r="G326">
        <v>1</v>
      </c>
      <c r="H326" t="s">
        <v>22</v>
      </c>
      <c r="I326" t="s">
        <v>23</v>
      </c>
      <c r="J326">
        <v>79915.28</v>
      </c>
      <c r="K326" t="s">
        <v>23</v>
      </c>
      <c r="L326">
        <v>0.15709847541985331</v>
      </c>
      <c r="M326" t="s">
        <v>23</v>
      </c>
      <c r="N326">
        <v>0</v>
      </c>
      <c r="O326">
        <v>0</v>
      </c>
      <c r="P326" t="s">
        <v>34</v>
      </c>
      <c r="Q326" t="s">
        <v>33</v>
      </c>
      <c r="R326" t="s">
        <v>29</v>
      </c>
      <c r="S326" t="s">
        <v>30</v>
      </c>
      <c r="T326" t="s">
        <v>40</v>
      </c>
      <c r="U326">
        <f t="shared" si="5"/>
        <v>1</v>
      </c>
    </row>
    <row r="327" spans="1:21" x14ac:dyDescent="0.2">
      <c r="A327">
        <v>617</v>
      </c>
      <c r="B327" t="s">
        <v>42</v>
      </c>
      <c r="C327" t="s">
        <v>21</v>
      </c>
      <c r="D327">
        <v>30</v>
      </c>
      <c r="E327">
        <v>3</v>
      </c>
      <c r="F327">
        <v>132005.76999999999</v>
      </c>
      <c r="G327">
        <v>1</v>
      </c>
      <c r="H327" t="s">
        <v>22</v>
      </c>
      <c r="I327" t="s">
        <v>23</v>
      </c>
      <c r="J327">
        <v>142940.39000000001</v>
      </c>
      <c r="K327" t="s">
        <v>23</v>
      </c>
      <c r="L327">
        <v>0.1263412603306269</v>
      </c>
      <c r="M327" t="s">
        <v>23</v>
      </c>
      <c r="N327">
        <v>0</v>
      </c>
      <c r="O327">
        <v>0</v>
      </c>
      <c r="P327" t="s">
        <v>34</v>
      </c>
      <c r="Q327" t="s">
        <v>36</v>
      </c>
      <c r="R327" t="s">
        <v>26</v>
      </c>
      <c r="S327" t="s">
        <v>27</v>
      </c>
      <c r="T327" t="s">
        <v>28</v>
      </c>
      <c r="U327">
        <f t="shared" si="5"/>
        <v>1</v>
      </c>
    </row>
    <row r="328" spans="1:21" x14ac:dyDescent="0.2">
      <c r="A328">
        <v>538</v>
      </c>
      <c r="B328" t="s">
        <v>20</v>
      </c>
      <c r="C328" t="s">
        <v>32</v>
      </c>
      <c r="D328">
        <v>31</v>
      </c>
      <c r="E328">
        <v>0</v>
      </c>
      <c r="F328">
        <v>0</v>
      </c>
      <c r="G328">
        <v>2</v>
      </c>
      <c r="H328" t="s">
        <v>23</v>
      </c>
      <c r="I328" t="s">
        <v>23</v>
      </c>
      <c r="J328">
        <v>179453.66</v>
      </c>
      <c r="K328" t="s">
        <v>23</v>
      </c>
      <c r="L328">
        <v>0.17467411220112411</v>
      </c>
      <c r="M328" t="s">
        <v>23</v>
      </c>
      <c r="N328">
        <v>0</v>
      </c>
      <c r="O328">
        <v>0</v>
      </c>
      <c r="P328" t="s">
        <v>34</v>
      </c>
      <c r="Q328" t="s">
        <v>33</v>
      </c>
      <c r="R328" t="s">
        <v>29</v>
      </c>
      <c r="S328" t="s">
        <v>30</v>
      </c>
      <c r="T328" t="s">
        <v>31</v>
      </c>
      <c r="U328">
        <f t="shared" si="5"/>
        <v>1</v>
      </c>
    </row>
    <row r="329" spans="1:21" x14ac:dyDescent="0.2">
      <c r="A329">
        <v>712</v>
      </c>
      <c r="B329" t="s">
        <v>20</v>
      </c>
      <c r="C329" t="s">
        <v>21</v>
      </c>
      <c r="D329">
        <v>53</v>
      </c>
      <c r="E329">
        <v>2</v>
      </c>
      <c r="F329">
        <v>111061.01</v>
      </c>
      <c r="G329">
        <v>2</v>
      </c>
      <c r="H329" t="s">
        <v>23</v>
      </c>
      <c r="I329" t="s">
        <v>23</v>
      </c>
      <c r="J329">
        <v>26542.17</v>
      </c>
      <c r="K329" t="s">
        <v>23</v>
      </c>
      <c r="L329">
        <v>0.39407284755752531</v>
      </c>
      <c r="M329" t="s">
        <v>23</v>
      </c>
      <c r="N329">
        <v>0</v>
      </c>
      <c r="O329">
        <v>0</v>
      </c>
      <c r="P329" t="s">
        <v>24</v>
      </c>
      <c r="Q329" t="s">
        <v>44</v>
      </c>
      <c r="R329" t="s">
        <v>26</v>
      </c>
      <c r="S329" t="s">
        <v>37</v>
      </c>
      <c r="T329" t="s">
        <v>35</v>
      </c>
      <c r="U329">
        <f t="shared" si="5"/>
        <v>1</v>
      </c>
    </row>
    <row r="330" spans="1:21" x14ac:dyDescent="0.2">
      <c r="A330">
        <v>631</v>
      </c>
      <c r="B330" t="s">
        <v>42</v>
      </c>
      <c r="C330" t="s">
        <v>32</v>
      </c>
      <c r="D330">
        <v>34</v>
      </c>
      <c r="E330">
        <v>4</v>
      </c>
      <c r="F330">
        <v>124379.14</v>
      </c>
      <c r="G330">
        <v>1</v>
      </c>
      <c r="H330" t="s">
        <v>22</v>
      </c>
      <c r="I330" t="s">
        <v>23</v>
      </c>
      <c r="J330">
        <v>106892.91</v>
      </c>
      <c r="K330" t="s">
        <v>23</v>
      </c>
      <c r="L330">
        <v>0.23872685254106421</v>
      </c>
      <c r="M330" t="s">
        <v>23</v>
      </c>
      <c r="N330">
        <v>0</v>
      </c>
      <c r="O330">
        <v>0</v>
      </c>
      <c r="P330" t="s">
        <v>24</v>
      </c>
      <c r="Q330" t="s">
        <v>33</v>
      </c>
      <c r="R330" t="s">
        <v>26</v>
      </c>
      <c r="S330" t="s">
        <v>27</v>
      </c>
      <c r="T330" t="s">
        <v>28</v>
      </c>
      <c r="U330">
        <f t="shared" si="5"/>
        <v>1</v>
      </c>
    </row>
    <row r="331" spans="1:21" x14ac:dyDescent="0.2">
      <c r="A331">
        <v>570</v>
      </c>
      <c r="B331" t="s">
        <v>41</v>
      </c>
      <c r="C331" t="s">
        <v>32</v>
      </c>
      <c r="D331">
        <v>50</v>
      </c>
      <c r="E331">
        <v>5</v>
      </c>
      <c r="F331">
        <v>129293.74</v>
      </c>
      <c r="G331">
        <v>1</v>
      </c>
      <c r="H331" t="s">
        <v>22</v>
      </c>
      <c r="I331" t="s">
        <v>23</v>
      </c>
      <c r="J331">
        <v>177805.44</v>
      </c>
      <c r="K331" t="s">
        <v>22</v>
      </c>
      <c r="L331">
        <v>0.70837127871019301</v>
      </c>
      <c r="M331" t="s">
        <v>22</v>
      </c>
      <c r="N331">
        <v>1</v>
      </c>
      <c r="O331">
        <v>1</v>
      </c>
      <c r="P331" t="s">
        <v>43</v>
      </c>
      <c r="Q331" t="s">
        <v>25</v>
      </c>
      <c r="R331" t="s">
        <v>26</v>
      </c>
      <c r="S331" t="s">
        <v>30</v>
      </c>
      <c r="T331" t="s">
        <v>31</v>
      </c>
      <c r="U331">
        <f t="shared" si="5"/>
        <v>1</v>
      </c>
    </row>
    <row r="332" spans="1:21" x14ac:dyDescent="0.2">
      <c r="A332">
        <v>581</v>
      </c>
      <c r="B332" t="s">
        <v>41</v>
      </c>
      <c r="C332" t="s">
        <v>21</v>
      </c>
      <c r="D332">
        <v>31</v>
      </c>
      <c r="E332">
        <v>6</v>
      </c>
      <c r="F332">
        <v>116891.72</v>
      </c>
      <c r="G332">
        <v>1</v>
      </c>
      <c r="H332" t="s">
        <v>22</v>
      </c>
      <c r="I332" t="s">
        <v>23</v>
      </c>
      <c r="J332">
        <v>107137.3</v>
      </c>
      <c r="K332" t="s">
        <v>23</v>
      </c>
      <c r="L332">
        <v>0.2377709287382257</v>
      </c>
      <c r="M332" t="s">
        <v>23</v>
      </c>
      <c r="N332">
        <v>0</v>
      </c>
      <c r="O332">
        <v>0</v>
      </c>
      <c r="P332" t="s">
        <v>24</v>
      </c>
      <c r="Q332" t="s">
        <v>33</v>
      </c>
      <c r="R332" t="s">
        <v>26</v>
      </c>
      <c r="S332" t="s">
        <v>30</v>
      </c>
      <c r="T332" t="s">
        <v>28</v>
      </c>
      <c r="U332">
        <f t="shared" si="5"/>
        <v>1</v>
      </c>
    </row>
    <row r="333" spans="1:21" x14ac:dyDescent="0.2">
      <c r="A333">
        <v>748</v>
      </c>
      <c r="B333" t="s">
        <v>42</v>
      </c>
      <c r="C333" t="s">
        <v>21</v>
      </c>
      <c r="D333">
        <v>44</v>
      </c>
      <c r="E333">
        <v>2</v>
      </c>
      <c r="F333">
        <v>92911.52</v>
      </c>
      <c r="G333">
        <v>1</v>
      </c>
      <c r="H333" t="s">
        <v>23</v>
      </c>
      <c r="I333" t="s">
        <v>22</v>
      </c>
      <c r="J333">
        <v>85495.24</v>
      </c>
      <c r="K333" t="s">
        <v>23</v>
      </c>
      <c r="L333">
        <v>0.103416934075182</v>
      </c>
      <c r="M333" t="s">
        <v>23</v>
      </c>
      <c r="N333">
        <v>0</v>
      </c>
      <c r="O333">
        <v>0</v>
      </c>
      <c r="P333" t="s">
        <v>34</v>
      </c>
      <c r="Q333" t="s">
        <v>25</v>
      </c>
      <c r="R333" t="s">
        <v>38</v>
      </c>
      <c r="S333" t="s">
        <v>37</v>
      </c>
      <c r="T333" t="s">
        <v>40</v>
      </c>
      <c r="U333">
        <f t="shared" si="5"/>
        <v>1</v>
      </c>
    </row>
    <row r="334" spans="1:21" x14ac:dyDescent="0.2">
      <c r="A334">
        <v>712</v>
      </c>
      <c r="B334" t="s">
        <v>42</v>
      </c>
      <c r="C334" t="s">
        <v>32</v>
      </c>
      <c r="D334">
        <v>42</v>
      </c>
      <c r="E334">
        <v>1</v>
      </c>
      <c r="F334">
        <v>87842.98</v>
      </c>
      <c r="G334">
        <v>1</v>
      </c>
      <c r="H334" t="s">
        <v>23</v>
      </c>
      <c r="I334" t="s">
        <v>23</v>
      </c>
      <c r="J334">
        <v>92223.59</v>
      </c>
      <c r="K334" t="s">
        <v>23</v>
      </c>
      <c r="L334">
        <v>0.3463483215377044</v>
      </c>
      <c r="M334" t="s">
        <v>23</v>
      </c>
      <c r="N334">
        <v>0</v>
      </c>
      <c r="O334">
        <v>0</v>
      </c>
      <c r="P334" t="s">
        <v>24</v>
      </c>
      <c r="Q334" t="s">
        <v>25</v>
      </c>
      <c r="R334" t="s">
        <v>38</v>
      </c>
      <c r="S334" t="s">
        <v>37</v>
      </c>
      <c r="T334" t="s">
        <v>40</v>
      </c>
      <c r="U334">
        <f t="shared" si="5"/>
        <v>1</v>
      </c>
    </row>
    <row r="335" spans="1:21" x14ac:dyDescent="0.2">
      <c r="A335">
        <v>682</v>
      </c>
      <c r="B335" t="s">
        <v>20</v>
      </c>
      <c r="C335" t="s">
        <v>21</v>
      </c>
      <c r="D335">
        <v>36</v>
      </c>
      <c r="E335">
        <v>5</v>
      </c>
      <c r="F335">
        <v>0</v>
      </c>
      <c r="G335">
        <v>2</v>
      </c>
      <c r="H335" t="s">
        <v>22</v>
      </c>
      <c r="I335" t="s">
        <v>22</v>
      </c>
      <c r="J335">
        <v>147758.51</v>
      </c>
      <c r="K335" t="s">
        <v>23</v>
      </c>
      <c r="L335">
        <v>4.4412286766270237E-2</v>
      </c>
      <c r="M335" t="s">
        <v>23</v>
      </c>
      <c r="N335">
        <v>0</v>
      </c>
      <c r="O335">
        <v>0</v>
      </c>
      <c r="P335" t="s">
        <v>34</v>
      </c>
      <c r="Q335" t="s">
        <v>33</v>
      </c>
      <c r="R335" t="s">
        <v>29</v>
      </c>
      <c r="S335" t="s">
        <v>27</v>
      </c>
      <c r="T335" t="s">
        <v>28</v>
      </c>
      <c r="U335">
        <f t="shared" si="5"/>
        <v>1</v>
      </c>
    </row>
    <row r="336" spans="1:21" x14ac:dyDescent="0.2">
      <c r="A336">
        <v>850</v>
      </c>
      <c r="B336" t="s">
        <v>20</v>
      </c>
      <c r="C336" t="s">
        <v>21</v>
      </c>
      <c r="D336">
        <v>37</v>
      </c>
      <c r="E336">
        <v>4</v>
      </c>
      <c r="F336">
        <v>137204.76999999999</v>
      </c>
      <c r="G336">
        <v>1</v>
      </c>
      <c r="H336" t="s">
        <v>22</v>
      </c>
      <c r="I336" t="s">
        <v>22</v>
      </c>
      <c r="J336">
        <v>28865.59</v>
      </c>
      <c r="K336" t="s">
        <v>23</v>
      </c>
      <c r="L336">
        <v>6.3053594894337761E-2</v>
      </c>
      <c r="M336" t="s">
        <v>23</v>
      </c>
      <c r="N336">
        <v>0</v>
      </c>
      <c r="O336">
        <v>0</v>
      </c>
      <c r="P336" t="s">
        <v>34</v>
      </c>
      <c r="Q336" t="s">
        <v>33</v>
      </c>
      <c r="R336" t="s">
        <v>26</v>
      </c>
      <c r="S336" t="s">
        <v>39</v>
      </c>
      <c r="T336" t="s">
        <v>35</v>
      </c>
      <c r="U336">
        <f t="shared" si="5"/>
        <v>1</v>
      </c>
    </row>
    <row r="337" spans="1:21" x14ac:dyDescent="0.2">
      <c r="A337">
        <v>591</v>
      </c>
      <c r="B337" t="s">
        <v>20</v>
      </c>
      <c r="C337" t="s">
        <v>21</v>
      </c>
      <c r="D337">
        <v>31</v>
      </c>
      <c r="E337">
        <v>8</v>
      </c>
      <c r="F337">
        <v>0</v>
      </c>
      <c r="G337">
        <v>1</v>
      </c>
      <c r="H337" t="s">
        <v>22</v>
      </c>
      <c r="I337" t="s">
        <v>22</v>
      </c>
      <c r="J337">
        <v>141677.32999999999</v>
      </c>
      <c r="K337" t="s">
        <v>23</v>
      </c>
      <c r="L337">
        <v>3.4392169677023993E-2</v>
      </c>
      <c r="M337" t="s">
        <v>23</v>
      </c>
      <c r="N337">
        <v>0</v>
      </c>
      <c r="O337">
        <v>0</v>
      </c>
      <c r="P337" t="s">
        <v>34</v>
      </c>
      <c r="Q337" t="s">
        <v>33</v>
      </c>
      <c r="R337" t="s">
        <v>29</v>
      </c>
      <c r="S337" t="s">
        <v>30</v>
      </c>
      <c r="T337" t="s">
        <v>28</v>
      </c>
      <c r="U337">
        <f t="shared" si="5"/>
        <v>1</v>
      </c>
    </row>
    <row r="338" spans="1:21" x14ac:dyDescent="0.2">
      <c r="A338">
        <v>648</v>
      </c>
      <c r="B338" t="s">
        <v>20</v>
      </c>
      <c r="C338" t="s">
        <v>21</v>
      </c>
      <c r="D338">
        <v>32</v>
      </c>
      <c r="E338">
        <v>8</v>
      </c>
      <c r="F338">
        <v>0</v>
      </c>
      <c r="G338">
        <v>1</v>
      </c>
      <c r="H338" t="s">
        <v>22</v>
      </c>
      <c r="I338" t="s">
        <v>23</v>
      </c>
      <c r="J338">
        <v>133653.38</v>
      </c>
      <c r="K338" t="s">
        <v>23</v>
      </c>
      <c r="L338">
        <v>9.8409692769262341E-2</v>
      </c>
      <c r="M338" t="s">
        <v>23</v>
      </c>
      <c r="N338">
        <v>0</v>
      </c>
      <c r="O338">
        <v>0</v>
      </c>
      <c r="P338" t="s">
        <v>34</v>
      </c>
      <c r="Q338" t="s">
        <v>33</v>
      </c>
      <c r="R338" t="s">
        <v>29</v>
      </c>
      <c r="S338" t="s">
        <v>27</v>
      </c>
      <c r="T338" t="s">
        <v>28</v>
      </c>
      <c r="U338">
        <f t="shared" si="5"/>
        <v>1</v>
      </c>
    </row>
    <row r="339" spans="1:21" x14ac:dyDescent="0.2">
      <c r="A339">
        <v>676</v>
      </c>
      <c r="B339" t="s">
        <v>20</v>
      </c>
      <c r="C339" t="s">
        <v>32</v>
      </c>
      <c r="D339">
        <v>36</v>
      </c>
      <c r="E339">
        <v>4</v>
      </c>
      <c r="F339">
        <v>0</v>
      </c>
      <c r="G339">
        <v>2</v>
      </c>
      <c r="H339" t="s">
        <v>22</v>
      </c>
      <c r="I339" t="s">
        <v>22</v>
      </c>
      <c r="J339">
        <v>3173.31</v>
      </c>
      <c r="K339" t="s">
        <v>23</v>
      </c>
      <c r="L339">
        <v>7.0548947560833616E-2</v>
      </c>
      <c r="M339" t="s">
        <v>23</v>
      </c>
      <c r="N339">
        <v>0</v>
      </c>
      <c r="O339">
        <v>0</v>
      </c>
      <c r="P339" t="s">
        <v>34</v>
      </c>
      <c r="Q339" t="s">
        <v>33</v>
      </c>
      <c r="R339" t="s">
        <v>29</v>
      </c>
      <c r="S339" t="s">
        <v>27</v>
      </c>
      <c r="T339" t="s">
        <v>35</v>
      </c>
      <c r="U339">
        <f t="shared" si="5"/>
        <v>1</v>
      </c>
    </row>
    <row r="340" spans="1:21" x14ac:dyDescent="0.2">
      <c r="A340">
        <v>637</v>
      </c>
      <c r="B340" t="s">
        <v>42</v>
      </c>
      <c r="C340" t="s">
        <v>21</v>
      </c>
      <c r="D340">
        <v>33</v>
      </c>
      <c r="E340">
        <v>0</v>
      </c>
      <c r="F340">
        <v>132255.99</v>
      </c>
      <c r="G340">
        <v>2</v>
      </c>
      <c r="H340" t="s">
        <v>23</v>
      </c>
      <c r="I340" t="s">
        <v>22</v>
      </c>
      <c r="J340">
        <v>74588.41</v>
      </c>
      <c r="K340" t="s">
        <v>23</v>
      </c>
      <c r="L340">
        <v>5.3907867793254051E-2</v>
      </c>
      <c r="M340" t="s">
        <v>23</v>
      </c>
      <c r="N340">
        <v>0</v>
      </c>
      <c r="O340">
        <v>0</v>
      </c>
      <c r="P340" t="s">
        <v>34</v>
      </c>
      <c r="Q340" t="s">
        <v>33</v>
      </c>
      <c r="R340" t="s">
        <v>26</v>
      </c>
      <c r="S340" t="s">
        <v>27</v>
      </c>
      <c r="T340" t="s">
        <v>40</v>
      </c>
      <c r="U340">
        <f t="shared" si="5"/>
        <v>1</v>
      </c>
    </row>
    <row r="341" spans="1:21" x14ac:dyDescent="0.2">
      <c r="A341">
        <v>601</v>
      </c>
      <c r="B341" t="s">
        <v>20</v>
      </c>
      <c r="C341" t="s">
        <v>32</v>
      </c>
      <c r="D341">
        <v>44</v>
      </c>
      <c r="E341">
        <v>4</v>
      </c>
      <c r="F341">
        <v>0</v>
      </c>
      <c r="G341">
        <v>2</v>
      </c>
      <c r="H341" t="s">
        <v>22</v>
      </c>
      <c r="I341" t="s">
        <v>23</v>
      </c>
      <c r="J341">
        <v>58561.31</v>
      </c>
      <c r="K341" t="s">
        <v>23</v>
      </c>
      <c r="L341">
        <v>0.30713173981266489</v>
      </c>
      <c r="M341" t="s">
        <v>23</v>
      </c>
      <c r="N341">
        <v>0</v>
      </c>
      <c r="O341">
        <v>0</v>
      </c>
      <c r="P341" t="s">
        <v>24</v>
      </c>
      <c r="Q341" t="s">
        <v>25</v>
      </c>
      <c r="R341" t="s">
        <v>29</v>
      </c>
      <c r="S341" t="s">
        <v>27</v>
      </c>
      <c r="T341" t="s">
        <v>40</v>
      </c>
      <c r="U341">
        <f t="shared" si="5"/>
        <v>1</v>
      </c>
    </row>
    <row r="342" spans="1:21" x14ac:dyDescent="0.2">
      <c r="A342">
        <v>715</v>
      </c>
      <c r="B342" t="s">
        <v>42</v>
      </c>
      <c r="C342" t="s">
        <v>21</v>
      </c>
      <c r="D342">
        <v>23</v>
      </c>
      <c r="E342">
        <v>7</v>
      </c>
      <c r="F342">
        <v>139224.92000000001</v>
      </c>
      <c r="G342">
        <v>2</v>
      </c>
      <c r="H342" t="s">
        <v>22</v>
      </c>
      <c r="I342" t="s">
        <v>23</v>
      </c>
      <c r="J342">
        <v>65057.71</v>
      </c>
      <c r="K342" t="s">
        <v>23</v>
      </c>
      <c r="L342">
        <v>6.1391452888975663E-2</v>
      </c>
      <c r="M342" t="s">
        <v>23</v>
      </c>
      <c r="N342">
        <v>0</v>
      </c>
      <c r="O342">
        <v>0</v>
      </c>
      <c r="P342" t="s">
        <v>34</v>
      </c>
      <c r="Q342" t="s">
        <v>36</v>
      </c>
      <c r="R342" t="s">
        <v>26</v>
      </c>
      <c r="S342" t="s">
        <v>37</v>
      </c>
      <c r="T342" t="s">
        <v>40</v>
      </c>
      <c r="U342">
        <f t="shared" si="5"/>
        <v>1</v>
      </c>
    </row>
    <row r="343" spans="1:21" x14ac:dyDescent="0.2">
      <c r="A343">
        <v>695</v>
      </c>
      <c r="B343" t="s">
        <v>42</v>
      </c>
      <c r="C343" t="s">
        <v>32</v>
      </c>
      <c r="D343">
        <v>42</v>
      </c>
      <c r="E343">
        <v>7</v>
      </c>
      <c r="F343">
        <v>121453.63</v>
      </c>
      <c r="G343">
        <v>1</v>
      </c>
      <c r="H343" t="s">
        <v>23</v>
      </c>
      <c r="I343" t="s">
        <v>23</v>
      </c>
      <c r="J343">
        <v>46374.64</v>
      </c>
      <c r="K343" t="s">
        <v>23</v>
      </c>
      <c r="L343">
        <v>0.33612156853650638</v>
      </c>
      <c r="M343" t="s">
        <v>23</v>
      </c>
      <c r="N343">
        <v>0</v>
      </c>
      <c r="O343">
        <v>0</v>
      </c>
      <c r="P343" t="s">
        <v>24</v>
      </c>
      <c r="Q343" t="s">
        <v>25</v>
      </c>
      <c r="R343" t="s">
        <v>26</v>
      </c>
      <c r="S343" t="s">
        <v>27</v>
      </c>
      <c r="T343" t="s">
        <v>35</v>
      </c>
      <c r="U343">
        <f t="shared" si="5"/>
        <v>1</v>
      </c>
    </row>
    <row r="344" spans="1:21" x14ac:dyDescent="0.2">
      <c r="A344">
        <v>747</v>
      </c>
      <c r="B344" t="s">
        <v>42</v>
      </c>
      <c r="C344" t="s">
        <v>32</v>
      </c>
      <c r="D344">
        <v>25</v>
      </c>
      <c r="E344">
        <v>4</v>
      </c>
      <c r="F344">
        <v>0</v>
      </c>
      <c r="G344">
        <v>2</v>
      </c>
      <c r="H344" t="s">
        <v>23</v>
      </c>
      <c r="I344" t="s">
        <v>22</v>
      </c>
      <c r="J344">
        <v>42039.67</v>
      </c>
      <c r="K344" t="s">
        <v>23</v>
      </c>
      <c r="L344">
        <v>3.1497825414315388E-2</v>
      </c>
      <c r="M344" t="s">
        <v>23</v>
      </c>
      <c r="N344">
        <v>0</v>
      </c>
      <c r="O344">
        <v>0</v>
      </c>
      <c r="P344" t="s">
        <v>34</v>
      </c>
      <c r="Q344" t="s">
        <v>36</v>
      </c>
      <c r="R344" t="s">
        <v>29</v>
      </c>
      <c r="S344" t="s">
        <v>37</v>
      </c>
      <c r="T344" t="s">
        <v>35</v>
      </c>
      <c r="U344">
        <f t="shared" si="5"/>
        <v>1</v>
      </c>
    </row>
    <row r="345" spans="1:21" x14ac:dyDescent="0.2">
      <c r="A345">
        <v>674</v>
      </c>
      <c r="B345" t="s">
        <v>41</v>
      </c>
      <c r="C345" t="s">
        <v>21</v>
      </c>
      <c r="D345">
        <v>34</v>
      </c>
      <c r="E345">
        <v>2</v>
      </c>
      <c r="F345">
        <v>152797.9</v>
      </c>
      <c r="G345">
        <v>1</v>
      </c>
      <c r="H345" t="s">
        <v>22</v>
      </c>
      <c r="I345" t="s">
        <v>23</v>
      </c>
      <c r="J345">
        <v>175709.4</v>
      </c>
      <c r="K345" t="s">
        <v>22</v>
      </c>
      <c r="L345">
        <v>0.31071691620430608</v>
      </c>
      <c r="M345" t="s">
        <v>23</v>
      </c>
      <c r="N345">
        <v>1</v>
      </c>
      <c r="O345">
        <v>0</v>
      </c>
      <c r="P345" t="s">
        <v>24</v>
      </c>
      <c r="Q345" t="s">
        <v>33</v>
      </c>
      <c r="R345" t="s">
        <v>47</v>
      </c>
      <c r="S345" t="s">
        <v>27</v>
      </c>
      <c r="T345" t="s">
        <v>31</v>
      </c>
      <c r="U345">
        <f t="shared" si="5"/>
        <v>0</v>
      </c>
    </row>
    <row r="346" spans="1:21" x14ac:dyDescent="0.2">
      <c r="A346">
        <v>642</v>
      </c>
      <c r="B346" t="s">
        <v>41</v>
      </c>
      <c r="C346" t="s">
        <v>32</v>
      </c>
      <c r="D346">
        <v>30</v>
      </c>
      <c r="E346">
        <v>5</v>
      </c>
      <c r="F346">
        <v>129753.69</v>
      </c>
      <c r="G346">
        <v>1</v>
      </c>
      <c r="H346" t="s">
        <v>22</v>
      </c>
      <c r="I346" t="s">
        <v>23</v>
      </c>
      <c r="J346">
        <v>582.53</v>
      </c>
      <c r="K346" t="s">
        <v>23</v>
      </c>
      <c r="L346">
        <v>0.32296416953205148</v>
      </c>
      <c r="M346" t="s">
        <v>23</v>
      </c>
      <c r="N346">
        <v>0</v>
      </c>
      <c r="O346">
        <v>0</v>
      </c>
      <c r="P346" t="s">
        <v>24</v>
      </c>
      <c r="Q346" t="s">
        <v>36</v>
      </c>
      <c r="R346" t="s">
        <v>26</v>
      </c>
      <c r="S346" t="s">
        <v>27</v>
      </c>
      <c r="T346" t="s">
        <v>35</v>
      </c>
      <c r="U346">
        <f t="shared" si="5"/>
        <v>1</v>
      </c>
    </row>
    <row r="347" spans="1:21" x14ac:dyDescent="0.2">
      <c r="A347">
        <v>758</v>
      </c>
      <c r="B347" t="s">
        <v>42</v>
      </c>
      <c r="C347" t="s">
        <v>32</v>
      </c>
      <c r="D347">
        <v>34</v>
      </c>
      <c r="E347">
        <v>1</v>
      </c>
      <c r="F347">
        <v>154139.45000000001</v>
      </c>
      <c r="G347">
        <v>1</v>
      </c>
      <c r="H347" t="s">
        <v>22</v>
      </c>
      <c r="I347" t="s">
        <v>22</v>
      </c>
      <c r="J347">
        <v>60728.89</v>
      </c>
      <c r="K347" t="s">
        <v>23</v>
      </c>
      <c r="L347">
        <v>9.7369862780286753E-2</v>
      </c>
      <c r="M347" t="s">
        <v>23</v>
      </c>
      <c r="N347">
        <v>0</v>
      </c>
      <c r="O347">
        <v>0</v>
      </c>
      <c r="P347" t="s">
        <v>34</v>
      </c>
      <c r="Q347" t="s">
        <v>33</v>
      </c>
      <c r="R347" t="s">
        <v>47</v>
      </c>
      <c r="S347" t="s">
        <v>37</v>
      </c>
      <c r="T347" t="s">
        <v>40</v>
      </c>
      <c r="U347">
        <f t="shared" si="5"/>
        <v>1</v>
      </c>
    </row>
    <row r="348" spans="1:21" x14ac:dyDescent="0.2">
      <c r="A348">
        <v>611</v>
      </c>
      <c r="B348" t="s">
        <v>42</v>
      </c>
      <c r="C348" t="s">
        <v>21</v>
      </c>
      <c r="D348">
        <v>40</v>
      </c>
      <c r="E348">
        <v>1</v>
      </c>
      <c r="F348">
        <v>0</v>
      </c>
      <c r="G348">
        <v>2</v>
      </c>
      <c r="H348" t="s">
        <v>22</v>
      </c>
      <c r="I348" t="s">
        <v>22</v>
      </c>
      <c r="J348">
        <v>102547.56</v>
      </c>
      <c r="K348" t="s">
        <v>23</v>
      </c>
      <c r="L348">
        <v>6.248829990656616E-2</v>
      </c>
      <c r="M348" t="s">
        <v>23</v>
      </c>
      <c r="N348">
        <v>0</v>
      </c>
      <c r="O348">
        <v>0</v>
      </c>
      <c r="P348" t="s">
        <v>34</v>
      </c>
      <c r="Q348" t="s">
        <v>33</v>
      </c>
      <c r="R348" t="s">
        <v>29</v>
      </c>
      <c r="S348" t="s">
        <v>27</v>
      </c>
      <c r="T348" t="s">
        <v>28</v>
      </c>
      <c r="U348">
        <f t="shared" si="5"/>
        <v>1</v>
      </c>
    </row>
    <row r="349" spans="1:21" x14ac:dyDescent="0.2">
      <c r="A349">
        <v>760</v>
      </c>
      <c r="B349" t="s">
        <v>20</v>
      </c>
      <c r="C349" t="s">
        <v>21</v>
      </c>
      <c r="D349">
        <v>28</v>
      </c>
      <c r="E349">
        <v>1</v>
      </c>
      <c r="F349">
        <v>141038.57</v>
      </c>
      <c r="G349">
        <v>2</v>
      </c>
      <c r="H349" t="s">
        <v>23</v>
      </c>
      <c r="I349" t="s">
        <v>23</v>
      </c>
      <c r="J349">
        <v>16287.38</v>
      </c>
      <c r="K349" t="s">
        <v>23</v>
      </c>
      <c r="L349">
        <v>9.7832977169065513E-2</v>
      </c>
      <c r="M349" t="s">
        <v>23</v>
      </c>
      <c r="N349">
        <v>0</v>
      </c>
      <c r="O349">
        <v>0</v>
      </c>
      <c r="P349" t="s">
        <v>34</v>
      </c>
      <c r="Q349" t="s">
        <v>36</v>
      </c>
      <c r="R349" t="s">
        <v>26</v>
      </c>
      <c r="S349" t="s">
        <v>37</v>
      </c>
      <c r="T349" t="s">
        <v>35</v>
      </c>
      <c r="U349">
        <f t="shared" si="5"/>
        <v>1</v>
      </c>
    </row>
    <row r="350" spans="1:21" x14ac:dyDescent="0.2">
      <c r="A350">
        <v>725</v>
      </c>
      <c r="B350" t="s">
        <v>20</v>
      </c>
      <c r="C350" t="s">
        <v>32</v>
      </c>
      <c r="D350">
        <v>36</v>
      </c>
      <c r="E350">
        <v>4</v>
      </c>
      <c r="F350">
        <v>118520.26</v>
      </c>
      <c r="G350">
        <v>1</v>
      </c>
      <c r="H350" t="s">
        <v>23</v>
      </c>
      <c r="I350" t="s">
        <v>23</v>
      </c>
      <c r="J350">
        <v>131173.9</v>
      </c>
      <c r="K350" t="s">
        <v>22</v>
      </c>
      <c r="L350">
        <v>0.26742484557071988</v>
      </c>
      <c r="M350" t="s">
        <v>23</v>
      </c>
      <c r="N350">
        <v>1</v>
      </c>
      <c r="O350">
        <v>0</v>
      </c>
      <c r="P350" t="s">
        <v>24</v>
      </c>
      <c r="Q350" t="s">
        <v>33</v>
      </c>
      <c r="R350" t="s">
        <v>26</v>
      </c>
      <c r="S350" t="s">
        <v>37</v>
      </c>
      <c r="T350" t="s">
        <v>28</v>
      </c>
      <c r="U350">
        <f t="shared" si="5"/>
        <v>0</v>
      </c>
    </row>
    <row r="351" spans="1:21" x14ac:dyDescent="0.2">
      <c r="A351">
        <v>600</v>
      </c>
      <c r="B351" t="s">
        <v>42</v>
      </c>
      <c r="C351" t="s">
        <v>21</v>
      </c>
      <c r="D351">
        <v>37</v>
      </c>
      <c r="E351">
        <v>1</v>
      </c>
      <c r="F351">
        <v>142663.46</v>
      </c>
      <c r="G351">
        <v>1</v>
      </c>
      <c r="H351" t="s">
        <v>23</v>
      </c>
      <c r="I351" t="s">
        <v>22</v>
      </c>
      <c r="J351">
        <v>88669.89</v>
      </c>
      <c r="K351" t="s">
        <v>23</v>
      </c>
      <c r="L351">
        <v>8.1301056400764016E-2</v>
      </c>
      <c r="M351" t="s">
        <v>23</v>
      </c>
      <c r="N351">
        <v>0</v>
      </c>
      <c r="O351">
        <v>0</v>
      </c>
      <c r="P351" t="s">
        <v>34</v>
      </c>
      <c r="Q351" t="s">
        <v>33</v>
      </c>
      <c r="R351" t="s">
        <v>26</v>
      </c>
      <c r="S351" t="s">
        <v>30</v>
      </c>
      <c r="T351" t="s">
        <v>40</v>
      </c>
      <c r="U351">
        <f t="shared" si="5"/>
        <v>1</v>
      </c>
    </row>
    <row r="352" spans="1:21" x14ac:dyDescent="0.2">
      <c r="A352">
        <v>657</v>
      </c>
      <c r="B352" t="s">
        <v>42</v>
      </c>
      <c r="C352" t="s">
        <v>32</v>
      </c>
      <c r="D352">
        <v>41</v>
      </c>
      <c r="E352">
        <v>5</v>
      </c>
      <c r="F352">
        <v>95858.37</v>
      </c>
      <c r="G352">
        <v>1</v>
      </c>
      <c r="H352" t="s">
        <v>22</v>
      </c>
      <c r="I352" t="s">
        <v>22</v>
      </c>
      <c r="J352">
        <v>68255.88</v>
      </c>
      <c r="K352" t="s">
        <v>23</v>
      </c>
      <c r="L352">
        <v>0.13413161960010331</v>
      </c>
      <c r="M352" t="s">
        <v>23</v>
      </c>
      <c r="N352">
        <v>0</v>
      </c>
      <c r="O352">
        <v>0</v>
      </c>
      <c r="P352" t="s">
        <v>34</v>
      </c>
      <c r="Q352" t="s">
        <v>25</v>
      </c>
      <c r="R352" t="s">
        <v>38</v>
      </c>
      <c r="S352" t="s">
        <v>27</v>
      </c>
      <c r="T352" t="s">
        <v>40</v>
      </c>
      <c r="U352">
        <f t="shared" si="5"/>
        <v>1</v>
      </c>
    </row>
    <row r="353" spans="1:21" x14ac:dyDescent="0.2">
      <c r="A353">
        <v>658</v>
      </c>
      <c r="B353" t="s">
        <v>42</v>
      </c>
      <c r="C353" t="s">
        <v>21</v>
      </c>
      <c r="D353">
        <v>36</v>
      </c>
      <c r="E353">
        <v>8</v>
      </c>
      <c r="F353">
        <v>174060.46</v>
      </c>
      <c r="G353">
        <v>1</v>
      </c>
      <c r="H353" t="s">
        <v>22</v>
      </c>
      <c r="I353" t="s">
        <v>22</v>
      </c>
      <c r="J353">
        <v>94925.62</v>
      </c>
      <c r="K353" t="s">
        <v>23</v>
      </c>
      <c r="L353">
        <v>6.7559211554736501E-2</v>
      </c>
      <c r="M353" t="s">
        <v>23</v>
      </c>
      <c r="N353">
        <v>0</v>
      </c>
      <c r="O353">
        <v>0</v>
      </c>
      <c r="P353" t="s">
        <v>34</v>
      </c>
      <c r="Q353" t="s">
        <v>33</v>
      </c>
      <c r="R353" t="s">
        <v>47</v>
      </c>
      <c r="S353" t="s">
        <v>27</v>
      </c>
      <c r="T353" t="s">
        <v>40</v>
      </c>
      <c r="U353">
        <f t="shared" si="5"/>
        <v>1</v>
      </c>
    </row>
    <row r="354" spans="1:21" x14ac:dyDescent="0.2">
      <c r="A354">
        <v>697</v>
      </c>
      <c r="B354" t="s">
        <v>41</v>
      </c>
      <c r="C354" t="s">
        <v>32</v>
      </c>
      <c r="D354">
        <v>74</v>
      </c>
      <c r="E354">
        <v>3</v>
      </c>
      <c r="F354">
        <v>108071.36</v>
      </c>
      <c r="G354">
        <v>2</v>
      </c>
      <c r="H354" t="s">
        <v>22</v>
      </c>
      <c r="I354" t="s">
        <v>22</v>
      </c>
      <c r="J354">
        <v>16445.79</v>
      </c>
      <c r="K354" t="s">
        <v>23</v>
      </c>
      <c r="L354">
        <v>0.781804622373652</v>
      </c>
      <c r="M354" t="s">
        <v>22</v>
      </c>
      <c r="N354">
        <v>0</v>
      </c>
      <c r="O354">
        <v>1</v>
      </c>
      <c r="P354" t="s">
        <v>43</v>
      </c>
      <c r="Q354" t="s">
        <v>46</v>
      </c>
      <c r="R354" t="s">
        <v>26</v>
      </c>
      <c r="S354" t="s">
        <v>27</v>
      </c>
      <c r="T354" t="s">
        <v>35</v>
      </c>
      <c r="U354">
        <f t="shared" si="5"/>
        <v>0</v>
      </c>
    </row>
    <row r="355" spans="1:21" x14ac:dyDescent="0.2">
      <c r="A355">
        <v>850</v>
      </c>
      <c r="B355" t="s">
        <v>20</v>
      </c>
      <c r="C355" t="s">
        <v>32</v>
      </c>
      <c r="D355">
        <v>39</v>
      </c>
      <c r="E355">
        <v>10</v>
      </c>
      <c r="F355">
        <v>0</v>
      </c>
      <c r="G355">
        <v>2</v>
      </c>
      <c r="H355" t="s">
        <v>22</v>
      </c>
      <c r="I355" t="s">
        <v>22</v>
      </c>
      <c r="J355">
        <v>143030.09</v>
      </c>
      <c r="K355" t="s">
        <v>23</v>
      </c>
      <c r="L355">
        <v>7.4657501938442866E-2</v>
      </c>
      <c r="M355" t="s">
        <v>23</v>
      </c>
      <c r="N355">
        <v>0</v>
      </c>
      <c r="O355">
        <v>0</v>
      </c>
      <c r="P355" t="s">
        <v>34</v>
      </c>
      <c r="Q355" t="s">
        <v>33</v>
      </c>
      <c r="R355" t="s">
        <v>29</v>
      </c>
      <c r="S355" t="s">
        <v>39</v>
      </c>
      <c r="T355" t="s">
        <v>28</v>
      </c>
      <c r="U355">
        <f t="shared" si="5"/>
        <v>1</v>
      </c>
    </row>
    <row r="356" spans="1:21" x14ac:dyDescent="0.2">
      <c r="A356">
        <v>713</v>
      </c>
      <c r="B356" t="s">
        <v>42</v>
      </c>
      <c r="C356" t="s">
        <v>32</v>
      </c>
      <c r="D356">
        <v>59</v>
      </c>
      <c r="E356">
        <v>3</v>
      </c>
      <c r="F356">
        <v>0</v>
      </c>
      <c r="G356">
        <v>2</v>
      </c>
      <c r="H356" t="s">
        <v>22</v>
      </c>
      <c r="I356" t="s">
        <v>22</v>
      </c>
      <c r="J356">
        <v>62700.08</v>
      </c>
      <c r="K356" t="s">
        <v>23</v>
      </c>
      <c r="L356">
        <v>0.29164795316407199</v>
      </c>
      <c r="M356" t="s">
        <v>23</v>
      </c>
      <c r="N356">
        <v>0</v>
      </c>
      <c r="O356">
        <v>0</v>
      </c>
      <c r="P356" t="s">
        <v>24</v>
      </c>
      <c r="Q356" t="s">
        <v>44</v>
      </c>
      <c r="R356" t="s">
        <v>29</v>
      </c>
      <c r="S356" t="s">
        <v>37</v>
      </c>
      <c r="T356" t="s">
        <v>40</v>
      </c>
      <c r="U356">
        <f t="shared" si="5"/>
        <v>1</v>
      </c>
    </row>
    <row r="357" spans="1:21" x14ac:dyDescent="0.2">
      <c r="A357">
        <v>769</v>
      </c>
      <c r="B357" t="s">
        <v>41</v>
      </c>
      <c r="C357" t="s">
        <v>32</v>
      </c>
      <c r="D357">
        <v>31</v>
      </c>
      <c r="E357">
        <v>7</v>
      </c>
      <c r="F357">
        <v>148913.72</v>
      </c>
      <c r="G357">
        <v>2</v>
      </c>
      <c r="H357" t="s">
        <v>22</v>
      </c>
      <c r="I357" t="s">
        <v>23</v>
      </c>
      <c r="J357">
        <v>53817.23</v>
      </c>
      <c r="K357" t="s">
        <v>23</v>
      </c>
      <c r="L357">
        <v>0.30621824114551283</v>
      </c>
      <c r="M357" t="s">
        <v>23</v>
      </c>
      <c r="N357">
        <v>0</v>
      </c>
      <c r="O357">
        <v>0</v>
      </c>
      <c r="P357" t="s">
        <v>24</v>
      </c>
      <c r="Q357" t="s">
        <v>33</v>
      </c>
      <c r="R357" t="s">
        <v>26</v>
      </c>
      <c r="S357" t="s">
        <v>37</v>
      </c>
      <c r="T357" t="s">
        <v>40</v>
      </c>
      <c r="U357">
        <f t="shared" si="5"/>
        <v>1</v>
      </c>
    </row>
    <row r="358" spans="1:21" x14ac:dyDescent="0.2">
      <c r="A358">
        <v>850</v>
      </c>
      <c r="B358" t="s">
        <v>41</v>
      </c>
      <c r="C358" t="s">
        <v>32</v>
      </c>
      <c r="D358">
        <v>33</v>
      </c>
      <c r="E358">
        <v>7</v>
      </c>
      <c r="F358">
        <v>134678.13</v>
      </c>
      <c r="G358">
        <v>1</v>
      </c>
      <c r="H358" t="s">
        <v>22</v>
      </c>
      <c r="I358" t="s">
        <v>23</v>
      </c>
      <c r="J358">
        <v>113177.95</v>
      </c>
      <c r="K358" t="s">
        <v>23</v>
      </c>
      <c r="L358">
        <v>0.34841231607777401</v>
      </c>
      <c r="M358" t="s">
        <v>23</v>
      </c>
      <c r="N358">
        <v>0</v>
      </c>
      <c r="O358">
        <v>0</v>
      </c>
      <c r="P358" t="s">
        <v>24</v>
      </c>
      <c r="Q358" t="s">
        <v>33</v>
      </c>
      <c r="R358" t="s">
        <v>26</v>
      </c>
      <c r="S358" t="s">
        <v>39</v>
      </c>
      <c r="T358" t="s">
        <v>28</v>
      </c>
      <c r="U358">
        <f t="shared" si="5"/>
        <v>1</v>
      </c>
    </row>
    <row r="359" spans="1:21" x14ac:dyDescent="0.2">
      <c r="A359">
        <v>628</v>
      </c>
      <c r="B359" t="s">
        <v>41</v>
      </c>
      <c r="C359" t="s">
        <v>32</v>
      </c>
      <c r="D359">
        <v>36</v>
      </c>
      <c r="E359">
        <v>3</v>
      </c>
      <c r="F359">
        <v>91286.51</v>
      </c>
      <c r="G359">
        <v>1</v>
      </c>
      <c r="H359" t="s">
        <v>22</v>
      </c>
      <c r="I359" t="s">
        <v>23</v>
      </c>
      <c r="J359">
        <v>63085.94</v>
      </c>
      <c r="K359" t="s">
        <v>23</v>
      </c>
      <c r="L359">
        <v>0.42270332388020337</v>
      </c>
      <c r="M359" t="s">
        <v>23</v>
      </c>
      <c r="N359">
        <v>0</v>
      </c>
      <c r="O359">
        <v>0</v>
      </c>
      <c r="P359" t="s">
        <v>24</v>
      </c>
      <c r="Q359" t="s">
        <v>33</v>
      </c>
      <c r="R359" t="s">
        <v>38</v>
      </c>
      <c r="S359" t="s">
        <v>27</v>
      </c>
      <c r="T359" t="s">
        <v>40</v>
      </c>
      <c r="U359">
        <f t="shared" si="5"/>
        <v>1</v>
      </c>
    </row>
    <row r="360" spans="1:21" x14ac:dyDescent="0.2">
      <c r="A360">
        <v>633</v>
      </c>
      <c r="B360" t="s">
        <v>20</v>
      </c>
      <c r="C360" t="s">
        <v>21</v>
      </c>
      <c r="D360">
        <v>32</v>
      </c>
      <c r="E360">
        <v>5</v>
      </c>
      <c r="F360">
        <v>163340.12</v>
      </c>
      <c r="G360">
        <v>2</v>
      </c>
      <c r="H360" t="s">
        <v>22</v>
      </c>
      <c r="I360" t="s">
        <v>22</v>
      </c>
      <c r="J360">
        <v>74415.199999999997</v>
      </c>
      <c r="K360" t="s">
        <v>23</v>
      </c>
      <c r="L360">
        <v>4.9805110992566973E-2</v>
      </c>
      <c r="M360" t="s">
        <v>23</v>
      </c>
      <c r="N360">
        <v>0</v>
      </c>
      <c r="O360">
        <v>0</v>
      </c>
      <c r="P360" t="s">
        <v>34</v>
      </c>
      <c r="Q360" t="s">
        <v>33</v>
      </c>
      <c r="R360" t="s">
        <v>47</v>
      </c>
      <c r="S360" t="s">
        <v>27</v>
      </c>
      <c r="T360" t="s">
        <v>40</v>
      </c>
      <c r="U360">
        <f t="shared" si="5"/>
        <v>1</v>
      </c>
    </row>
    <row r="361" spans="1:21" x14ac:dyDescent="0.2">
      <c r="A361">
        <v>630</v>
      </c>
      <c r="B361" t="s">
        <v>20</v>
      </c>
      <c r="C361" t="s">
        <v>21</v>
      </c>
      <c r="D361">
        <v>35</v>
      </c>
      <c r="E361">
        <v>1</v>
      </c>
      <c r="F361">
        <v>0</v>
      </c>
      <c r="G361">
        <v>2</v>
      </c>
      <c r="H361" t="s">
        <v>23</v>
      </c>
      <c r="I361" t="s">
        <v>23</v>
      </c>
      <c r="J361">
        <v>186826.22</v>
      </c>
      <c r="K361" t="s">
        <v>23</v>
      </c>
      <c r="L361">
        <v>0.13196288349219051</v>
      </c>
      <c r="M361" t="s">
        <v>23</v>
      </c>
      <c r="N361">
        <v>0</v>
      </c>
      <c r="O361">
        <v>0</v>
      </c>
      <c r="P361" t="s">
        <v>34</v>
      </c>
      <c r="Q361" t="s">
        <v>33</v>
      </c>
      <c r="R361" t="s">
        <v>29</v>
      </c>
      <c r="S361" t="s">
        <v>27</v>
      </c>
      <c r="T361" t="s">
        <v>31</v>
      </c>
      <c r="U361">
        <f t="shared" si="5"/>
        <v>1</v>
      </c>
    </row>
    <row r="362" spans="1:21" x14ac:dyDescent="0.2">
      <c r="A362">
        <v>788</v>
      </c>
      <c r="B362" t="s">
        <v>41</v>
      </c>
      <c r="C362" t="s">
        <v>32</v>
      </c>
      <c r="D362">
        <v>57</v>
      </c>
      <c r="E362">
        <v>8</v>
      </c>
      <c r="F362">
        <v>93716.72</v>
      </c>
      <c r="G362">
        <v>1</v>
      </c>
      <c r="H362" t="s">
        <v>22</v>
      </c>
      <c r="I362" t="s">
        <v>22</v>
      </c>
      <c r="J362">
        <v>180150.49</v>
      </c>
      <c r="K362" t="s">
        <v>22</v>
      </c>
      <c r="L362">
        <v>0.50359636917498751</v>
      </c>
      <c r="M362" t="s">
        <v>22</v>
      </c>
      <c r="N362">
        <v>1</v>
      </c>
      <c r="O362">
        <v>1</v>
      </c>
      <c r="P362" t="s">
        <v>43</v>
      </c>
      <c r="Q362" t="s">
        <v>44</v>
      </c>
      <c r="R362" t="s">
        <v>38</v>
      </c>
      <c r="S362" t="s">
        <v>37</v>
      </c>
      <c r="T362" t="s">
        <v>31</v>
      </c>
      <c r="U362">
        <f t="shared" si="5"/>
        <v>1</v>
      </c>
    </row>
    <row r="363" spans="1:21" x14ac:dyDescent="0.2">
      <c r="A363">
        <v>425</v>
      </c>
      <c r="B363" t="s">
        <v>20</v>
      </c>
      <c r="C363" t="s">
        <v>32</v>
      </c>
      <c r="D363">
        <v>22</v>
      </c>
      <c r="E363">
        <v>7</v>
      </c>
      <c r="F363">
        <v>169649.73</v>
      </c>
      <c r="G363">
        <v>2</v>
      </c>
      <c r="H363" t="s">
        <v>23</v>
      </c>
      <c r="I363" t="s">
        <v>22</v>
      </c>
      <c r="J363">
        <v>136365</v>
      </c>
      <c r="K363" t="s">
        <v>22</v>
      </c>
      <c r="L363">
        <v>4.9578272338156822E-2</v>
      </c>
      <c r="M363" t="s">
        <v>23</v>
      </c>
      <c r="N363">
        <v>1</v>
      </c>
      <c r="O363">
        <v>0</v>
      </c>
      <c r="P363" t="s">
        <v>34</v>
      </c>
      <c r="Q363" t="s">
        <v>36</v>
      </c>
      <c r="R363" t="s">
        <v>47</v>
      </c>
      <c r="S363" t="s">
        <v>45</v>
      </c>
      <c r="T363" t="s">
        <v>28</v>
      </c>
      <c r="U363">
        <f t="shared" si="5"/>
        <v>0</v>
      </c>
    </row>
    <row r="364" spans="1:21" x14ac:dyDescent="0.2">
      <c r="A364">
        <v>547</v>
      </c>
      <c r="B364" t="s">
        <v>20</v>
      </c>
      <c r="C364" t="s">
        <v>32</v>
      </c>
      <c r="D364">
        <v>31</v>
      </c>
      <c r="E364">
        <v>9</v>
      </c>
      <c r="F364">
        <v>0</v>
      </c>
      <c r="G364">
        <v>2</v>
      </c>
      <c r="H364" t="s">
        <v>23</v>
      </c>
      <c r="I364" t="s">
        <v>23</v>
      </c>
      <c r="J364">
        <v>99294.22</v>
      </c>
      <c r="K364" t="s">
        <v>23</v>
      </c>
      <c r="L364">
        <v>0.14405338139973459</v>
      </c>
      <c r="M364" t="s">
        <v>23</v>
      </c>
      <c r="N364">
        <v>0</v>
      </c>
      <c r="O364">
        <v>0</v>
      </c>
      <c r="P364" t="s">
        <v>34</v>
      </c>
      <c r="Q364" t="s">
        <v>33</v>
      </c>
      <c r="R364" t="s">
        <v>29</v>
      </c>
      <c r="S364" t="s">
        <v>30</v>
      </c>
      <c r="T364" t="s">
        <v>40</v>
      </c>
      <c r="U364">
        <f t="shared" si="5"/>
        <v>1</v>
      </c>
    </row>
    <row r="365" spans="1:21" x14ac:dyDescent="0.2">
      <c r="A365">
        <v>561</v>
      </c>
      <c r="B365" t="s">
        <v>42</v>
      </c>
      <c r="C365" t="s">
        <v>21</v>
      </c>
      <c r="D365">
        <v>56</v>
      </c>
      <c r="E365">
        <v>7</v>
      </c>
      <c r="F365">
        <v>152759</v>
      </c>
      <c r="G365">
        <v>2</v>
      </c>
      <c r="H365" t="s">
        <v>22</v>
      </c>
      <c r="I365" t="s">
        <v>23</v>
      </c>
      <c r="J365">
        <v>133167.10999999999</v>
      </c>
      <c r="K365" t="s">
        <v>22</v>
      </c>
      <c r="L365">
        <v>0.47363612705655589</v>
      </c>
      <c r="M365" t="s">
        <v>23</v>
      </c>
      <c r="N365">
        <v>1</v>
      </c>
      <c r="O365">
        <v>0</v>
      </c>
      <c r="P365" t="s">
        <v>24</v>
      </c>
      <c r="Q365" t="s">
        <v>44</v>
      </c>
      <c r="R365" t="s">
        <v>47</v>
      </c>
      <c r="S365" t="s">
        <v>30</v>
      </c>
      <c r="T365" t="s">
        <v>28</v>
      </c>
      <c r="U365">
        <f t="shared" si="5"/>
        <v>0</v>
      </c>
    </row>
    <row r="366" spans="1:21" x14ac:dyDescent="0.2">
      <c r="A366">
        <v>785</v>
      </c>
      <c r="B366" t="s">
        <v>42</v>
      </c>
      <c r="C366" t="s">
        <v>32</v>
      </c>
      <c r="D366">
        <v>47</v>
      </c>
      <c r="E366">
        <v>9</v>
      </c>
      <c r="F366">
        <v>122031.55</v>
      </c>
      <c r="G366">
        <v>1</v>
      </c>
      <c r="H366" t="s">
        <v>22</v>
      </c>
      <c r="I366" t="s">
        <v>22</v>
      </c>
      <c r="J366">
        <v>33823.5</v>
      </c>
      <c r="K366" t="s">
        <v>22</v>
      </c>
      <c r="L366">
        <v>0.1765134769349381</v>
      </c>
      <c r="M366" t="s">
        <v>23</v>
      </c>
      <c r="N366">
        <v>1</v>
      </c>
      <c r="O366">
        <v>0</v>
      </c>
      <c r="P366" t="s">
        <v>34</v>
      </c>
      <c r="Q366" t="s">
        <v>25</v>
      </c>
      <c r="R366" t="s">
        <v>26</v>
      </c>
      <c r="S366" t="s">
        <v>37</v>
      </c>
      <c r="T366" t="s">
        <v>35</v>
      </c>
      <c r="U366">
        <f t="shared" si="5"/>
        <v>0</v>
      </c>
    </row>
    <row r="367" spans="1:21" x14ac:dyDescent="0.2">
      <c r="A367">
        <v>607</v>
      </c>
      <c r="B367" t="s">
        <v>42</v>
      </c>
      <c r="C367" t="s">
        <v>21</v>
      </c>
      <c r="D367">
        <v>45</v>
      </c>
      <c r="E367">
        <v>7</v>
      </c>
      <c r="F367">
        <v>123859.6</v>
      </c>
      <c r="G367">
        <v>1</v>
      </c>
      <c r="H367" t="s">
        <v>23</v>
      </c>
      <c r="I367" t="s">
        <v>22</v>
      </c>
      <c r="J367">
        <v>113051.57</v>
      </c>
      <c r="K367" t="s">
        <v>23</v>
      </c>
      <c r="L367">
        <v>0.12009594837907241</v>
      </c>
      <c r="M367" t="s">
        <v>23</v>
      </c>
      <c r="N367">
        <v>0</v>
      </c>
      <c r="O367">
        <v>0</v>
      </c>
      <c r="P367" t="s">
        <v>34</v>
      </c>
      <c r="Q367" t="s">
        <v>25</v>
      </c>
      <c r="R367" t="s">
        <v>26</v>
      </c>
      <c r="S367" t="s">
        <v>27</v>
      </c>
      <c r="T367" t="s">
        <v>28</v>
      </c>
      <c r="U367">
        <f t="shared" si="5"/>
        <v>1</v>
      </c>
    </row>
    <row r="368" spans="1:21" x14ac:dyDescent="0.2">
      <c r="A368">
        <v>529</v>
      </c>
      <c r="B368" t="s">
        <v>20</v>
      </c>
      <c r="C368" t="s">
        <v>21</v>
      </c>
      <c r="D368">
        <v>35</v>
      </c>
      <c r="E368">
        <v>5</v>
      </c>
      <c r="F368">
        <v>95772.97</v>
      </c>
      <c r="G368">
        <v>1</v>
      </c>
      <c r="H368" t="s">
        <v>22</v>
      </c>
      <c r="I368" t="s">
        <v>22</v>
      </c>
      <c r="J368">
        <v>112781.5</v>
      </c>
      <c r="K368" t="s">
        <v>23</v>
      </c>
      <c r="L368">
        <v>6.2701758918899869E-2</v>
      </c>
      <c r="M368" t="s">
        <v>23</v>
      </c>
      <c r="N368">
        <v>0</v>
      </c>
      <c r="O368">
        <v>0</v>
      </c>
      <c r="P368" t="s">
        <v>34</v>
      </c>
      <c r="Q368" t="s">
        <v>33</v>
      </c>
      <c r="R368" t="s">
        <v>38</v>
      </c>
      <c r="S368" t="s">
        <v>30</v>
      </c>
      <c r="T368" t="s">
        <v>28</v>
      </c>
      <c r="U368">
        <f t="shared" si="5"/>
        <v>1</v>
      </c>
    </row>
    <row r="369" spans="1:21" x14ac:dyDescent="0.2">
      <c r="A369">
        <v>429</v>
      </c>
      <c r="B369" t="s">
        <v>42</v>
      </c>
      <c r="C369" t="s">
        <v>21</v>
      </c>
      <c r="D369">
        <v>60</v>
      </c>
      <c r="E369">
        <v>7</v>
      </c>
      <c r="F369">
        <v>0</v>
      </c>
      <c r="G369">
        <v>2</v>
      </c>
      <c r="H369" t="s">
        <v>22</v>
      </c>
      <c r="I369" t="s">
        <v>22</v>
      </c>
      <c r="J369">
        <v>163691.48000000001</v>
      </c>
      <c r="K369" t="s">
        <v>23</v>
      </c>
      <c r="L369">
        <v>0.23381348122850221</v>
      </c>
      <c r="M369" t="s">
        <v>23</v>
      </c>
      <c r="N369">
        <v>0</v>
      </c>
      <c r="O369">
        <v>0</v>
      </c>
      <c r="P369" t="s">
        <v>24</v>
      </c>
      <c r="Q369" t="s">
        <v>44</v>
      </c>
      <c r="R369" t="s">
        <v>29</v>
      </c>
      <c r="S369" t="s">
        <v>45</v>
      </c>
      <c r="T369" t="s">
        <v>31</v>
      </c>
      <c r="U369">
        <f t="shared" si="5"/>
        <v>1</v>
      </c>
    </row>
    <row r="370" spans="1:21" x14ac:dyDescent="0.2">
      <c r="A370">
        <v>488</v>
      </c>
      <c r="B370" t="s">
        <v>42</v>
      </c>
      <c r="C370" t="s">
        <v>21</v>
      </c>
      <c r="D370">
        <v>34</v>
      </c>
      <c r="E370">
        <v>3</v>
      </c>
      <c r="F370">
        <v>0</v>
      </c>
      <c r="G370">
        <v>2</v>
      </c>
      <c r="H370" t="s">
        <v>22</v>
      </c>
      <c r="I370" t="s">
        <v>22</v>
      </c>
      <c r="J370">
        <v>125979.36</v>
      </c>
      <c r="K370" t="s">
        <v>23</v>
      </c>
      <c r="L370">
        <v>4.3375400408383558E-2</v>
      </c>
      <c r="M370" t="s">
        <v>23</v>
      </c>
      <c r="N370">
        <v>0</v>
      </c>
      <c r="O370">
        <v>0</v>
      </c>
      <c r="P370" t="s">
        <v>34</v>
      </c>
      <c r="Q370" t="s">
        <v>33</v>
      </c>
      <c r="R370" t="s">
        <v>29</v>
      </c>
      <c r="S370" t="s">
        <v>45</v>
      </c>
      <c r="T370" t="s">
        <v>28</v>
      </c>
      <c r="U370">
        <f t="shared" si="5"/>
        <v>1</v>
      </c>
    </row>
    <row r="371" spans="1:21" x14ac:dyDescent="0.2">
      <c r="A371">
        <v>673</v>
      </c>
      <c r="B371" t="s">
        <v>20</v>
      </c>
      <c r="C371" t="s">
        <v>32</v>
      </c>
      <c r="D371">
        <v>37</v>
      </c>
      <c r="E371">
        <v>0</v>
      </c>
      <c r="F371">
        <v>0</v>
      </c>
      <c r="G371">
        <v>2</v>
      </c>
      <c r="H371" t="s">
        <v>23</v>
      </c>
      <c r="I371" t="s">
        <v>23</v>
      </c>
      <c r="J371">
        <v>82351.06</v>
      </c>
      <c r="K371" t="s">
        <v>23</v>
      </c>
      <c r="L371">
        <v>0.2215445709756331</v>
      </c>
      <c r="M371" t="s">
        <v>23</v>
      </c>
      <c r="N371">
        <v>0</v>
      </c>
      <c r="O371">
        <v>0</v>
      </c>
      <c r="P371" t="s">
        <v>24</v>
      </c>
      <c r="Q371" t="s">
        <v>33</v>
      </c>
      <c r="R371" t="s">
        <v>29</v>
      </c>
      <c r="S371" t="s">
        <v>27</v>
      </c>
      <c r="T371" t="s">
        <v>40</v>
      </c>
      <c r="U371">
        <f t="shared" si="5"/>
        <v>1</v>
      </c>
    </row>
    <row r="372" spans="1:21" x14ac:dyDescent="0.2">
      <c r="A372">
        <v>796</v>
      </c>
      <c r="B372" t="s">
        <v>20</v>
      </c>
      <c r="C372" t="s">
        <v>21</v>
      </c>
      <c r="D372">
        <v>67</v>
      </c>
      <c r="E372">
        <v>5</v>
      </c>
      <c r="F372">
        <v>0</v>
      </c>
      <c r="G372">
        <v>2</v>
      </c>
      <c r="H372" t="s">
        <v>23</v>
      </c>
      <c r="I372" t="s">
        <v>22</v>
      </c>
      <c r="J372">
        <v>54871.02</v>
      </c>
      <c r="K372" t="s">
        <v>23</v>
      </c>
      <c r="L372">
        <v>0.29448440604978882</v>
      </c>
      <c r="M372" t="s">
        <v>23</v>
      </c>
      <c r="N372">
        <v>0</v>
      </c>
      <c r="O372">
        <v>0</v>
      </c>
      <c r="P372" t="s">
        <v>24</v>
      </c>
      <c r="Q372" t="s">
        <v>46</v>
      </c>
      <c r="R372" t="s">
        <v>29</v>
      </c>
      <c r="S372" t="s">
        <v>37</v>
      </c>
      <c r="T372" t="s">
        <v>40</v>
      </c>
      <c r="U372">
        <f t="shared" si="5"/>
        <v>1</v>
      </c>
    </row>
    <row r="373" spans="1:21" x14ac:dyDescent="0.2">
      <c r="A373">
        <v>773</v>
      </c>
      <c r="B373" t="s">
        <v>20</v>
      </c>
      <c r="C373" t="s">
        <v>32</v>
      </c>
      <c r="D373">
        <v>33</v>
      </c>
      <c r="E373">
        <v>10</v>
      </c>
      <c r="F373">
        <v>0</v>
      </c>
      <c r="G373">
        <v>1</v>
      </c>
      <c r="H373" t="s">
        <v>22</v>
      </c>
      <c r="I373" t="s">
        <v>22</v>
      </c>
      <c r="J373">
        <v>98820.09</v>
      </c>
      <c r="K373" t="s">
        <v>23</v>
      </c>
      <c r="L373">
        <v>5.5775673733098247E-2</v>
      </c>
      <c r="M373" t="s">
        <v>23</v>
      </c>
      <c r="N373">
        <v>0</v>
      </c>
      <c r="O373">
        <v>0</v>
      </c>
      <c r="P373" t="s">
        <v>34</v>
      </c>
      <c r="Q373" t="s">
        <v>33</v>
      </c>
      <c r="R373" t="s">
        <v>29</v>
      </c>
      <c r="S373" t="s">
        <v>37</v>
      </c>
      <c r="T373" t="s">
        <v>40</v>
      </c>
      <c r="U373">
        <f t="shared" si="5"/>
        <v>1</v>
      </c>
    </row>
    <row r="374" spans="1:21" x14ac:dyDescent="0.2">
      <c r="A374">
        <v>620</v>
      </c>
      <c r="B374" t="s">
        <v>42</v>
      </c>
      <c r="C374" t="s">
        <v>32</v>
      </c>
      <c r="D374">
        <v>67</v>
      </c>
      <c r="E374">
        <v>3</v>
      </c>
      <c r="F374">
        <v>0</v>
      </c>
      <c r="G374">
        <v>2</v>
      </c>
      <c r="H374" t="s">
        <v>22</v>
      </c>
      <c r="I374" t="s">
        <v>22</v>
      </c>
      <c r="J374">
        <v>43486.73</v>
      </c>
      <c r="K374" t="s">
        <v>23</v>
      </c>
      <c r="L374">
        <v>0.43983991671780148</v>
      </c>
      <c r="M374" t="s">
        <v>23</v>
      </c>
      <c r="N374">
        <v>0</v>
      </c>
      <c r="O374">
        <v>0</v>
      </c>
      <c r="P374" t="s">
        <v>24</v>
      </c>
      <c r="Q374" t="s">
        <v>46</v>
      </c>
      <c r="R374" t="s">
        <v>29</v>
      </c>
      <c r="S374" t="s">
        <v>27</v>
      </c>
      <c r="T374" t="s">
        <v>35</v>
      </c>
      <c r="U374">
        <f t="shared" si="5"/>
        <v>1</v>
      </c>
    </row>
    <row r="375" spans="1:21" x14ac:dyDescent="0.2">
      <c r="A375">
        <v>746</v>
      </c>
      <c r="B375" t="s">
        <v>20</v>
      </c>
      <c r="C375" t="s">
        <v>21</v>
      </c>
      <c r="D375">
        <v>31</v>
      </c>
      <c r="E375">
        <v>2</v>
      </c>
      <c r="F375">
        <v>113836.27</v>
      </c>
      <c r="G375">
        <v>1</v>
      </c>
      <c r="H375" t="s">
        <v>22</v>
      </c>
      <c r="I375" t="s">
        <v>22</v>
      </c>
      <c r="J375">
        <v>174815.54</v>
      </c>
      <c r="K375" t="s">
        <v>23</v>
      </c>
      <c r="L375">
        <v>4.6979128727824511E-2</v>
      </c>
      <c r="M375" t="s">
        <v>23</v>
      </c>
      <c r="N375">
        <v>0</v>
      </c>
      <c r="O375">
        <v>0</v>
      </c>
      <c r="P375" t="s">
        <v>34</v>
      </c>
      <c r="Q375" t="s">
        <v>33</v>
      </c>
      <c r="R375" t="s">
        <v>26</v>
      </c>
      <c r="S375" t="s">
        <v>37</v>
      </c>
      <c r="T375" t="s">
        <v>31</v>
      </c>
      <c r="U375">
        <f t="shared" si="5"/>
        <v>1</v>
      </c>
    </row>
    <row r="376" spans="1:21" x14ac:dyDescent="0.2">
      <c r="A376">
        <v>543</v>
      </c>
      <c r="B376" t="s">
        <v>41</v>
      </c>
      <c r="C376" t="s">
        <v>21</v>
      </c>
      <c r="D376">
        <v>48</v>
      </c>
      <c r="E376">
        <v>1</v>
      </c>
      <c r="F376">
        <v>100900.5</v>
      </c>
      <c r="G376">
        <v>1</v>
      </c>
      <c r="H376" t="s">
        <v>23</v>
      </c>
      <c r="I376" t="s">
        <v>23</v>
      </c>
      <c r="J376">
        <v>33310.720000000001</v>
      </c>
      <c r="K376" t="s">
        <v>22</v>
      </c>
      <c r="L376">
        <v>0.54181580766955995</v>
      </c>
      <c r="M376" t="s">
        <v>22</v>
      </c>
      <c r="N376">
        <v>1</v>
      </c>
      <c r="O376">
        <v>1</v>
      </c>
      <c r="P376" t="s">
        <v>43</v>
      </c>
      <c r="Q376" t="s">
        <v>25</v>
      </c>
      <c r="R376" t="s">
        <v>26</v>
      </c>
      <c r="S376" t="s">
        <v>30</v>
      </c>
      <c r="T376" t="s">
        <v>35</v>
      </c>
      <c r="U376">
        <f t="shared" si="5"/>
        <v>1</v>
      </c>
    </row>
    <row r="377" spans="1:21" x14ac:dyDescent="0.2">
      <c r="A377">
        <v>768</v>
      </c>
      <c r="B377" t="s">
        <v>42</v>
      </c>
      <c r="C377" t="s">
        <v>32</v>
      </c>
      <c r="D377">
        <v>28</v>
      </c>
      <c r="E377">
        <v>3</v>
      </c>
      <c r="F377">
        <v>109118.05</v>
      </c>
      <c r="G377">
        <v>2</v>
      </c>
      <c r="H377" t="s">
        <v>23</v>
      </c>
      <c r="I377" t="s">
        <v>22</v>
      </c>
      <c r="J377">
        <v>50911.41</v>
      </c>
      <c r="K377" t="s">
        <v>23</v>
      </c>
      <c r="L377">
        <v>5.1620813864179327E-2</v>
      </c>
      <c r="M377" t="s">
        <v>23</v>
      </c>
      <c r="N377">
        <v>0</v>
      </c>
      <c r="O377">
        <v>0</v>
      </c>
      <c r="P377" t="s">
        <v>34</v>
      </c>
      <c r="Q377" t="s">
        <v>36</v>
      </c>
      <c r="R377" t="s">
        <v>26</v>
      </c>
      <c r="S377" t="s">
        <v>37</v>
      </c>
      <c r="T377" t="s">
        <v>40</v>
      </c>
      <c r="U377">
        <f t="shared" si="5"/>
        <v>1</v>
      </c>
    </row>
    <row r="378" spans="1:21" x14ac:dyDescent="0.2">
      <c r="A378">
        <v>484</v>
      </c>
      <c r="B378" t="s">
        <v>41</v>
      </c>
      <c r="C378" t="s">
        <v>21</v>
      </c>
      <c r="D378">
        <v>54</v>
      </c>
      <c r="E378">
        <v>3</v>
      </c>
      <c r="F378">
        <v>134388.10999999999</v>
      </c>
      <c r="G378">
        <v>1</v>
      </c>
      <c r="H378" t="s">
        <v>23</v>
      </c>
      <c r="I378" t="s">
        <v>23</v>
      </c>
      <c r="J378">
        <v>49954.79</v>
      </c>
      <c r="K378" t="s">
        <v>22</v>
      </c>
      <c r="L378">
        <v>0.67017797687295433</v>
      </c>
      <c r="M378" t="s">
        <v>22</v>
      </c>
      <c r="N378">
        <v>1</v>
      </c>
      <c r="O378">
        <v>1</v>
      </c>
      <c r="P378" t="s">
        <v>43</v>
      </c>
      <c r="Q378" t="s">
        <v>44</v>
      </c>
      <c r="R378" t="s">
        <v>26</v>
      </c>
      <c r="S378" t="s">
        <v>45</v>
      </c>
      <c r="T378" t="s">
        <v>35</v>
      </c>
      <c r="U378">
        <f t="shared" si="5"/>
        <v>1</v>
      </c>
    </row>
    <row r="379" spans="1:21" x14ac:dyDescent="0.2">
      <c r="A379">
        <v>632</v>
      </c>
      <c r="B379" t="s">
        <v>20</v>
      </c>
      <c r="C379" t="s">
        <v>32</v>
      </c>
      <c r="D379">
        <v>40</v>
      </c>
      <c r="E379">
        <v>3</v>
      </c>
      <c r="F379">
        <v>109740.62</v>
      </c>
      <c r="G379">
        <v>1</v>
      </c>
      <c r="H379" t="s">
        <v>22</v>
      </c>
      <c r="I379" t="s">
        <v>23</v>
      </c>
      <c r="J379">
        <v>141896.74</v>
      </c>
      <c r="K379" t="s">
        <v>23</v>
      </c>
      <c r="L379">
        <v>0.33703164842855787</v>
      </c>
      <c r="M379" t="s">
        <v>23</v>
      </c>
      <c r="N379">
        <v>0</v>
      </c>
      <c r="O379">
        <v>0</v>
      </c>
      <c r="P379" t="s">
        <v>24</v>
      </c>
      <c r="Q379" t="s">
        <v>33</v>
      </c>
      <c r="R379" t="s">
        <v>26</v>
      </c>
      <c r="S379" t="s">
        <v>27</v>
      </c>
      <c r="T379" t="s">
        <v>28</v>
      </c>
      <c r="U379">
        <f t="shared" si="5"/>
        <v>1</v>
      </c>
    </row>
    <row r="380" spans="1:21" x14ac:dyDescent="0.2">
      <c r="A380">
        <v>536</v>
      </c>
      <c r="B380" t="s">
        <v>41</v>
      </c>
      <c r="C380" t="s">
        <v>21</v>
      </c>
      <c r="D380">
        <v>23</v>
      </c>
      <c r="E380">
        <v>6</v>
      </c>
      <c r="F380">
        <v>92366.720000000001</v>
      </c>
      <c r="G380">
        <v>2</v>
      </c>
      <c r="H380" t="s">
        <v>22</v>
      </c>
      <c r="I380" t="s">
        <v>23</v>
      </c>
      <c r="J380">
        <v>120661.71</v>
      </c>
      <c r="K380" t="s">
        <v>23</v>
      </c>
      <c r="L380">
        <v>0.13177695831617289</v>
      </c>
      <c r="M380" t="s">
        <v>23</v>
      </c>
      <c r="N380">
        <v>0</v>
      </c>
      <c r="O380">
        <v>0</v>
      </c>
      <c r="P380" t="s">
        <v>34</v>
      </c>
      <c r="Q380" t="s">
        <v>36</v>
      </c>
      <c r="R380" t="s">
        <v>38</v>
      </c>
      <c r="S380" t="s">
        <v>30</v>
      </c>
      <c r="T380" t="s">
        <v>28</v>
      </c>
      <c r="U380">
        <f t="shared" si="5"/>
        <v>1</v>
      </c>
    </row>
    <row r="381" spans="1:21" x14ac:dyDescent="0.2">
      <c r="A381">
        <v>701</v>
      </c>
      <c r="B381" t="s">
        <v>42</v>
      </c>
      <c r="C381" t="s">
        <v>21</v>
      </c>
      <c r="D381">
        <v>30</v>
      </c>
      <c r="E381">
        <v>3</v>
      </c>
      <c r="F381">
        <v>156660.72</v>
      </c>
      <c r="G381">
        <v>2</v>
      </c>
      <c r="H381" t="s">
        <v>22</v>
      </c>
      <c r="I381" t="s">
        <v>23</v>
      </c>
      <c r="J381">
        <v>45742.42</v>
      </c>
      <c r="K381" t="s">
        <v>23</v>
      </c>
      <c r="L381">
        <v>0.1104700319438477</v>
      </c>
      <c r="M381" t="s">
        <v>23</v>
      </c>
      <c r="N381">
        <v>0</v>
      </c>
      <c r="O381">
        <v>0</v>
      </c>
      <c r="P381" t="s">
        <v>34</v>
      </c>
      <c r="Q381" t="s">
        <v>36</v>
      </c>
      <c r="R381" t="s">
        <v>47</v>
      </c>
      <c r="S381" t="s">
        <v>37</v>
      </c>
      <c r="T381" t="s">
        <v>35</v>
      </c>
      <c r="U381">
        <f t="shared" si="5"/>
        <v>1</v>
      </c>
    </row>
    <row r="382" spans="1:21" x14ac:dyDescent="0.2">
      <c r="A382">
        <v>518</v>
      </c>
      <c r="B382" t="s">
        <v>42</v>
      </c>
      <c r="C382" t="s">
        <v>21</v>
      </c>
      <c r="D382">
        <v>38</v>
      </c>
      <c r="E382">
        <v>3</v>
      </c>
      <c r="F382">
        <v>90957.81</v>
      </c>
      <c r="G382">
        <v>1</v>
      </c>
      <c r="H382" t="s">
        <v>23</v>
      </c>
      <c r="I382" t="s">
        <v>22</v>
      </c>
      <c r="J382">
        <v>162304.59</v>
      </c>
      <c r="K382" t="s">
        <v>23</v>
      </c>
      <c r="L382">
        <v>8.1179763269064162E-2</v>
      </c>
      <c r="M382" t="s">
        <v>23</v>
      </c>
      <c r="N382">
        <v>0</v>
      </c>
      <c r="O382">
        <v>0</v>
      </c>
      <c r="P382" t="s">
        <v>34</v>
      </c>
      <c r="Q382" t="s">
        <v>33</v>
      </c>
      <c r="R382" t="s">
        <v>38</v>
      </c>
      <c r="S382" t="s">
        <v>30</v>
      </c>
      <c r="T382" t="s">
        <v>31</v>
      </c>
      <c r="U382">
        <f t="shared" si="5"/>
        <v>1</v>
      </c>
    </row>
    <row r="383" spans="1:21" x14ac:dyDescent="0.2">
      <c r="A383">
        <v>783</v>
      </c>
      <c r="B383" t="s">
        <v>20</v>
      </c>
      <c r="C383" t="s">
        <v>21</v>
      </c>
      <c r="D383">
        <v>39</v>
      </c>
      <c r="E383">
        <v>9</v>
      </c>
      <c r="F383">
        <v>0</v>
      </c>
      <c r="G383">
        <v>2</v>
      </c>
      <c r="H383" t="s">
        <v>22</v>
      </c>
      <c r="I383" t="s">
        <v>23</v>
      </c>
      <c r="J383">
        <v>143752.76999999999</v>
      </c>
      <c r="K383" t="s">
        <v>23</v>
      </c>
      <c r="L383">
        <v>0.1291740492235291</v>
      </c>
      <c r="M383" t="s">
        <v>23</v>
      </c>
      <c r="N383">
        <v>0</v>
      </c>
      <c r="O383">
        <v>0</v>
      </c>
      <c r="P383" t="s">
        <v>34</v>
      </c>
      <c r="Q383" t="s">
        <v>33</v>
      </c>
      <c r="R383" t="s">
        <v>29</v>
      </c>
      <c r="S383" t="s">
        <v>37</v>
      </c>
      <c r="T383" t="s">
        <v>28</v>
      </c>
      <c r="U383">
        <f t="shared" si="5"/>
        <v>1</v>
      </c>
    </row>
    <row r="384" spans="1:21" x14ac:dyDescent="0.2">
      <c r="A384">
        <v>623</v>
      </c>
      <c r="B384" t="s">
        <v>42</v>
      </c>
      <c r="C384" t="s">
        <v>21</v>
      </c>
      <c r="D384">
        <v>21</v>
      </c>
      <c r="E384">
        <v>10</v>
      </c>
      <c r="F384">
        <v>0</v>
      </c>
      <c r="G384">
        <v>2</v>
      </c>
      <c r="H384" t="s">
        <v>23</v>
      </c>
      <c r="I384" t="s">
        <v>22</v>
      </c>
      <c r="J384">
        <v>135851.29999999999</v>
      </c>
      <c r="K384" t="s">
        <v>23</v>
      </c>
      <c r="L384">
        <v>1.406819530947895E-2</v>
      </c>
      <c r="M384" t="s">
        <v>23</v>
      </c>
      <c r="N384">
        <v>0</v>
      </c>
      <c r="O384">
        <v>0</v>
      </c>
      <c r="P384" t="s">
        <v>34</v>
      </c>
      <c r="Q384" t="s">
        <v>36</v>
      </c>
      <c r="R384" t="s">
        <v>29</v>
      </c>
      <c r="S384" t="s">
        <v>27</v>
      </c>
      <c r="T384" t="s">
        <v>28</v>
      </c>
      <c r="U384">
        <f t="shared" si="5"/>
        <v>1</v>
      </c>
    </row>
    <row r="385" spans="1:21" x14ac:dyDescent="0.2">
      <c r="A385">
        <v>681</v>
      </c>
      <c r="B385" t="s">
        <v>41</v>
      </c>
      <c r="C385" t="s">
        <v>32</v>
      </c>
      <c r="D385">
        <v>48</v>
      </c>
      <c r="E385">
        <v>8</v>
      </c>
      <c r="F385">
        <v>139480.18</v>
      </c>
      <c r="G385">
        <v>1</v>
      </c>
      <c r="H385" t="s">
        <v>22</v>
      </c>
      <c r="I385" t="s">
        <v>22</v>
      </c>
      <c r="J385">
        <v>163581.67000000001</v>
      </c>
      <c r="K385" t="s">
        <v>23</v>
      </c>
      <c r="L385">
        <v>0.38505795808289422</v>
      </c>
      <c r="M385" t="s">
        <v>23</v>
      </c>
      <c r="N385">
        <v>0</v>
      </c>
      <c r="O385">
        <v>0</v>
      </c>
      <c r="P385" t="s">
        <v>24</v>
      </c>
      <c r="Q385" t="s">
        <v>25</v>
      </c>
      <c r="R385" t="s">
        <v>26</v>
      </c>
      <c r="S385" t="s">
        <v>27</v>
      </c>
      <c r="T385" t="s">
        <v>31</v>
      </c>
      <c r="U385">
        <f t="shared" si="5"/>
        <v>1</v>
      </c>
    </row>
    <row r="386" spans="1:21" x14ac:dyDescent="0.2">
      <c r="A386">
        <v>694</v>
      </c>
      <c r="B386" t="s">
        <v>42</v>
      </c>
      <c r="C386" t="s">
        <v>32</v>
      </c>
      <c r="D386">
        <v>33</v>
      </c>
      <c r="E386">
        <v>4</v>
      </c>
      <c r="F386">
        <v>129731.64</v>
      </c>
      <c r="G386">
        <v>2</v>
      </c>
      <c r="H386" t="s">
        <v>22</v>
      </c>
      <c r="I386" t="s">
        <v>23</v>
      </c>
      <c r="J386">
        <v>178123.86</v>
      </c>
      <c r="K386" t="s">
        <v>23</v>
      </c>
      <c r="L386">
        <v>0.20962812196432631</v>
      </c>
      <c r="M386" t="s">
        <v>23</v>
      </c>
      <c r="N386">
        <v>0</v>
      </c>
      <c r="O386">
        <v>0</v>
      </c>
      <c r="P386" t="s">
        <v>24</v>
      </c>
      <c r="Q386" t="s">
        <v>33</v>
      </c>
      <c r="R386" t="s">
        <v>26</v>
      </c>
      <c r="S386" t="s">
        <v>27</v>
      </c>
      <c r="T386" t="s">
        <v>31</v>
      </c>
      <c r="U386">
        <f t="shared" ref="U386:U449" si="6">IF(K386=M386,1,0)</f>
        <v>1</v>
      </c>
    </row>
    <row r="387" spans="1:21" x14ac:dyDescent="0.2">
      <c r="A387">
        <v>717</v>
      </c>
      <c r="B387" t="s">
        <v>20</v>
      </c>
      <c r="C387" t="s">
        <v>21</v>
      </c>
      <c r="D387">
        <v>35</v>
      </c>
      <c r="E387">
        <v>1</v>
      </c>
      <c r="F387">
        <v>0</v>
      </c>
      <c r="G387">
        <v>3</v>
      </c>
      <c r="H387" t="s">
        <v>23</v>
      </c>
      <c r="I387" t="s">
        <v>23</v>
      </c>
      <c r="J387">
        <v>174770.14</v>
      </c>
      <c r="K387" t="s">
        <v>22</v>
      </c>
      <c r="L387">
        <v>0.1136183866986816</v>
      </c>
      <c r="M387" t="s">
        <v>23</v>
      </c>
      <c r="N387">
        <v>1</v>
      </c>
      <c r="O387">
        <v>0</v>
      </c>
      <c r="P387" t="s">
        <v>34</v>
      </c>
      <c r="Q387" t="s">
        <v>33</v>
      </c>
      <c r="R387" t="s">
        <v>29</v>
      </c>
      <c r="S387" t="s">
        <v>37</v>
      </c>
      <c r="T387" t="s">
        <v>31</v>
      </c>
      <c r="U387">
        <f t="shared" si="6"/>
        <v>0</v>
      </c>
    </row>
    <row r="388" spans="1:21" x14ac:dyDescent="0.2">
      <c r="A388">
        <v>719</v>
      </c>
      <c r="B388" t="s">
        <v>20</v>
      </c>
      <c r="C388" t="s">
        <v>32</v>
      </c>
      <c r="D388">
        <v>47</v>
      </c>
      <c r="E388">
        <v>9</v>
      </c>
      <c r="F388">
        <v>116393.59</v>
      </c>
      <c r="G388">
        <v>1</v>
      </c>
      <c r="H388" t="s">
        <v>22</v>
      </c>
      <c r="I388" t="s">
        <v>23</v>
      </c>
      <c r="J388">
        <v>63051.32</v>
      </c>
      <c r="K388" t="s">
        <v>22</v>
      </c>
      <c r="L388">
        <v>0.40988852696943018</v>
      </c>
      <c r="M388" t="s">
        <v>23</v>
      </c>
      <c r="N388">
        <v>1</v>
      </c>
      <c r="O388">
        <v>0</v>
      </c>
      <c r="P388" t="s">
        <v>24</v>
      </c>
      <c r="Q388" t="s">
        <v>25</v>
      </c>
      <c r="R388" t="s">
        <v>26</v>
      </c>
      <c r="S388" t="s">
        <v>37</v>
      </c>
      <c r="T388" t="s">
        <v>40</v>
      </c>
      <c r="U388">
        <f t="shared" si="6"/>
        <v>0</v>
      </c>
    </row>
    <row r="389" spans="1:21" x14ac:dyDescent="0.2">
      <c r="A389">
        <v>845</v>
      </c>
      <c r="B389" t="s">
        <v>41</v>
      </c>
      <c r="C389" t="s">
        <v>32</v>
      </c>
      <c r="D389">
        <v>41</v>
      </c>
      <c r="E389">
        <v>2</v>
      </c>
      <c r="F389">
        <v>81733.740000000005</v>
      </c>
      <c r="G389">
        <v>2</v>
      </c>
      <c r="H389" t="s">
        <v>23</v>
      </c>
      <c r="I389" t="s">
        <v>23</v>
      </c>
      <c r="J389">
        <v>199761.29</v>
      </c>
      <c r="K389" t="s">
        <v>23</v>
      </c>
      <c r="L389">
        <v>0.47705195980714321</v>
      </c>
      <c r="M389" t="s">
        <v>23</v>
      </c>
      <c r="N389">
        <v>0</v>
      </c>
      <c r="O389">
        <v>0</v>
      </c>
      <c r="P389" t="s">
        <v>24</v>
      </c>
      <c r="Q389" t="s">
        <v>25</v>
      </c>
      <c r="R389" t="s">
        <v>38</v>
      </c>
      <c r="S389" t="s">
        <v>39</v>
      </c>
      <c r="T389" t="s">
        <v>31</v>
      </c>
      <c r="U389">
        <f t="shared" si="6"/>
        <v>1</v>
      </c>
    </row>
    <row r="390" spans="1:21" x14ac:dyDescent="0.2">
      <c r="A390">
        <v>695</v>
      </c>
      <c r="B390" t="s">
        <v>20</v>
      </c>
      <c r="C390" t="s">
        <v>21</v>
      </c>
      <c r="D390">
        <v>28</v>
      </c>
      <c r="E390">
        <v>0</v>
      </c>
      <c r="F390">
        <v>96020.86</v>
      </c>
      <c r="G390">
        <v>1</v>
      </c>
      <c r="H390" t="s">
        <v>22</v>
      </c>
      <c r="I390" t="s">
        <v>22</v>
      </c>
      <c r="J390">
        <v>57992.49</v>
      </c>
      <c r="K390" t="s">
        <v>23</v>
      </c>
      <c r="L390">
        <v>3.6665589034777887E-2</v>
      </c>
      <c r="M390" t="s">
        <v>23</v>
      </c>
      <c r="N390">
        <v>0</v>
      </c>
      <c r="O390">
        <v>0</v>
      </c>
      <c r="P390" t="s">
        <v>34</v>
      </c>
      <c r="Q390" t="s">
        <v>36</v>
      </c>
      <c r="R390" t="s">
        <v>38</v>
      </c>
      <c r="S390" t="s">
        <v>27</v>
      </c>
      <c r="T390" t="s">
        <v>40</v>
      </c>
      <c r="U390">
        <f t="shared" si="6"/>
        <v>1</v>
      </c>
    </row>
    <row r="391" spans="1:21" x14ac:dyDescent="0.2">
      <c r="A391">
        <v>842</v>
      </c>
      <c r="B391" t="s">
        <v>42</v>
      </c>
      <c r="C391" t="s">
        <v>21</v>
      </c>
      <c r="D391">
        <v>58</v>
      </c>
      <c r="E391">
        <v>1</v>
      </c>
      <c r="F391">
        <v>63492.94</v>
      </c>
      <c r="G391">
        <v>1</v>
      </c>
      <c r="H391" t="s">
        <v>22</v>
      </c>
      <c r="I391" t="s">
        <v>22</v>
      </c>
      <c r="J391">
        <v>83172.19</v>
      </c>
      <c r="K391" t="s">
        <v>23</v>
      </c>
      <c r="L391">
        <v>0.2177256775877672</v>
      </c>
      <c r="M391" t="s">
        <v>23</v>
      </c>
      <c r="N391">
        <v>0</v>
      </c>
      <c r="O391">
        <v>0</v>
      </c>
      <c r="P391" t="s">
        <v>24</v>
      </c>
      <c r="Q391" t="s">
        <v>44</v>
      </c>
      <c r="R391" t="s">
        <v>38</v>
      </c>
      <c r="S391" t="s">
        <v>39</v>
      </c>
      <c r="T391" t="s">
        <v>40</v>
      </c>
      <c r="U391">
        <f t="shared" si="6"/>
        <v>1</v>
      </c>
    </row>
    <row r="392" spans="1:21" x14ac:dyDescent="0.2">
      <c r="A392">
        <v>684</v>
      </c>
      <c r="B392" t="s">
        <v>41</v>
      </c>
      <c r="C392" t="s">
        <v>21</v>
      </c>
      <c r="D392">
        <v>29</v>
      </c>
      <c r="E392">
        <v>8</v>
      </c>
      <c r="F392">
        <v>127269.75</v>
      </c>
      <c r="G392">
        <v>1</v>
      </c>
      <c r="H392" t="s">
        <v>23</v>
      </c>
      <c r="I392" t="s">
        <v>22</v>
      </c>
      <c r="J392">
        <v>79495.009999999995</v>
      </c>
      <c r="K392" t="s">
        <v>23</v>
      </c>
      <c r="L392">
        <v>7.798600580467531E-2</v>
      </c>
      <c r="M392" t="s">
        <v>23</v>
      </c>
      <c r="N392">
        <v>0</v>
      </c>
      <c r="O392">
        <v>0</v>
      </c>
      <c r="P392" t="s">
        <v>34</v>
      </c>
      <c r="Q392" t="s">
        <v>36</v>
      </c>
      <c r="R392" t="s">
        <v>26</v>
      </c>
      <c r="S392" t="s">
        <v>27</v>
      </c>
      <c r="T392" t="s">
        <v>40</v>
      </c>
      <c r="U392">
        <f t="shared" si="6"/>
        <v>1</v>
      </c>
    </row>
    <row r="393" spans="1:21" x14ac:dyDescent="0.2">
      <c r="A393">
        <v>556</v>
      </c>
      <c r="B393" t="s">
        <v>20</v>
      </c>
      <c r="C393" t="s">
        <v>32</v>
      </c>
      <c r="D393">
        <v>48</v>
      </c>
      <c r="E393">
        <v>8</v>
      </c>
      <c r="F393">
        <v>168522.37</v>
      </c>
      <c r="G393">
        <v>1</v>
      </c>
      <c r="H393" t="s">
        <v>22</v>
      </c>
      <c r="I393" t="s">
        <v>22</v>
      </c>
      <c r="J393">
        <v>151310.16</v>
      </c>
      <c r="K393" t="s">
        <v>23</v>
      </c>
      <c r="L393">
        <v>0.25670271004069722</v>
      </c>
      <c r="M393" t="s">
        <v>23</v>
      </c>
      <c r="N393">
        <v>0</v>
      </c>
      <c r="O393">
        <v>0</v>
      </c>
      <c r="P393" t="s">
        <v>24</v>
      </c>
      <c r="Q393" t="s">
        <v>25</v>
      </c>
      <c r="R393" t="s">
        <v>47</v>
      </c>
      <c r="S393" t="s">
        <v>30</v>
      </c>
      <c r="T393" t="s">
        <v>31</v>
      </c>
      <c r="U393">
        <f t="shared" si="6"/>
        <v>1</v>
      </c>
    </row>
    <row r="394" spans="1:21" x14ac:dyDescent="0.2">
      <c r="A394">
        <v>691</v>
      </c>
      <c r="B394" t="s">
        <v>41</v>
      </c>
      <c r="C394" t="s">
        <v>21</v>
      </c>
      <c r="D394">
        <v>27</v>
      </c>
      <c r="E394">
        <v>3</v>
      </c>
      <c r="F394">
        <v>160358.68</v>
      </c>
      <c r="G394">
        <v>2</v>
      </c>
      <c r="H394" t="s">
        <v>22</v>
      </c>
      <c r="I394" t="s">
        <v>23</v>
      </c>
      <c r="J394">
        <v>142367.72</v>
      </c>
      <c r="K394" t="s">
        <v>23</v>
      </c>
      <c r="L394">
        <v>0.19016354231747021</v>
      </c>
      <c r="M394" t="s">
        <v>23</v>
      </c>
      <c r="N394">
        <v>0</v>
      </c>
      <c r="O394">
        <v>0</v>
      </c>
      <c r="P394" t="s">
        <v>34</v>
      </c>
      <c r="Q394" t="s">
        <v>36</v>
      </c>
      <c r="R394" t="s">
        <v>47</v>
      </c>
      <c r="S394" t="s">
        <v>27</v>
      </c>
      <c r="T394" t="s">
        <v>28</v>
      </c>
      <c r="U394">
        <f t="shared" si="6"/>
        <v>1</v>
      </c>
    </row>
    <row r="395" spans="1:21" x14ac:dyDescent="0.2">
      <c r="A395">
        <v>706</v>
      </c>
      <c r="B395" t="s">
        <v>42</v>
      </c>
      <c r="C395" t="s">
        <v>21</v>
      </c>
      <c r="D395">
        <v>30</v>
      </c>
      <c r="E395">
        <v>3</v>
      </c>
      <c r="F395">
        <v>98415.37</v>
      </c>
      <c r="G395">
        <v>1</v>
      </c>
      <c r="H395" t="s">
        <v>22</v>
      </c>
      <c r="I395" t="s">
        <v>22</v>
      </c>
      <c r="J395">
        <v>110520.48</v>
      </c>
      <c r="K395" t="s">
        <v>23</v>
      </c>
      <c r="L395">
        <v>3.9529192118700533E-2</v>
      </c>
      <c r="M395" t="s">
        <v>23</v>
      </c>
      <c r="N395">
        <v>0</v>
      </c>
      <c r="O395">
        <v>0</v>
      </c>
      <c r="P395" t="s">
        <v>34</v>
      </c>
      <c r="Q395" t="s">
        <v>36</v>
      </c>
      <c r="R395" t="s">
        <v>38</v>
      </c>
      <c r="S395" t="s">
        <v>37</v>
      </c>
      <c r="T395" t="s">
        <v>28</v>
      </c>
      <c r="U395">
        <f t="shared" si="6"/>
        <v>1</v>
      </c>
    </row>
    <row r="396" spans="1:21" x14ac:dyDescent="0.2">
      <c r="A396">
        <v>716</v>
      </c>
      <c r="B396" t="s">
        <v>41</v>
      </c>
      <c r="C396" t="s">
        <v>32</v>
      </c>
      <c r="D396">
        <v>18</v>
      </c>
      <c r="E396">
        <v>3</v>
      </c>
      <c r="F396">
        <v>128743.8</v>
      </c>
      <c r="G396">
        <v>1</v>
      </c>
      <c r="H396" t="s">
        <v>23</v>
      </c>
      <c r="I396" t="s">
        <v>23</v>
      </c>
      <c r="J396">
        <v>197322.13</v>
      </c>
      <c r="K396" t="s">
        <v>23</v>
      </c>
      <c r="L396">
        <v>0.1824121195981605</v>
      </c>
      <c r="M396" t="s">
        <v>23</v>
      </c>
      <c r="N396">
        <v>0</v>
      </c>
      <c r="O396">
        <v>0</v>
      </c>
      <c r="P396" t="s">
        <v>34</v>
      </c>
      <c r="R396" t="s">
        <v>26</v>
      </c>
      <c r="S396" t="s">
        <v>37</v>
      </c>
      <c r="T396" t="s">
        <v>31</v>
      </c>
      <c r="U396">
        <f t="shared" si="6"/>
        <v>1</v>
      </c>
    </row>
    <row r="397" spans="1:21" x14ac:dyDescent="0.2">
      <c r="A397">
        <v>621</v>
      </c>
      <c r="B397" t="s">
        <v>42</v>
      </c>
      <c r="C397" t="s">
        <v>21</v>
      </c>
      <c r="D397">
        <v>47</v>
      </c>
      <c r="E397">
        <v>0</v>
      </c>
      <c r="F397">
        <v>0</v>
      </c>
      <c r="G397">
        <v>1</v>
      </c>
      <c r="H397" t="s">
        <v>22</v>
      </c>
      <c r="I397" t="s">
        <v>22</v>
      </c>
      <c r="J397">
        <v>133831.37</v>
      </c>
      <c r="K397" t="s">
        <v>22</v>
      </c>
      <c r="L397">
        <v>0.11341533652757781</v>
      </c>
      <c r="M397" t="s">
        <v>23</v>
      </c>
      <c r="N397">
        <v>1</v>
      </c>
      <c r="O397">
        <v>0</v>
      </c>
      <c r="P397" t="s">
        <v>34</v>
      </c>
      <c r="Q397" t="s">
        <v>25</v>
      </c>
      <c r="R397" t="s">
        <v>29</v>
      </c>
      <c r="S397" t="s">
        <v>27</v>
      </c>
      <c r="T397" t="s">
        <v>28</v>
      </c>
      <c r="U397">
        <f t="shared" si="6"/>
        <v>0</v>
      </c>
    </row>
    <row r="398" spans="1:21" x14ac:dyDescent="0.2">
      <c r="A398">
        <v>840</v>
      </c>
      <c r="B398" t="s">
        <v>42</v>
      </c>
      <c r="C398" t="s">
        <v>32</v>
      </c>
      <c r="D398">
        <v>39</v>
      </c>
      <c r="E398">
        <v>1</v>
      </c>
      <c r="F398">
        <v>94968.97</v>
      </c>
      <c r="G398">
        <v>1</v>
      </c>
      <c r="H398" t="s">
        <v>22</v>
      </c>
      <c r="I398" t="s">
        <v>23</v>
      </c>
      <c r="J398">
        <v>84487.62</v>
      </c>
      <c r="K398" t="s">
        <v>23</v>
      </c>
      <c r="L398">
        <v>0.27611809467458931</v>
      </c>
      <c r="M398" t="s">
        <v>23</v>
      </c>
      <c r="N398">
        <v>0</v>
      </c>
      <c r="O398">
        <v>0</v>
      </c>
      <c r="P398" t="s">
        <v>24</v>
      </c>
      <c r="Q398" t="s">
        <v>33</v>
      </c>
      <c r="R398" t="s">
        <v>38</v>
      </c>
      <c r="S398" t="s">
        <v>39</v>
      </c>
      <c r="T398" t="s">
        <v>40</v>
      </c>
      <c r="U398">
        <f t="shared" si="6"/>
        <v>1</v>
      </c>
    </row>
    <row r="399" spans="1:21" x14ac:dyDescent="0.2">
      <c r="A399">
        <v>667</v>
      </c>
      <c r="B399" t="s">
        <v>41</v>
      </c>
      <c r="C399" t="s">
        <v>32</v>
      </c>
      <c r="D399">
        <v>27</v>
      </c>
      <c r="E399">
        <v>3</v>
      </c>
      <c r="F399">
        <v>106116.5</v>
      </c>
      <c r="G399">
        <v>2</v>
      </c>
      <c r="H399" t="s">
        <v>22</v>
      </c>
      <c r="I399" t="s">
        <v>23</v>
      </c>
      <c r="J399">
        <v>3674.71</v>
      </c>
      <c r="K399" t="s">
        <v>23</v>
      </c>
      <c r="L399">
        <v>0.24917100497742339</v>
      </c>
      <c r="M399" t="s">
        <v>23</v>
      </c>
      <c r="N399">
        <v>0</v>
      </c>
      <c r="O399">
        <v>0</v>
      </c>
      <c r="P399" t="s">
        <v>24</v>
      </c>
      <c r="Q399" t="s">
        <v>36</v>
      </c>
      <c r="R399" t="s">
        <v>26</v>
      </c>
      <c r="S399" t="s">
        <v>27</v>
      </c>
      <c r="T399" t="s">
        <v>35</v>
      </c>
      <c r="U399">
        <f t="shared" si="6"/>
        <v>1</v>
      </c>
    </row>
    <row r="400" spans="1:21" x14ac:dyDescent="0.2">
      <c r="A400">
        <v>487</v>
      </c>
      <c r="B400" t="s">
        <v>42</v>
      </c>
      <c r="C400" t="s">
        <v>21</v>
      </c>
      <c r="D400">
        <v>45</v>
      </c>
      <c r="E400">
        <v>2</v>
      </c>
      <c r="F400">
        <v>0</v>
      </c>
      <c r="G400">
        <v>2</v>
      </c>
      <c r="H400" t="s">
        <v>22</v>
      </c>
      <c r="I400" t="s">
        <v>23</v>
      </c>
      <c r="J400">
        <v>77475.73</v>
      </c>
      <c r="K400" t="s">
        <v>23</v>
      </c>
      <c r="L400">
        <v>0.23211910984561429</v>
      </c>
      <c r="M400" t="s">
        <v>23</v>
      </c>
      <c r="N400">
        <v>0</v>
      </c>
      <c r="O400">
        <v>0</v>
      </c>
      <c r="P400" t="s">
        <v>24</v>
      </c>
      <c r="Q400" t="s">
        <v>25</v>
      </c>
      <c r="R400" t="s">
        <v>29</v>
      </c>
      <c r="S400" t="s">
        <v>45</v>
      </c>
      <c r="T400" t="s">
        <v>40</v>
      </c>
      <c r="U400">
        <f t="shared" si="6"/>
        <v>1</v>
      </c>
    </row>
    <row r="401" spans="1:21" x14ac:dyDescent="0.2">
      <c r="A401">
        <v>549</v>
      </c>
      <c r="B401" t="s">
        <v>42</v>
      </c>
      <c r="C401" t="s">
        <v>21</v>
      </c>
      <c r="D401">
        <v>37</v>
      </c>
      <c r="E401">
        <v>2</v>
      </c>
      <c r="F401">
        <v>112541.54</v>
      </c>
      <c r="G401">
        <v>2</v>
      </c>
      <c r="H401" t="s">
        <v>23</v>
      </c>
      <c r="I401" t="s">
        <v>23</v>
      </c>
      <c r="J401">
        <v>47432.43</v>
      </c>
      <c r="K401" t="s">
        <v>23</v>
      </c>
      <c r="L401">
        <v>0.17884917569742789</v>
      </c>
      <c r="M401" t="s">
        <v>23</v>
      </c>
      <c r="N401">
        <v>0</v>
      </c>
      <c r="O401">
        <v>0</v>
      </c>
      <c r="P401" t="s">
        <v>34</v>
      </c>
      <c r="Q401" t="s">
        <v>33</v>
      </c>
      <c r="R401" t="s">
        <v>26</v>
      </c>
      <c r="S401" t="s">
        <v>30</v>
      </c>
      <c r="T401" t="s">
        <v>35</v>
      </c>
      <c r="U401">
        <f t="shared" si="6"/>
        <v>1</v>
      </c>
    </row>
    <row r="402" spans="1:21" x14ac:dyDescent="0.2">
      <c r="A402">
        <v>712</v>
      </c>
      <c r="B402" t="s">
        <v>42</v>
      </c>
      <c r="C402" t="s">
        <v>32</v>
      </c>
      <c r="D402">
        <v>37</v>
      </c>
      <c r="E402">
        <v>1</v>
      </c>
      <c r="F402">
        <v>106881.5</v>
      </c>
      <c r="G402">
        <v>2</v>
      </c>
      <c r="H402" t="s">
        <v>23</v>
      </c>
      <c r="I402" t="s">
        <v>23</v>
      </c>
      <c r="J402">
        <v>169386.81</v>
      </c>
      <c r="K402" t="s">
        <v>23</v>
      </c>
      <c r="L402">
        <v>0.26576988816669511</v>
      </c>
      <c r="M402" t="s">
        <v>23</v>
      </c>
      <c r="N402">
        <v>0</v>
      </c>
      <c r="O402">
        <v>0</v>
      </c>
      <c r="P402" t="s">
        <v>24</v>
      </c>
      <c r="Q402" t="s">
        <v>33</v>
      </c>
      <c r="R402" t="s">
        <v>26</v>
      </c>
      <c r="S402" t="s">
        <v>37</v>
      </c>
      <c r="T402" t="s">
        <v>31</v>
      </c>
      <c r="U402">
        <f t="shared" si="6"/>
        <v>1</v>
      </c>
    </row>
    <row r="403" spans="1:21" x14ac:dyDescent="0.2">
      <c r="A403">
        <v>689</v>
      </c>
      <c r="B403" t="s">
        <v>41</v>
      </c>
      <c r="C403" t="s">
        <v>21</v>
      </c>
      <c r="D403">
        <v>26</v>
      </c>
      <c r="E403">
        <v>4</v>
      </c>
      <c r="F403">
        <v>120727.97</v>
      </c>
      <c r="G403">
        <v>1</v>
      </c>
      <c r="H403" t="s">
        <v>23</v>
      </c>
      <c r="I403" t="s">
        <v>22</v>
      </c>
      <c r="J403">
        <v>149073.88</v>
      </c>
      <c r="K403" t="s">
        <v>23</v>
      </c>
      <c r="L403">
        <v>6.9503035969906105E-2</v>
      </c>
      <c r="M403" t="s">
        <v>23</v>
      </c>
      <c r="N403">
        <v>0</v>
      </c>
      <c r="O403">
        <v>0</v>
      </c>
      <c r="P403" t="s">
        <v>34</v>
      </c>
      <c r="Q403" t="s">
        <v>36</v>
      </c>
      <c r="R403" t="s">
        <v>26</v>
      </c>
      <c r="S403" t="s">
        <v>27</v>
      </c>
      <c r="T403" t="s">
        <v>28</v>
      </c>
      <c r="U403">
        <f t="shared" si="6"/>
        <v>1</v>
      </c>
    </row>
    <row r="404" spans="1:21" x14ac:dyDescent="0.2">
      <c r="A404">
        <v>850</v>
      </c>
      <c r="B404" t="s">
        <v>42</v>
      </c>
      <c r="C404" t="s">
        <v>21</v>
      </c>
      <c r="D404">
        <v>63</v>
      </c>
      <c r="E404">
        <v>8</v>
      </c>
      <c r="F404">
        <v>169832.57</v>
      </c>
      <c r="G404">
        <v>1</v>
      </c>
      <c r="H404" t="s">
        <v>23</v>
      </c>
      <c r="I404" t="s">
        <v>23</v>
      </c>
      <c r="J404">
        <v>184107.26</v>
      </c>
      <c r="K404" t="s">
        <v>22</v>
      </c>
      <c r="L404">
        <v>0.59895292383586463</v>
      </c>
      <c r="M404" t="s">
        <v>22</v>
      </c>
      <c r="N404">
        <v>1</v>
      </c>
      <c r="O404">
        <v>1</v>
      </c>
      <c r="P404" t="s">
        <v>43</v>
      </c>
      <c r="Q404" t="s">
        <v>46</v>
      </c>
      <c r="R404" t="s">
        <v>47</v>
      </c>
      <c r="S404" t="s">
        <v>39</v>
      </c>
      <c r="T404" t="s">
        <v>31</v>
      </c>
      <c r="U404">
        <f t="shared" si="6"/>
        <v>1</v>
      </c>
    </row>
    <row r="405" spans="1:21" x14ac:dyDescent="0.2">
      <c r="A405">
        <v>744</v>
      </c>
      <c r="B405" t="s">
        <v>42</v>
      </c>
      <c r="C405" t="s">
        <v>21</v>
      </c>
      <c r="D405">
        <v>31</v>
      </c>
      <c r="E405">
        <v>9</v>
      </c>
      <c r="F405">
        <v>120718.28</v>
      </c>
      <c r="G405">
        <v>1</v>
      </c>
      <c r="H405" t="s">
        <v>22</v>
      </c>
      <c r="I405" t="s">
        <v>22</v>
      </c>
      <c r="J405">
        <v>58961.49</v>
      </c>
      <c r="K405" t="s">
        <v>23</v>
      </c>
      <c r="L405">
        <v>3.7962033893293889E-2</v>
      </c>
      <c r="M405" t="s">
        <v>23</v>
      </c>
      <c r="N405">
        <v>0</v>
      </c>
      <c r="O405">
        <v>0</v>
      </c>
      <c r="P405" t="s">
        <v>34</v>
      </c>
      <c r="Q405" t="s">
        <v>33</v>
      </c>
      <c r="R405" t="s">
        <v>26</v>
      </c>
      <c r="S405" t="s">
        <v>37</v>
      </c>
      <c r="T405" t="s">
        <v>40</v>
      </c>
      <c r="U405">
        <f t="shared" si="6"/>
        <v>1</v>
      </c>
    </row>
    <row r="406" spans="1:21" x14ac:dyDescent="0.2">
      <c r="A406">
        <v>640</v>
      </c>
      <c r="B406" t="s">
        <v>42</v>
      </c>
      <c r="C406" t="s">
        <v>21</v>
      </c>
      <c r="D406">
        <v>63</v>
      </c>
      <c r="E406">
        <v>2</v>
      </c>
      <c r="F406">
        <v>68432.45</v>
      </c>
      <c r="G406">
        <v>2</v>
      </c>
      <c r="H406" t="s">
        <v>22</v>
      </c>
      <c r="I406" t="s">
        <v>22</v>
      </c>
      <c r="J406">
        <v>112503.24</v>
      </c>
      <c r="K406" t="s">
        <v>22</v>
      </c>
      <c r="L406">
        <v>0.29664186108118079</v>
      </c>
      <c r="M406" t="s">
        <v>23</v>
      </c>
      <c r="N406">
        <v>1</v>
      </c>
      <c r="O406">
        <v>0</v>
      </c>
      <c r="P406" t="s">
        <v>24</v>
      </c>
      <c r="Q406" t="s">
        <v>46</v>
      </c>
      <c r="R406" t="s">
        <v>38</v>
      </c>
      <c r="S406" t="s">
        <v>27</v>
      </c>
      <c r="T406" t="s">
        <v>28</v>
      </c>
      <c r="U406">
        <f t="shared" si="6"/>
        <v>0</v>
      </c>
    </row>
    <row r="407" spans="1:21" x14ac:dyDescent="0.2">
      <c r="A407">
        <v>716</v>
      </c>
      <c r="B407" t="s">
        <v>42</v>
      </c>
      <c r="C407" t="s">
        <v>32</v>
      </c>
      <c r="D407">
        <v>52</v>
      </c>
      <c r="E407">
        <v>7</v>
      </c>
      <c r="F407">
        <v>65971.61</v>
      </c>
      <c r="G407">
        <v>2</v>
      </c>
      <c r="H407" t="s">
        <v>22</v>
      </c>
      <c r="I407" t="s">
        <v>23</v>
      </c>
      <c r="J407">
        <v>14608</v>
      </c>
      <c r="K407" t="s">
        <v>22</v>
      </c>
      <c r="L407">
        <v>0.43717656110799918</v>
      </c>
      <c r="M407" t="s">
        <v>23</v>
      </c>
      <c r="N407">
        <v>1</v>
      </c>
      <c r="O407">
        <v>0</v>
      </c>
      <c r="P407" t="s">
        <v>24</v>
      </c>
      <c r="Q407" t="s">
        <v>44</v>
      </c>
      <c r="R407" t="s">
        <v>38</v>
      </c>
      <c r="S407" t="s">
        <v>37</v>
      </c>
      <c r="T407" t="s">
        <v>35</v>
      </c>
      <c r="U407">
        <f t="shared" si="6"/>
        <v>0</v>
      </c>
    </row>
    <row r="408" spans="1:21" x14ac:dyDescent="0.2">
      <c r="A408">
        <v>595</v>
      </c>
      <c r="B408" t="s">
        <v>41</v>
      </c>
      <c r="C408" t="s">
        <v>32</v>
      </c>
      <c r="D408">
        <v>41</v>
      </c>
      <c r="E408">
        <v>9</v>
      </c>
      <c r="F408">
        <v>150463.10999999999</v>
      </c>
      <c r="G408">
        <v>2</v>
      </c>
      <c r="H408" t="s">
        <v>23</v>
      </c>
      <c r="I408" t="s">
        <v>22</v>
      </c>
      <c r="J408">
        <v>81548.38</v>
      </c>
      <c r="K408" t="s">
        <v>23</v>
      </c>
      <c r="L408">
        <v>0.26208475403663412</v>
      </c>
      <c r="M408" t="s">
        <v>23</v>
      </c>
      <c r="N408">
        <v>0</v>
      </c>
      <c r="O408">
        <v>0</v>
      </c>
      <c r="P408" t="s">
        <v>24</v>
      </c>
      <c r="Q408" t="s">
        <v>25</v>
      </c>
      <c r="R408" t="s">
        <v>47</v>
      </c>
      <c r="S408" t="s">
        <v>30</v>
      </c>
      <c r="T408" t="s">
        <v>40</v>
      </c>
      <c r="U408">
        <f t="shared" si="6"/>
        <v>1</v>
      </c>
    </row>
    <row r="409" spans="1:21" x14ac:dyDescent="0.2">
      <c r="A409">
        <v>667</v>
      </c>
      <c r="B409" t="s">
        <v>20</v>
      </c>
      <c r="C409" t="s">
        <v>21</v>
      </c>
      <c r="D409">
        <v>39</v>
      </c>
      <c r="E409">
        <v>9</v>
      </c>
      <c r="F409">
        <v>0</v>
      </c>
      <c r="G409">
        <v>2</v>
      </c>
      <c r="H409" t="s">
        <v>22</v>
      </c>
      <c r="I409" t="s">
        <v>23</v>
      </c>
      <c r="J409">
        <v>68873.8</v>
      </c>
      <c r="K409" t="s">
        <v>23</v>
      </c>
      <c r="L409">
        <v>0.13355740798496379</v>
      </c>
      <c r="M409" t="s">
        <v>23</v>
      </c>
      <c r="N409">
        <v>0</v>
      </c>
      <c r="O409">
        <v>0</v>
      </c>
      <c r="P409" t="s">
        <v>34</v>
      </c>
      <c r="Q409" t="s">
        <v>33</v>
      </c>
      <c r="R409" t="s">
        <v>29</v>
      </c>
      <c r="S409" t="s">
        <v>27</v>
      </c>
      <c r="T409" t="s">
        <v>40</v>
      </c>
      <c r="U409">
        <f t="shared" si="6"/>
        <v>1</v>
      </c>
    </row>
    <row r="410" spans="1:21" x14ac:dyDescent="0.2">
      <c r="A410">
        <v>661</v>
      </c>
      <c r="B410" t="s">
        <v>42</v>
      </c>
      <c r="C410" t="s">
        <v>32</v>
      </c>
      <c r="D410">
        <v>37</v>
      </c>
      <c r="E410">
        <v>5</v>
      </c>
      <c r="F410">
        <v>136425.18</v>
      </c>
      <c r="G410">
        <v>1</v>
      </c>
      <c r="H410" t="s">
        <v>22</v>
      </c>
      <c r="I410" t="s">
        <v>23</v>
      </c>
      <c r="J410">
        <v>81102.81</v>
      </c>
      <c r="K410" t="s">
        <v>23</v>
      </c>
      <c r="L410">
        <v>0.27658628616771741</v>
      </c>
      <c r="M410" t="s">
        <v>23</v>
      </c>
      <c r="N410">
        <v>0</v>
      </c>
      <c r="O410">
        <v>0</v>
      </c>
      <c r="P410" t="s">
        <v>24</v>
      </c>
      <c r="Q410" t="s">
        <v>33</v>
      </c>
      <c r="R410" t="s">
        <v>26</v>
      </c>
      <c r="S410" t="s">
        <v>27</v>
      </c>
      <c r="T410" t="s">
        <v>40</v>
      </c>
      <c r="U410">
        <f t="shared" si="6"/>
        <v>1</v>
      </c>
    </row>
    <row r="411" spans="1:21" x14ac:dyDescent="0.2">
      <c r="A411">
        <v>555</v>
      </c>
      <c r="B411" t="s">
        <v>42</v>
      </c>
      <c r="C411" t="s">
        <v>21</v>
      </c>
      <c r="D411">
        <v>55</v>
      </c>
      <c r="E411">
        <v>4</v>
      </c>
      <c r="F411">
        <v>146798.81</v>
      </c>
      <c r="G411">
        <v>1</v>
      </c>
      <c r="H411" t="s">
        <v>22</v>
      </c>
      <c r="I411" t="s">
        <v>22</v>
      </c>
      <c r="J411">
        <v>74149.77</v>
      </c>
      <c r="K411" t="s">
        <v>23</v>
      </c>
      <c r="L411">
        <v>0.24035190630999009</v>
      </c>
      <c r="M411" t="s">
        <v>23</v>
      </c>
      <c r="N411">
        <v>0</v>
      </c>
      <c r="O411">
        <v>0</v>
      </c>
      <c r="P411" t="s">
        <v>24</v>
      </c>
      <c r="Q411" t="s">
        <v>44</v>
      </c>
      <c r="R411" t="s">
        <v>26</v>
      </c>
      <c r="S411" t="s">
        <v>30</v>
      </c>
      <c r="T411" t="s">
        <v>40</v>
      </c>
      <c r="U411">
        <f t="shared" si="6"/>
        <v>1</v>
      </c>
    </row>
    <row r="412" spans="1:21" x14ac:dyDescent="0.2">
      <c r="A412">
        <v>678</v>
      </c>
      <c r="B412" t="s">
        <v>20</v>
      </c>
      <c r="C412" t="s">
        <v>32</v>
      </c>
      <c r="D412">
        <v>49</v>
      </c>
      <c r="E412">
        <v>8</v>
      </c>
      <c r="F412">
        <v>0</v>
      </c>
      <c r="G412">
        <v>2</v>
      </c>
      <c r="H412" t="s">
        <v>23</v>
      </c>
      <c r="I412" t="s">
        <v>22</v>
      </c>
      <c r="J412">
        <v>98090.69</v>
      </c>
      <c r="K412" t="s">
        <v>23</v>
      </c>
      <c r="L412">
        <v>0.16636733707088419</v>
      </c>
      <c r="M412" t="s">
        <v>23</v>
      </c>
      <c r="N412">
        <v>0</v>
      </c>
      <c r="O412">
        <v>0</v>
      </c>
      <c r="P412" t="s">
        <v>34</v>
      </c>
      <c r="Q412" t="s">
        <v>25</v>
      </c>
      <c r="R412" t="s">
        <v>29</v>
      </c>
      <c r="S412" t="s">
        <v>27</v>
      </c>
      <c r="T412" t="s">
        <v>40</v>
      </c>
      <c r="U412">
        <f t="shared" si="6"/>
        <v>1</v>
      </c>
    </row>
    <row r="413" spans="1:21" x14ac:dyDescent="0.2">
      <c r="A413">
        <v>768</v>
      </c>
      <c r="B413" t="s">
        <v>42</v>
      </c>
      <c r="C413" t="s">
        <v>21</v>
      </c>
      <c r="D413">
        <v>42</v>
      </c>
      <c r="E413">
        <v>5</v>
      </c>
      <c r="F413">
        <v>0</v>
      </c>
      <c r="G413">
        <v>3</v>
      </c>
      <c r="H413" t="s">
        <v>23</v>
      </c>
      <c r="I413" t="s">
        <v>23</v>
      </c>
      <c r="J413">
        <v>60686.400000000001</v>
      </c>
      <c r="K413" t="s">
        <v>23</v>
      </c>
      <c r="L413">
        <v>0.1476615796265118</v>
      </c>
      <c r="M413" t="s">
        <v>23</v>
      </c>
      <c r="N413">
        <v>0</v>
      </c>
      <c r="O413">
        <v>0</v>
      </c>
      <c r="P413" t="s">
        <v>34</v>
      </c>
      <c r="Q413" t="s">
        <v>25</v>
      </c>
      <c r="R413" t="s">
        <v>29</v>
      </c>
      <c r="S413" t="s">
        <v>37</v>
      </c>
      <c r="T413" t="s">
        <v>40</v>
      </c>
      <c r="U413">
        <f t="shared" si="6"/>
        <v>1</v>
      </c>
    </row>
    <row r="414" spans="1:21" x14ac:dyDescent="0.2">
      <c r="A414">
        <v>492</v>
      </c>
      <c r="B414" t="s">
        <v>42</v>
      </c>
      <c r="C414" t="s">
        <v>32</v>
      </c>
      <c r="D414">
        <v>31</v>
      </c>
      <c r="E414">
        <v>7</v>
      </c>
      <c r="F414">
        <v>0</v>
      </c>
      <c r="G414">
        <v>2</v>
      </c>
      <c r="H414" t="s">
        <v>22</v>
      </c>
      <c r="I414" t="s">
        <v>22</v>
      </c>
      <c r="J414">
        <v>49463.44</v>
      </c>
      <c r="K414" t="s">
        <v>23</v>
      </c>
      <c r="L414">
        <v>5.2512926892333493E-2</v>
      </c>
      <c r="M414" t="s">
        <v>23</v>
      </c>
      <c r="N414">
        <v>0</v>
      </c>
      <c r="O414">
        <v>0</v>
      </c>
      <c r="P414" t="s">
        <v>34</v>
      </c>
      <c r="Q414" t="s">
        <v>33</v>
      </c>
      <c r="R414" t="s">
        <v>29</v>
      </c>
      <c r="S414" t="s">
        <v>45</v>
      </c>
      <c r="T414" t="s">
        <v>35</v>
      </c>
      <c r="U414">
        <f t="shared" si="6"/>
        <v>1</v>
      </c>
    </row>
    <row r="415" spans="1:21" x14ac:dyDescent="0.2">
      <c r="A415">
        <v>596</v>
      </c>
      <c r="B415" t="s">
        <v>20</v>
      </c>
      <c r="C415" t="s">
        <v>21</v>
      </c>
      <c r="D415">
        <v>41</v>
      </c>
      <c r="E415">
        <v>5</v>
      </c>
      <c r="F415">
        <v>0</v>
      </c>
      <c r="G415">
        <v>2</v>
      </c>
      <c r="H415" t="s">
        <v>23</v>
      </c>
      <c r="I415" t="s">
        <v>22</v>
      </c>
      <c r="J415">
        <v>141053.85</v>
      </c>
      <c r="K415" t="s">
        <v>23</v>
      </c>
      <c r="L415">
        <v>6.8443902236653878E-2</v>
      </c>
      <c r="M415" t="s">
        <v>23</v>
      </c>
      <c r="N415">
        <v>0</v>
      </c>
      <c r="O415">
        <v>0</v>
      </c>
      <c r="P415" t="s">
        <v>34</v>
      </c>
      <c r="Q415" t="s">
        <v>25</v>
      </c>
      <c r="R415" t="s">
        <v>29</v>
      </c>
      <c r="S415" t="s">
        <v>30</v>
      </c>
      <c r="T415" t="s">
        <v>28</v>
      </c>
      <c r="U415">
        <f t="shared" si="6"/>
        <v>1</v>
      </c>
    </row>
    <row r="416" spans="1:21" x14ac:dyDescent="0.2">
      <c r="A416">
        <v>738</v>
      </c>
      <c r="B416" t="s">
        <v>41</v>
      </c>
      <c r="C416" t="s">
        <v>21</v>
      </c>
      <c r="D416">
        <v>35</v>
      </c>
      <c r="E416">
        <v>6</v>
      </c>
      <c r="F416">
        <v>101744.84</v>
      </c>
      <c r="G416">
        <v>1</v>
      </c>
      <c r="H416" t="s">
        <v>23</v>
      </c>
      <c r="I416" t="s">
        <v>23</v>
      </c>
      <c r="J416">
        <v>85185.44</v>
      </c>
      <c r="K416" t="s">
        <v>23</v>
      </c>
      <c r="L416">
        <v>0.26953417369877902</v>
      </c>
      <c r="M416" t="s">
        <v>23</v>
      </c>
      <c r="N416">
        <v>0</v>
      </c>
      <c r="O416">
        <v>0</v>
      </c>
      <c r="P416" t="s">
        <v>24</v>
      </c>
      <c r="Q416" t="s">
        <v>33</v>
      </c>
      <c r="R416" t="s">
        <v>26</v>
      </c>
      <c r="S416" t="s">
        <v>37</v>
      </c>
      <c r="T416" t="s">
        <v>40</v>
      </c>
      <c r="U416">
        <f t="shared" si="6"/>
        <v>1</v>
      </c>
    </row>
    <row r="417" spans="1:21" x14ac:dyDescent="0.2">
      <c r="A417">
        <v>460</v>
      </c>
      <c r="B417" t="s">
        <v>42</v>
      </c>
      <c r="C417" t="s">
        <v>32</v>
      </c>
      <c r="D417">
        <v>27</v>
      </c>
      <c r="E417">
        <v>7</v>
      </c>
      <c r="F417">
        <v>0</v>
      </c>
      <c r="G417">
        <v>2</v>
      </c>
      <c r="H417" t="s">
        <v>22</v>
      </c>
      <c r="I417" t="s">
        <v>23</v>
      </c>
      <c r="J417">
        <v>156150.07999999999</v>
      </c>
      <c r="K417" t="s">
        <v>22</v>
      </c>
      <c r="L417">
        <v>0.1174277940113647</v>
      </c>
      <c r="M417" t="s">
        <v>23</v>
      </c>
      <c r="N417">
        <v>1</v>
      </c>
      <c r="O417">
        <v>0</v>
      </c>
      <c r="P417" t="s">
        <v>34</v>
      </c>
      <c r="Q417" t="s">
        <v>36</v>
      </c>
      <c r="R417" t="s">
        <v>29</v>
      </c>
      <c r="S417" t="s">
        <v>45</v>
      </c>
      <c r="T417" t="s">
        <v>31</v>
      </c>
      <c r="U417">
        <f t="shared" si="6"/>
        <v>0</v>
      </c>
    </row>
    <row r="418" spans="1:21" x14ac:dyDescent="0.2">
      <c r="A418">
        <v>765</v>
      </c>
      <c r="B418" t="s">
        <v>20</v>
      </c>
      <c r="C418" t="s">
        <v>32</v>
      </c>
      <c r="D418">
        <v>32</v>
      </c>
      <c r="E418">
        <v>9</v>
      </c>
      <c r="F418">
        <v>178095.55</v>
      </c>
      <c r="G418">
        <v>1</v>
      </c>
      <c r="H418" t="s">
        <v>23</v>
      </c>
      <c r="I418" t="s">
        <v>23</v>
      </c>
      <c r="J418">
        <v>47247.56</v>
      </c>
      <c r="K418" t="s">
        <v>23</v>
      </c>
      <c r="L418">
        <v>0.2103395865836151</v>
      </c>
      <c r="M418" t="s">
        <v>23</v>
      </c>
      <c r="N418">
        <v>0</v>
      </c>
      <c r="O418">
        <v>0</v>
      </c>
      <c r="P418" t="s">
        <v>24</v>
      </c>
      <c r="Q418" t="s">
        <v>33</v>
      </c>
      <c r="R418" t="s">
        <v>47</v>
      </c>
      <c r="S418" t="s">
        <v>37</v>
      </c>
      <c r="T418" t="s">
        <v>35</v>
      </c>
      <c r="U418">
        <f t="shared" si="6"/>
        <v>1</v>
      </c>
    </row>
    <row r="419" spans="1:21" x14ac:dyDescent="0.2">
      <c r="A419">
        <v>651</v>
      </c>
      <c r="B419" t="s">
        <v>41</v>
      </c>
      <c r="C419" t="s">
        <v>32</v>
      </c>
      <c r="D419">
        <v>25</v>
      </c>
      <c r="E419">
        <v>2</v>
      </c>
      <c r="F419">
        <v>109175.14</v>
      </c>
      <c r="G419">
        <v>2</v>
      </c>
      <c r="H419" t="s">
        <v>22</v>
      </c>
      <c r="I419" t="s">
        <v>23</v>
      </c>
      <c r="J419">
        <v>114566.47</v>
      </c>
      <c r="K419" t="s">
        <v>23</v>
      </c>
      <c r="L419">
        <v>0.2404541324016036</v>
      </c>
      <c r="M419" t="s">
        <v>23</v>
      </c>
      <c r="N419">
        <v>0</v>
      </c>
      <c r="O419">
        <v>0</v>
      </c>
      <c r="P419" t="s">
        <v>24</v>
      </c>
      <c r="Q419" t="s">
        <v>36</v>
      </c>
      <c r="R419" t="s">
        <v>26</v>
      </c>
      <c r="S419" t="s">
        <v>27</v>
      </c>
      <c r="T419" t="s">
        <v>28</v>
      </c>
      <c r="U419">
        <f t="shared" si="6"/>
        <v>1</v>
      </c>
    </row>
    <row r="420" spans="1:21" x14ac:dyDescent="0.2">
      <c r="A420">
        <v>710</v>
      </c>
      <c r="B420" t="s">
        <v>41</v>
      </c>
      <c r="C420" t="s">
        <v>21</v>
      </c>
      <c r="D420">
        <v>34</v>
      </c>
      <c r="E420">
        <v>9</v>
      </c>
      <c r="F420">
        <v>134260.35999999999</v>
      </c>
      <c r="G420">
        <v>2</v>
      </c>
      <c r="H420" t="s">
        <v>22</v>
      </c>
      <c r="I420" t="s">
        <v>23</v>
      </c>
      <c r="J420">
        <v>147074.67000000001</v>
      </c>
      <c r="K420" t="s">
        <v>23</v>
      </c>
      <c r="L420">
        <v>0.24455171399357439</v>
      </c>
      <c r="M420" t="s">
        <v>23</v>
      </c>
      <c r="N420">
        <v>0</v>
      </c>
      <c r="O420">
        <v>0</v>
      </c>
      <c r="P420" t="s">
        <v>24</v>
      </c>
      <c r="Q420" t="s">
        <v>33</v>
      </c>
      <c r="R420" t="s">
        <v>26</v>
      </c>
      <c r="S420" t="s">
        <v>37</v>
      </c>
      <c r="T420" t="s">
        <v>28</v>
      </c>
      <c r="U420">
        <f t="shared" si="6"/>
        <v>1</v>
      </c>
    </row>
    <row r="421" spans="1:21" x14ac:dyDescent="0.2">
      <c r="A421">
        <v>688</v>
      </c>
      <c r="B421" t="s">
        <v>42</v>
      </c>
      <c r="C421" t="s">
        <v>32</v>
      </c>
      <c r="D421">
        <v>32</v>
      </c>
      <c r="E421">
        <v>6</v>
      </c>
      <c r="F421">
        <v>123157.95</v>
      </c>
      <c r="G421">
        <v>1</v>
      </c>
      <c r="H421" t="s">
        <v>22</v>
      </c>
      <c r="I421" t="s">
        <v>23</v>
      </c>
      <c r="J421">
        <v>172531.23</v>
      </c>
      <c r="K421" t="s">
        <v>23</v>
      </c>
      <c r="L421">
        <v>0.20535771343160941</v>
      </c>
      <c r="M421" t="s">
        <v>23</v>
      </c>
      <c r="N421">
        <v>0</v>
      </c>
      <c r="O421">
        <v>0</v>
      </c>
      <c r="P421" t="s">
        <v>24</v>
      </c>
      <c r="Q421" t="s">
        <v>33</v>
      </c>
      <c r="R421" t="s">
        <v>26</v>
      </c>
      <c r="S421" t="s">
        <v>27</v>
      </c>
      <c r="T421" t="s">
        <v>31</v>
      </c>
      <c r="U421">
        <f t="shared" si="6"/>
        <v>1</v>
      </c>
    </row>
    <row r="422" spans="1:21" x14ac:dyDescent="0.2">
      <c r="A422">
        <v>727</v>
      </c>
      <c r="B422" t="s">
        <v>42</v>
      </c>
      <c r="C422" t="s">
        <v>21</v>
      </c>
      <c r="D422">
        <v>18</v>
      </c>
      <c r="E422">
        <v>4</v>
      </c>
      <c r="F422">
        <v>133550.67000000001</v>
      </c>
      <c r="G422">
        <v>1</v>
      </c>
      <c r="H422" t="s">
        <v>22</v>
      </c>
      <c r="I422" t="s">
        <v>22</v>
      </c>
      <c r="J422">
        <v>46941.41</v>
      </c>
      <c r="K422" t="s">
        <v>23</v>
      </c>
      <c r="L422">
        <v>1.7004343522304309E-2</v>
      </c>
      <c r="M422" t="s">
        <v>23</v>
      </c>
      <c r="N422">
        <v>0</v>
      </c>
      <c r="O422">
        <v>0</v>
      </c>
      <c r="P422" t="s">
        <v>34</v>
      </c>
      <c r="R422" t="s">
        <v>26</v>
      </c>
      <c r="S422" t="s">
        <v>37</v>
      </c>
      <c r="T422" t="s">
        <v>35</v>
      </c>
      <c r="U422">
        <f t="shared" si="6"/>
        <v>1</v>
      </c>
    </row>
    <row r="423" spans="1:21" x14ac:dyDescent="0.2">
      <c r="A423">
        <v>836</v>
      </c>
      <c r="B423" t="s">
        <v>20</v>
      </c>
      <c r="C423" t="s">
        <v>21</v>
      </c>
      <c r="D423">
        <v>57</v>
      </c>
      <c r="E423">
        <v>4</v>
      </c>
      <c r="F423">
        <v>101247.06</v>
      </c>
      <c r="G423">
        <v>1</v>
      </c>
      <c r="H423" t="s">
        <v>22</v>
      </c>
      <c r="I423" t="s">
        <v>23</v>
      </c>
      <c r="J423">
        <v>37141.620000000003</v>
      </c>
      <c r="K423" t="s">
        <v>22</v>
      </c>
      <c r="L423">
        <v>0.44824014641422982</v>
      </c>
      <c r="M423" t="s">
        <v>23</v>
      </c>
      <c r="N423">
        <v>1</v>
      </c>
      <c r="O423">
        <v>0</v>
      </c>
      <c r="P423" t="s">
        <v>24</v>
      </c>
      <c r="Q423" t="s">
        <v>44</v>
      </c>
      <c r="R423" t="s">
        <v>26</v>
      </c>
      <c r="S423" t="s">
        <v>39</v>
      </c>
      <c r="T423" t="s">
        <v>35</v>
      </c>
      <c r="U423">
        <f t="shared" si="6"/>
        <v>0</v>
      </c>
    </row>
    <row r="424" spans="1:21" x14ac:dyDescent="0.2">
      <c r="A424">
        <v>753</v>
      </c>
      <c r="B424" t="s">
        <v>42</v>
      </c>
      <c r="C424" t="s">
        <v>21</v>
      </c>
      <c r="D424">
        <v>57</v>
      </c>
      <c r="E424">
        <v>7</v>
      </c>
      <c r="F424">
        <v>0</v>
      </c>
      <c r="G424">
        <v>1</v>
      </c>
      <c r="H424" t="s">
        <v>22</v>
      </c>
      <c r="I424" t="s">
        <v>23</v>
      </c>
      <c r="J424">
        <v>159475.07999999999</v>
      </c>
      <c r="K424" t="s">
        <v>22</v>
      </c>
      <c r="L424">
        <v>0.39124633218526911</v>
      </c>
      <c r="M424" t="s">
        <v>23</v>
      </c>
      <c r="N424">
        <v>1</v>
      </c>
      <c r="O424">
        <v>0</v>
      </c>
      <c r="P424" t="s">
        <v>24</v>
      </c>
      <c r="Q424" t="s">
        <v>44</v>
      </c>
      <c r="R424" t="s">
        <v>29</v>
      </c>
      <c r="S424" t="s">
        <v>37</v>
      </c>
      <c r="T424" t="s">
        <v>31</v>
      </c>
      <c r="U424">
        <f t="shared" si="6"/>
        <v>0</v>
      </c>
    </row>
    <row r="425" spans="1:21" x14ac:dyDescent="0.2">
      <c r="A425">
        <v>606</v>
      </c>
      <c r="B425" t="s">
        <v>41</v>
      </c>
      <c r="C425" t="s">
        <v>21</v>
      </c>
      <c r="D425">
        <v>65</v>
      </c>
      <c r="E425">
        <v>10</v>
      </c>
      <c r="F425">
        <v>126306.64</v>
      </c>
      <c r="G425">
        <v>3</v>
      </c>
      <c r="H425" t="s">
        <v>23</v>
      </c>
      <c r="I425" t="s">
        <v>23</v>
      </c>
      <c r="J425">
        <v>7861.68</v>
      </c>
      <c r="K425" t="s">
        <v>22</v>
      </c>
      <c r="L425">
        <v>0.74043276848756434</v>
      </c>
      <c r="M425" t="s">
        <v>22</v>
      </c>
      <c r="N425">
        <v>1</v>
      </c>
      <c r="O425">
        <v>1</v>
      </c>
      <c r="P425" t="s">
        <v>43</v>
      </c>
      <c r="Q425" t="s">
        <v>46</v>
      </c>
      <c r="R425" t="s">
        <v>26</v>
      </c>
      <c r="S425" t="s">
        <v>27</v>
      </c>
      <c r="T425" t="s">
        <v>35</v>
      </c>
      <c r="U425">
        <f t="shared" si="6"/>
        <v>1</v>
      </c>
    </row>
    <row r="426" spans="1:21" x14ac:dyDescent="0.2">
      <c r="A426">
        <v>660</v>
      </c>
      <c r="B426" t="s">
        <v>42</v>
      </c>
      <c r="C426" t="s">
        <v>32</v>
      </c>
      <c r="D426">
        <v>35</v>
      </c>
      <c r="E426">
        <v>6</v>
      </c>
      <c r="F426">
        <v>100768.77</v>
      </c>
      <c r="G426">
        <v>1</v>
      </c>
      <c r="H426" t="s">
        <v>22</v>
      </c>
      <c r="I426" t="s">
        <v>23</v>
      </c>
      <c r="J426">
        <v>19199.61</v>
      </c>
      <c r="K426" t="s">
        <v>23</v>
      </c>
      <c r="L426">
        <v>0.2217344555445119</v>
      </c>
      <c r="M426" t="s">
        <v>23</v>
      </c>
      <c r="N426">
        <v>0</v>
      </c>
      <c r="O426">
        <v>0</v>
      </c>
      <c r="P426" t="s">
        <v>24</v>
      </c>
      <c r="Q426" t="s">
        <v>33</v>
      </c>
      <c r="R426" t="s">
        <v>26</v>
      </c>
      <c r="S426" t="s">
        <v>27</v>
      </c>
      <c r="T426" t="s">
        <v>35</v>
      </c>
      <c r="U426">
        <f t="shared" si="6"/>
        <v>1</v>
      </c>
    </row>
    <row r="427" spans="1:21" x14ac:dyDescent="0.2">
      <c r="A427">
        <v>731</v>
      </c>
      <c r="B427" t="s">
        <v>42</v>
      </c>
      <c r="C427" t="s">
        <v>32</v>
      </c>
      <c r="D427">
        <v>40</v>
      </c>
      <c r="E427">
        <v>7</v>
      </c>
      <c r="F427">
        <v>118991.79</v>
      </c>
      <c r="G427">
        <v>1</v>
      </c>
      <c r="H427" t="s">
        <v>22</v>
      </c>
      <c r="I427" t="s">
        <v>22</v>
      </c>
      <c r="J427">
        <v>156048.64000000001</v>
      </c>
      <c r="K427" t="s">
        <v>23</v>
      </c>
      <c r="L427">
        <v>0.12779050799068259</v>
      </c>
      <c r="M427" t="s">
        <v>23</v>
      </c>
      <c r="N427">
        <v>0</v>
      </c>
      <c r="O427">
        <v>0</v>
      </c>
      <c r="P427" t="s">
        <v>34</v>
      </c>
      <c r="Q427" t="s">
        <v>33</v>
      </c>
      <c r="R427" t="s">
        <v>26</v>
      </c>
      <c r="S427" t="s">
        <v>37</v>
      </c>
      <c r="T427" t="s">
        <v>31</v>
      </c>
      <c r="U427">
        <f t="shared" si="6"/>
        <v>1</v>
      </c>
    </row>
    <row r="428" spans="1:21" x14ac:dyDescent="0.2">
      <c r="A428">
        <v>727</v>
      </c>
      <c r="B428" t="s">
        <v>42</v>
      </c>
      <c r="C428" t="s">
        <v>21</v>
      </c>
      <c r="D428">
        <v>28</v>
      </c>
      <c r="E428">
        <v>5</v>
      </c>
      <c r="F428">
        <v>0</v>
      </c>
      <c r="G428">
        <v>2</v>
      </c>
      <c r="H428" t="s">
        <v>23</v>
      </c>
      <c r="I428" t="s">
        <v>22</v>
      </c>
      <c r="J428">
        <v>19653.080000000002</v>
      </c>
      <c r="K428" t="s">
        <v>23</v>
      </c>
      <c r="L428">
        <v>2.253722590670321E-2</v>
      </c>
      <c r="M428" t="s">
        <v>23</v>
      </c>
      <c r="N428">
        <v>0</v>
      </c>
      <c r="O428">
        <v>0</v>
      </c>
      <c r="P428" t="s">
        <v>34</v>
      </c>
      <c r="Q428" t="s">
        <v>36</v>
      </c>
      <c r="R428" t="s">
        <v>29</v>
      </c>
      <c r="S428" t="s">
        <v>37</v>
      </c>
      <c r="T428" t="s">
        <v>35</v>
      </c>
      <c r="U428">
        <f t="shared" si="6"/>
        <v>1</v>
      </c>
    </row>
    <row r="429" spans="1:21" x14ac:dyDescent="0.2">
      <c r="A429">
        <v>605</v>
      </c>
      <c r="B429" t="s">
        <v>42</v>
      </c>
      <c r="C429" t="s">
        <v>21</v>
      </c>
      <c r="D429">
        <v>35</v>
      </c>
      <c r="E429">
        <v>6</v>
      </c>
      <c r="F429">
        <v>0</v>
      </c>
      <c r="G429">
        <v>2</v>
      </c>
      <c r="H429" t="s">
        <v>22</v>
      </c>
      <c r="I429" t="s">
        <v>22</v>
      </c>
      <c r="J429">
        <v>45206.57</v>
      </c>
      <c r="K429" t="s">
        <v>23</v>
      </c>
      <c r="L429">
        <v>3.8974957956284473E-2</v>
      </c>
      <c r="M429" t="s">
        <v>23</v>
      </c>
      <c r="N429">
        <v>0</v>
      </c>
      <c r="O429">
        <v>0</v>
      </c>
      <c r="P429" t="s">
        <v>34</v>
      </c>
      <c r="Q429" t="s">
        <v>33</v>
      </c>
      <c r="R429" t="s">
        <v>29</v>
      </c>
      <c r="S429" t="s">
        <v>27</v>
      </c>
      <c r="T429" t="s">
        <v>35</v>
      </c>
      <c r="U429">
        <f t="shared" si="6"/>
        <v>1</v>
      </c>
    </row>
    <row r="430" spans="1:21" x14ac:dyDescent="0.2">
      <c r="A430">
        <v>698</v>
      </c>
      <c r="B430" t="s">
        <v>42</v>
      </c>
      <c r="C430" t="s">
        <v>32</v>
      </c>
      <c r="D430">
        <v>46</v>
      </c>
      <c r="E430">
        <v>0</v>
      </c>
      <c r="F430">
        <v>0</v>
      </c>
      <c r="G430">
        <v>2</v>
      </c>
      <c r="H430" t="s">
        <v>22</v>
      </c>
      <c r="I430" t="s">
        <v>22</v>
      </c>
      <c r="J430">
        <v>125962.02</v>
      </c>
      <c r="K430" t="s">
        <v>23</v>
      </c>
      <c r="L430">
        <v>0.14878493596683551</v>
      </c>
      <c r="M430" t="s">
        <v>23</v>
      </c>
      <c r="N430">
        <v>0</v>
      </c>
      <c r="O430">
        <v>0</v>
      </c>
      <c r="P430" t="s">
        <v>34</v>
      </c>
      <c r="Q430" t="s">
        <v>25</v>
      </c>
      <c r="R430" t="s">
        <v>29</v>
      </c>
      <c r="S430" t="s">
        <v>27</v>
      </c>
      <c r="T430" t="s">
        <v>28</v>
      </c>
      <c r="U430">
        <f t="shared" si="6"/>
        <v>1</v>
      </c>
    </row>
    <row r="431" spans="1:21" x14ac:dyDescent="0.2">
      <c r="A431">
        <v>757</v>
      </c>
      <c r="B431" t="s">
        <v>41</v>
      </c>
      <c r="C431" t="s">
        <v>32</v>
      </c>
      <c r="D431">
        <v>34</v>
      </c>
      <c r="E431">
        <v>9</v>
      </c>
      <c r="F431">
        <v>101861.36</v>
      </c>
      <c r="G431">
        <v>2</v>
      </c>
      <c r="H431" t="s">
        <v>23</v>
      </c>
      <c r="I431" t="s">
        <v>23</v>
      </c>
      <c r="J431">
        <v>187011.96</v>
      </c>
      <c r="K431" t="s">
        <v>23</v>
      </c>
      <c r="L431">
        <v>0.34471223623630859</v>
      </c>
      <c r="M431" t="s">
        <v>23</v>
      </c>
      <c r="N431">
        <v>0</v>
      </c>
      <c r="O431">
        <v>0</v>
      </c>
      <c r="P431" t="s">
        <v>24</v>
      </c>
      <c r="Q431" t="s">
        <v>33</v>
      </c>
      <c r="R431" t="s">
        <v>26</v>
      </c>
      <c r="S431" t="s">
        <v>37</v>
      </c>
      <c r="T431" t="s">
        <v>31</v>
      </c>
      <c r="U431">
        <f t="shared" si="6"/>
        <v>1</v>
      </c>
    </row>
    <row r="432" spans="1:21" x14ac:dyDescent="0.2">
      <c r="A432">
        <v>774</v>
      </c>
      <c r="B432" t="s">
        <v>20</v>
      </c>
      <c r="C432" t="s">
        <v>32</v>
      </c>
      <c r="D432">
        <v>43</v>
      </c>
      <c r="E432">
        <v>1</v>
      </c>
      <c r="F432">
        <v>116360.07</v>
      </c>
      <c r="G432">
        <v>1</v>
      </c>
      <c r="H432" t="s">
        <v>22</v>
      </c>
      <c r="I432" t="s">
        <v>23</v>
      </c>
      <c r="J432">
        <v>17004.14</v>
      </c>
      <c r="K432" t="s">
        <v>23</v>
      </c>
      <c r="L432">
        <v>0.36215481283227302</v>
      </c>
      <c r="M432" t="s">
        <v>23</v>
      </c>
      <c r="N432">
        <v>0</v>
      </c>
      <c r="O432">
        <v>0</v>
      </c>
      <c r="P432" t="s">
        <v>24</v>
      </c>
      <c r="Q432" t="s">
        <v>25</v>
      </c>
      <c r="R432" t="s">
        <v>26</v>
      </c>
      <c r="S432" t="s">
        <v>37</v>
      </c>
      <c r="T432" t="s">
        <v>35</v>
      </c>
      <c r="U432">
        <f t="shared" si="6"/>
        <v>1</v>
      </c>
    </row>
    <row r="433" spans="1:21" x14ac:dyDescent="0.2">
      <c r="A433">
        <v>699</v>
      </c>
      <c r="B433" t="s">
        <v>20</v>
      </c>
      <c r="C433" t="s">
        <v>21</v>
      </c>
      <c r="D433">
        <v>34</v>
      </c>
      <c r="E433">
        <v>8</v>
      </c>
      <c r="F433">
        <v>0</v>
      </c>
      <c r="G433">
        <v>1</v>
      </c>
      <c r="H433" t="s">
        <v>22</v>
      </c>
      <c r="I433" t="s">
        <v>22</v>
      </c>
      <c r="J433">
        <v>76510.460000000006</v>
      </c>
      <c r="K433" t="s">
        <v>23</v>
      </c>
      <c r="L433">
        <v>3.826586209055944E-2</v>
      </c>
      <c r="M433" t="s">
        <v>23</v>
      </c>
      <c r="N433">
        <v>0</v>
      </c>
      <c r="O433">
        <v>0</v>
      </c>
      <c r="P433" t="s">
        <v>34</v>
      </c>
      <c r="Q433" t="s">
        <v>33</v>
      </c>
      <c r="R433" t="s">
        <v>29</v>
      </c>
      <c r="S433" t="s">
        <v>27</v>
      </c>
      <c r="T433" t="s">
        <v>40</v>
      </c>
      <c r="U433">
        <f t="shared" si="6"/>
        <v>1</v>
      </c>
    </row>
    <row r="434" spans="1:21" x14ac:dyDescent="0.2">
      <c r="A434">
        <v>773</v>
      </c>
      <c r="B434" t="s">
        <v>41</v>
      </c>
      <c r="C434" t="s">
        <v>21</v>
      </c>
      <c r="D434">
        <v>47</v>
      </c>
      <c r="E434">
        <v>2</v>
      </c>
      <c r="F434">
        <v>118079.47</v>
      </c>
      <c r="G434">
        <v>4</v>
      </c>
      <c r="H434" t="s">
        <v>22</v>
      </c>
      <c r="I434" t="s">
        <v>22</v>
      </c>
      <c r="J434">
        <v>143007.49</v>
      </c>
      <c r="K434" t="s">
        <v>22</v>
      </c>
      <c r="L434">
        <v>0.19585929792609569</v>
      </c>
      <c r="M434" t="s">
        <v>23</v>
      </c>
      <c r="N434">
        <v>1</v>
      </c>
      <c r="O434">
        <v>0</v>
      </c>
      <c r="P434" t="s">
        <v>34</v>
      </c>
      <c r="Q434" t="s">
        <v>25</v>
      </c>
      <c r="R434" t="s">
        <v>26</v>
      </c>
      <c r="S434" t="s">
        <v>37</v>
      </c>
      <c r="T434" t="s">
        <v>28</v>
      </c>
      <c r="U434">
        <f t="shared" si="6"/>
        <v>0</v>
      </c>
    </row>
    <row r="435" spans="1:21" x14ac:dyDescent="0.2">
      <c r="A435">
        <v>509</v>
      </c>
      <c r="B435" t="s">
        <v>42</v>
      </c>
      <c r="C435" t="s">
        <v>21</v>
      </c>
      <c r="D435">
        <v>31</v>
      </c>
      <c r="E435">
        <v>3</v>
      </c>
      <c r="F435">
        <v>0</v>
      </c>
      <c r="G435">
        <v>2</v>
      </c>
      <c r="H435" t="s">
        <v>22</v>
      </c>
      <c r="I435" t="s">
        <v>23</v>
      </c>
      <c r="J435">
        <v>15360.91</v>
      </c>
      <c r="K435" t="s">
        <v>23</v>
      </c>
      <c r="L435">
        <v>9.0952629333612603E-2</v>
      </c>
      <c r="M435" t="s">
        <v>23</v>
      </c>
      <c r="N435">
        <v>0</v>
      </c>
      <c r="O435">
        <v>0</v>
      </c>
      <c r="P435" t="s">
        <v>34</v>
      </c>
      <c r="Q435" t="s">
        <v>33</v>
      </c>
      <c r="R435" t="s">
        <v>29</v>
      </c>
      <c r="S435" t="s">
        <v>30</v>
      </c>
      <c r="T435" t="s">
        <v>35</v>
      </c>
      <c r="U435">
        <f t="shared" si="6"/>
        <v>1</v>
      </c>
    </row>
    <row r="436" spans="1:21" x14ac:dyDescent="0.2">
      <c r="A436">
        <v>509</v>
      </c>
      <c r="B436" t="s">
        <v>20</v>
      </c>
      <c r="C436" t="s">
        <v>21</v>
      </c>
      <c r="D436">
        <v>38</v>
      </c>
      <c r="E436">
        <v>2</v>
      </c>
      <c r="F436">
        <v>0</v>
      </c>
      <c r="G436">
        <v>1</v>
      </c>
      <c r="H436" t="s">
        <v>23</v>
      </c>
      <c r="I436" t="s">
        <v>23</v>
      </c>
      <c r="J436">
        <v>168460.12</v>
      </c>
      <c r="K436" t="s">
        <v>23</v>
      </c>
      <c r="L436">
        <v>0.18176796244233201</v>
      </c>
      <c r="M436" t="s">
        <v>23</v>
      </c>
      <c r="N436">
        <v>0</v>
      </c>
      <c r="O436">
        <v>0</v>
      </c>
      <c r="P436" t="s">
        <v>34</v>
      </c>
      <c r="Q436" t="s">
        <v>33</v>
      </c>
      <c r="R436" t="s">
        <v>29</v>
      </c>
      <c r="S436" t="s">
        <v>30</v>
      </c>
      <c r="T436" t="s">
        <v>31</v>
      </c>
      <c r="U436">
        <f t="shared" si="6"/>
        <v>1</v>
      </c>
    </row>
    <row r="437" spans="1:21" x14ac:dyDescent="0.2">
      <c r="A437">
        <v>609</v>
      </c>
      <c r="B437" t="s">
        <v>42</v>
      </c>
      <c r="C437" t="s">
        <v>21</v>
      </c>
      <c r="D437">
        <v>34</v>
      </c>
      <c r="E437">
        <v>1</v>
      </c>
      <c r="F437">
        <v>0</v>
      </c>
      <c r="G437">
        <v>1</v>
      </c>
      <c r="H437" t="s">
        <v>22</v>
      </c>
      <c r="I437" t="s">
        <v>22</v>
      </c>
      <c r="J437">
        <v>181177.9</v>
      </c>
      <c r="K437" t="s">
        <v>23</v>
      </c>
      <c r="L437">
        <v>4.7280554216540087E-2</v>
      </c>
      <c r="M437" t="s">
        <v>23</v>
      </c>
      <c r="N437">
        <v>0</v>
      </c>
      <c r="O437">
        <v>0</v>
      </c>
      <c r="P437" t="s">
        <v>34</v>
      </c>
      <c r="Q437" t="s">
        <v>33</v>
      </c>
      <c r="R437" t="s">
        <v>29</v>
      </c>
      <c r="S437" t="s">
        <v>27</v>
      </c>
      <c r="T437" t="s">
        <v>31</v>
      </c>
      <c r="U437">
        <f t="shared" si="6"/>
        <v>1</v>
      </c>
    </row>
    <row r="438" spans="1:21" x14ac:dyDescent="0.2">
      <c r="A438">
        <v>717</v>
      </c>
      <c r="B438" t="s">
        <v>42</v>
      </c>
      <c r="C438" t="s">
        <v>21</v>
      </c>
      <c r="D438">
        <v>40</v>
      </c>
      <c r="E438">
        <v>0</v>
      </c>
      <c r="F438">
        <v>98241.04</v>
      </c>
      <c r="G438">
        <v>1</v>
      </c>
      <c r="H438" t="s">
        <v>22</v>
      </c>
      <c r="I438" t="s">
        <v>23</v>
      </c>
      <c r="J438">
        <v>110887.14</v>
      </c>
      <c r="K438" t="s">
        <v>23</v>
      </c>
      <c r="L438">
        <v>0.21263995166467989</v>
      </c>
      <c r="M438" t="s">
        <v>23</v>
      </c>
      <c r="N438">
        <v>0</v>
      </c>
      <c r="O438">
        <v>0</v>
      </c>
      <c r="P438" t="s">
        <v>24</v>
      </c>
      <c r="Q438" t="s">
        <v>33</v>
      </c>
      <c r="R438" t="s">
        <v>38</v>
      </c>
      <c r="S438" t="s">
        <v>37</v>
      </c>
      <c r="T438" t="s">
        <v>28</v>
      </c>
      <c r="U438">
        <f t="shared" si="6"/>
        <v>1</v>
      </c>
    </row>
    <row r="439" spans="1:21" x14ac:dyDescent="0.2">
      <c r="A439">
        <v>498</v>
      </c>
      <c r="B439" t="s">
        <v>41</v>
      </c>
      <c r="C439" t="s">
        <v>32</v>
      </c>
      <c r="D439">
        <v>41</v>
      </c>
      <c r="E439">
        <v>4</v>
      </c>
      <c r="F439">
        <v>87541.06</v>
      </c>
      <c r="G439">
        <v>2</v>
      </c>
      <c r="H439" t="s">
        <v>22</v>
      </c>
      <c r="I439" t="s">
        <v>22</v>
      </c>
      <c r="J439">
        <v>12577.21</v>
      </c>
      <c r="K439" t="s">
        <v>22</v>
      </c>
      <c r="L439">
        <v>0.2491877869965673</v>
      </c>
      <c r="M439" t="s">
        <v>23</v>
      </c>
      <c r="N439">
        <v>1</v>
      </c>
      <c r="O439">
        <v>0</v>
      </c>
      <c r="P439" t="s">
        <v>24</v>
      </c>
      <c r="Q439" t="s">
        <v>25</v>
      </c>
      <c r="R439" t="s">
        <v>38</v>
      </c>
      <c r="S439" t="s">
        <v>45</v>
      </c>
      <c r="T439" t="s">
        <v>35</v>
      </c>
      <c r="U439">
        <f t="shared" si="6"/>
        <v>0</v>
      </c>
    </row>
    <row r="440" spans="1:21" x14ac:dyDescent="0.2">
      <c r="A440">
        <v>711</v>
      </c>
      <c r="B440" t="s">
        <v>41</v>
      </c>
      <c r="C440" t="s">
        <v>21</v>
      </c>
      <c r="D440">
        <v>43</v>
      </c>
      <c r="E440">
        <v>2</v>
      </c>
      <c r="F440">
        <v>39043.29</v>
      </c>
      <c r="G440">
        <v>2</v>
      </c>
      <c r="H440" t="s">
        <v>22</v>
      </c>
      <c r="I440" t="s">
        <v>22</v>
      </c>
      <c r="J440">
        <v>175423.69</v>
      </c>
      <c r="K440" t="s">
        <v>23</v>
      </c>
      <c r="L440">
        <v>0.161797645730408</v>
      </c>
      <c r="M440" t="s">
        <v>23</v>
      </c>
      <c r="N440">
        <v>0</v>
      </c>
      <c r="O440">
        <v>0</v>
      </c>
      <c r="P440" t="s">
        <v>34</v>
      </c>
      <c r="Q440" t="s">
        <v>25</v>
      </c>
      <c r="R440" t="s">
        <v>48</v>
      </c>
      <c r="S440" t="s">
        <v>37</v>
      </c>
      <c r="T440" t="s">
        <v>31</v>
      </c>
      <c r="U440">
        <f t="shared" si="6"/>
        <v>1</v>
      </c>
    </row>
    <row r="441" spans="1:21" x14ac:dyDescent="0.2">
      <c r="A441">
        <v>790</v>
      </c>
      <c r="B441" t="s">
        <v>20</v>
      </c>
      <c r="C441" t="s">
        <v>21</v>
      </c>
      <c r="D441">
        <v>46</v>
      </c>
      <c r="E441">
        <v>2</v>
      </c>
      <c r="F441">
        <v>131365.37</v>
      </c>
      <c r="G441">
        <v>2</v>
      </c>
      <c r="H441" t="s">
        <v>22</v>
      </c>
      <c r="I441" t="s">
        <v>22</v>
      </c>
      <c r="J441">
        <v>180290.68</v>
      </c>
      <c r="K441" t="s">
        <v>23</v>
      </c>
      <c r="L441">
        <v>0.12072156591198339</v>
      </c>
      <c r="M441" t="s">
        <v>23</v>
      </c>
      <c r="N441">
        <v>0</v>
      </c>
      <c r="O441">
        <v>0</v>
      </c>
      <c r="P441" t="s">
        <v>34</v>
      </c>
      <c r="Q441" t="s">
        <v>25</v>
      </c>
      <c r="R441" t="s">
        <v>26</v>
      </c>
      <c r="S441" t="s">
        <v>37</v>
      </c>
      <c r="T441" t="s">
        <v>31</v>
      </c>
      <c r="U441">
        <f t="shared" si="6"/>
        <v>1</v>
      </c>
    </row>
    <row r="442" spans="1:21" x14ac:dyDescent="0.2">
      <c r="A442">
        <v>565</v>
      </c>
      <c r="B442" t="s">
        <v>20</v>
      </c>
      <c r="C442" t="s">
        <v>21</v>
      </c>
      <c r="D442">
        <v>38</v>
      </c>
      <c r="E442">
        <v>0</v>
      </c>
      <c r="F442">
        <v>122447.76</v>
      </c>
      <c r="G442">
        <v>1</v>
      </c>
      <c r="H442" t="s">
        <v>23</v>
      </c>
      <c r="I442" t="s">
        <v>23</v>
      </c>
      <c r="J442">
        <v>67339.34</v>
      </c>
      <c r="K442" t="s">
        <v>23</v>
      </c>
      <c r="L442">
        <v>0.22394454926538249</v>
      </c>
      <c r="M442" t="s">
        <v>23</v>
      </c>
      <c r="N442">
        <v>0</v>
      </c>
      <c r="O442">
        <v>0</v>
      </c>
      <c r="P442" t="s">
        <v>24</v>
      </c>
      <c r="Q442" t="s">
        <v>33</v>
      </c>
      <c r="R442" t="s">
        <v>26</v>
      </c>
      <c r="S442" t="s">
        <v>30</v>
      </c>
      <c r="T442" t="s">
        <v>40</v>
      </c>
      <c r="U442">
        <f t="shared" si="6"/>
        <v>1</v>
      </c>
    </row>
    <row r="443" spans="1:21" x14ac:dyDescent="0.2">
      <c r="A443">
        <v>622</v>
      </c>
      <c r="B443" t="s">
        <v>42</v>
      </c>
      <c r="C443" t="s">
        <v>32</v>
      </c>
      <c r="D443">
        <v>30</v>
      </c>
      <c r="E443">
        <v>2</v>
      </c>
      <c r="F443">
        <v>158584.82</v>
      </c>
      <c r="G443">
        <v>3</v>
      </c>
      <c r="H443" t="s">
        <v>22</v>
      </c>
      <c r="I443" t="s">
        <v>23</v>
      </c>
      <c r="J443">
        <v>142342.54999999999</v>
      </c>
      <c r="K443" t="s">
        <v>22</v>
      </c>
      <c r="L443">
        <v>0.18115033278127349</v>
      </c>
      <c r="M443" t="s">
        <v>23</v>
      </c>
      <c r="N443">
        <v>1</v>
      </c>
      <c r="O443">
        <v>0</v>
      </c>
      <c r="P443" t="s">
        <v>34</v>
      </c>
      <c r="Q443" t="s">
        <v>36</v>
      </c>
      <c r="R443" t="s">
        <v>47</v>
      </c>
      <c r="S443" t="s">
        <v>27</v>
      </c>
      <c r="T443" t="s">
        <v>28</v>
      </c>
      <c r="U443">
        <f t="shared" si="6"/>
        <v>0</v>
      </c>
    </row>
    <row r="444" spans="1:21" x14ac:dyDescent="0.2">
      <c r="A444">
        <v>493</v>
      </c>
      <c r="B444" t="s">
        <v>42</v>
      </c>
      <c r="C444" t="s">
        <v>32</v>
      </c>
      <c r="D444">
        <v>31</v>
      </c>
      <c r="E444">
        <v>3</v>
      </c>
      <c r="F444">
        <v>0</v>
      </c>
      <c r="G444">
        <v>1</v>
      </c>
      <c r="H444" t="s">
        <v>22</v>
      </c>
      <c r="I444" t="s">
        <v>22</v>
      </c>
      <c r="J444">
        <v>176570.28</v>
      </c>
      <c r="K444" t="s">
        <v>22</v>
      </c>
      <c r="L444">
        <v>6.663469589399261E-2</v>
      </c>
      <c r="M444" t="s">
        <v>23</v>
      </c>
      <c r="N444">
        <v>1</v>
      </c>
      <c r="O444">
        <v>0</v>
      </c>
      <c r="P444" t="s">
        <v>34</v>
      </c>
      <c r="Q444" t="s">
        <v>33</v>
      </c>
      <c r="R444" t="s">
        <v>29</v>
      </c>
      <c r="S444" t="s">
        <v>45</v>
      </c>
      <c r="T444" t="s">
        <v>31</v>
      </c>
      <c r="U444">
        <f t="shared" si="6"/>
        <v>0</v>
      </c>
    </row>
    <row r="445" spans="1:21" x14ac:dyDescent="0.2">
      <c r="A445">
        <v>478</v>
      </c>
      <c r="B445" t="s">
        <v>20</v>
      </c>
      <c r="C445" t="s">
        <v>21</v>
      </c>
      <c r="D445">
        <v>43</v>
      </c>
      <c r="E445">
        <v>1</v>
      </c>
      <c r="F445">
        <v>0</v>
      </c>
      <c r="G445">
        <v>2</v>
      </c>
      <c r="H445" t="s">
        <v>22</v>
      </c>
      <c r="I445" t="s">
        <v>22</v>
      </c>
      <c r="J445">
        <v>197916.43</v>
      </c>
      <c r="K445" t="s">
        <v>23</v>
      </c>
      <c r="L445">
        <v>9.092348735722762E-2</v>
      </c>
      <c r="M445" t="s">
        <v>23</v>
      </c>
      <c r="N445">
        <v>0</v>
      </c>
      <c r="O445">
        <v>0</v>
      </c>
      <c r="P445" t="s">
        <v>34</v>
      </c>
      <c r="Q445" t="s">
        <v>25</v>
      </c>
      <c r="R445" t="s">
        <v>29</v>
      </c>
      <c r="S445" t="s">
        <v>45</v>
      </c>
      <c r="T445" t="s">
        <v>31</v>
      </c>
      <c r="U445">
        <f t="shared" si="6"/>
        <v>1</v>
      </c>
    </row>
    <row r="446" spans="1:21" x14ac:dyDescent="0.2">
      <c r="A446">
        <v>686</v>
      </c>
      <c r="B446" t="s">
        <v>20</v>
      </c>
      <c r="C446" t="s">
        <v>32</v>
      </c>
      <c r="D446">
        <v>35</v>
      </c>
      <c r="E446">
        <v>4</v>
      </c>
      <c r="F446">
        <v>0</v>
      </c>
      <c r="G446">
        <v>2</v>
      </c>
      <c r="H446" t="s">
        <v>22</v>
      </c>
      <c r="I446" t="s">
        <v>22</v>
      </c>
      <c r="J446">
        <v>159676.54999999999</v>
      </c>
      <c r="K446" t="s">
        <v>23</v>
      </c>
      <c r="L446">
        <v>7.0985795257347328E-2</v>
      </c>
      <c r="M446" t="s">
        <v>23</v>
      </c>
      <c r="N446">
        <v>0</v>
      </c>
      <c r="O446">
        <v>0</v>
      </c>
      <c r="P446" t="s">
        <v>34</v>
      </c>
      <c r="Q446" t="s">
        <v>33</v>
      </c>
      <c r="R446" t="s">
        <v>29</v>
      </c>
      <c r="S446" t="s">
        <v>27</v>
      </c>
      <c r="T446" t="s">
        <v>31</v>
      </c>
      <c r="U446">
        <f t="shared" si="6"/>
        <v>1</v>
      </c>
    </row>
    <row r="447" spans="1:21" x14ac:dyDescent="0.2">
      <c r="A447">
        <v>686</v>
      </c>
      <c r="B447" t="s">
        <v>42</v>
      </c>
      <c r="C447" t="s">
        <v>32</v>
      </c>
      <c r="D447">
        <v>41</v>
      </c>
      <c r="E447">
        <v>4</v>
      </c>
      <c r="F447">
        <v>129553.76</v>
      </c>
      <c r="G447">
        <v>2</v>
      </c>
      <c r="H447" t="s">
        <v>22</v>
      </c>
      <c r="I447" t="s">
        <v>23</v>
      </c>
      <c r="J447">
        <v>187599.8</v>
      </c>
      <c r="K447" t="s">
        <v>23</v>
      </c>
      <c r="L447">
        <v>0.32632713406359343</v>
      </c>
      <c r="M447" t="s">
        <v>23</v>
      </c>
      <c r="N447">
        <v>0</v>
      </c>
      <c r="O447">
        <v>0</v>
      </c>
      <c r="P447" t="s">
        <v>24</v>
      </c>
      <c r="Q447" t="s">
        <v>25</v>
      </c>
      <c r="R447" t="s">
        <v>26</v>
      </c>
      <c r="S447" t="s">
        <v>27</v>
      </c>
      <c r="T447" t="s">
        <v>31</v>
      </c>
      <c r="U447">
        <f t="shared" si="6"/>
        <v>1</v>
      </c>
    </row>
    <row r="448" spans="1:21" x14ac:dyDescent="0.2">
      <c r="A448">
        <v>550</v>
      </c>
      <c r="B448" t="s">
        <v>42</v>
      </c>
      <c r="C448" t="s">
        <v>32</v>
      </c>
      <c r="D448">
        <v>48</v>
      </c>
      <c r="E448">
        <v>6</v>
      </c>
      <c r="F448">
        <v>0</v>
      </c>
      <c r="G448">
        <v>2</v>
      </c>
      <c r="H448" t="s">
        <v>22</v>
      </c>
      <c r="I448" t="s">
        <v>22</v>
      </c>
      <c r="J448">
        <v>191870.28</v>
      </c>
      <c r="K448" t="s">
        <v>23</v>
      </c>
      <c r="L448">
        <v>0.17142451846284021</v>
      </c>
      <c r="M448" t="s">
        <v>23</v>
      </c>
      <c r="N448">
        <v>0</v>
      </c>
      <c r="O448">
        <v>0</v>
      </c>
      <c r="P448" t="s">
        <v>34</v>
      </c>
      <c r="Q448" t="s">
        <v>25</v>
      </c>
      <c r="R448" t="s">
        <v>29</v>
      </c>
      <c r="S448" t="s">
        <v>30</v>
      </c>
      <c r="T448" t="s">
        <v>31</v>
      </c>
      <c r="U448">
        <f t="shared" si="6"/>
        <v>1</v>
      </c>
    </row>
    <row r="449" spans="1:21" x14ac:dyDescent="0.2">
      <c r="A449">
        <v>749</v>
      </c>
      <c r="B449" t="s">
        <v>41</v>
      </c>
      <c r="C449" t="s">
        <v>21</v>
      </c>
      <c r="D449">
        <v>47</v>
      </c>
      <c r="E449">
        <v>9</v>
      </c>
      <c r="F449">
        <v>110022.74</v>
      </c>
      <c r="G449">
        <v>1</v>
      </c>
      <c r="H449" t="s">
        <v>23</v>
      </c>
      <c r="I449" t="s">
        <v>22</v>
      </c>
      <c r="J449">
        <v>135655.29</v>
      </c>
      <c r="K449" t="s">
        <v>22</v>
      </c>
      <c r="L449">
        <v>0.22860164698971699</v>
      </c>
      <c r="M449" t="s">
        <v>23</v>
      </c>
      <c r="N449">
        <v>1</v>
      </c>
      <c r="O449">
        <v>0</v>
      </c>
      <c r="P449" t="s">
        <v>24</v>
      </c>
      <c r="Q449" t="s">
        <v>25</v>
      </c>
      <c r="R449" t="s">
        <v>26</v>
      </c>
      <c r="S449" t="s">
        <v>37</v>
      </c>
      <c r="T449" t="s">
        <v>28</v>
      </c>
      <c r="U449">
        <f t="shared" si="6"/>
        <v>0</v>
      </c>
    </row>
    <row r="450" spans="1:21" x14ac:dyDescent="0.2">
      <c r="A450">
        <v>723</v>
      </c>
      <c r="B450" t="s">
        <v>42</v>
      </c>
      <c r="C450" t="s">
        <v>32</v>
      </c>
      <c r="D450">
        <v>49</v>
      </c>
      <c r="E450">
        <v>4</v>
      </c>
      <c r="F450">
        <v>0</v>
      </c>
      <c r="G450">
        <v>2</v>
      </c>
      <c r="H450" t="s">
        <v>23</v>
      </c>
      <c r="I450" t="s">
        <v>22</v>
      </c>
      <c r="J450">
        <v>89972.25</v>
      </c>
      <c r="K450" t="s">
        <v>23</v>
      </c>
      <c r="L450">
        <v>0.16706617756359521</v>
      </c>
      <c r="M450" t="s">
        <v>23</v>
      </c>
      <c r="N450">
        <v>0</v>
      </c>
      <c r="O450">
        <v>0</v>
      </c>
      <c r="P450" t="s">
        <v>34</v>
      </c>
      <c r="Q450" t="s">
        <v>25</v>
      </c>
      <c r="R450" t="s">
        <v>29</v>
      </c>
      <c r="S450" t="s">
        <v>37</v>
      </c>
      <c r="T450" t="s">
        <v>40</v>
      </c>
      <c r="U450">
        <f t="shared" ref="U450:U513" si="7">IF(K450=M450,1,0)</f>
        <v>1</v>
      </c>
    </row>
    <row r="451" spans="1:21" x14ac:dyDescent="0.2">
      <c r="A451">
        <v>697</v>
      </c>
      <c r="B451" t="s">
        <v>42</v>
      </c>
      <c r="C451" t="s">
        <v>32</v>
      </c>
      <c r="D451">
        <v>34</v>
      </c>
      <c r="E451">
        <v>2</v>
      </c>
      <c r="F451">
        <v>126558.92</v>
      </c>
      <c r="G451">
        <v>1</v>
      </c>
      <c r="H451" t="s">
        <v>22</v>
      </c>
      <c r="I451" t="s">
        <v>23</v>
      </c>
      <c r="J451">
        <v>73334.429999999993</v>
      </c>
      <c r="K451" t="s">
        <v>23</v>
      </c>
      <c r="L451">
        <v>0.23524719144867429</v>
      </c>
      <c r="M451" t="s">
        <v>23</v>
      </c>
      <c r="N451">
        <v>0</v>
      </c>
      <c r="O451">
        <v>0</v>
      </c>
      <c r="P451" t="s">
        <v>24</v>
      </c>
      <c r="Q451" t="s">
        <v>33</v>
      </c>
      <c r="R451" t="s">
        <v>26</v>
      </c>
      <c r="S451" t="s">
        <v>27</v>
      </c>
      <c r="T451" t="s">
        <v>40</v>
      </c>
      <c r="U451">
        <f t="shared" si="7"/>
        <v>1</v>
      </c>
    </row>
    <row r="452" spans="1:21" x14ac:dyDescent="0.2">
      <c r="A452">
        <v>488</v>
      </c>
      <c r="B452" t="s">
        <v>41</v>
      </c>
      <c r="C452" t="s">
        <v>32</v>
      </c>
      <c r="D452">
        <v>33</v>
      </c>
      <c r="E452">
        <v>4</v>
      </c>
      <c r="F452">
        <v>140002.35</v>
      </c>
      <c r="G452">
        <v>1</v>
      </c>
      <c r="H452" t="s">
        <v>22</v>
      </c>
      <c r="I452" t="s">
        <v>23</v>
      </c>
      <c r="J452">
        <v>123613.81</v>
      </c>
      <c r="K452" t="s">
        <v>23</v>
      </c>
      <c r="L452">
        <v>0.4264372182666844</v>
      </c>
      <c r="M452" t="s">
        <v>23</v>
      </c>
      <c r="N452">
        <v>0</v>
      </c>
      <c r="O452">
        <v>0</v>
      </c>
      <c r="P452" t="s">
        <v>24</v>
      </c>
      <c r="Q452" t="s">
        <v>33</v>
      </c>
      <c r="R452" t="s">
        <v>26</v>
      </c>
      <c r="S452" t="s">
        <v>45</v>
      </c>
      <c r="T452" t="s">
        <v>28</v>
      </c>
      <c r="U452">
        <f t="shared" si="7"/>
        <v>1</v>
      </c>
    </row>
    <row r="453" spans="1:21" x14ac:dyDescent="0.2">
      <c r="A453">
        <v>599</v>
      </c>
      <c r="B453" t="s">
        <v>41</v>
      </c>
      <c r="C453" t="s">
        <v>21</v>
      </c>
      <c r="D453">
        <v>46</v>
      </c>
      <c r="E453">
        <v>9</v>
      </c>
      <c r="F453">
        <v>123444.72</v>
      </c>
      <c r="G453">
        <v>1</v>
      </c>
      <c r="H453" t="s">
        <v>22</v>
      </c>
      <c r="I453" t="s">
        <v>22</v>
      </c>
      <c r="J453">
        <v>31368.080000000002</v>
      </c>
      <c r="K453" t="s">
        <v>22</v>
      </c>
      <c r="L453">
        <v>0.22406352068688279</v>
      </c>
      <c r="M453" t="s">
        <v>23</v>
      </c>
      <c r="N453">
        <v>1</v>
      </c>
      <c r="O453">
        <v>0</v>
      </c>
      <c r="P453" t="s">
        <v>24</v>
      </c>
      <c r="Q453" t="s">
        <v>25</v>
      </c>
      <c r="R453" t="s">
        <v>26</v>
      </c>
      <c r="S453" t="s">
        <v>30</v>
      </c>
      <c r="T453" t="s">
        <v>35</v>
      </c>
      <c r="U453">
        <f t="shared" si="7"/>
        <v>0</v>
      </c>
    </row>
    <row r="454" spans="1:21" x14ac:dyDescent="0.2">
      <c r="A454">
        <v>781</v>
      </c>
      <c r="B454" t="s">
        <v>42</v>
      </c>
      <c r="C454" t="s">
        <v>21</v>
      </c>
      <c r="D454">
        <v>32</v>
      </c>
      <c r="E454">
        <v>6</v>
      </c>
      <c r="F454">
        <v>147107.91</v>
      </c>
      <c r="G454">
        <v>1</v>
      </c>
      <c r="H454" t="s">
        <v>22</v>
      </c>
      <c r="I454" t="s">
        <v>22</v>
      </c>
      <c r="J454">
        <v>40066.949999999997</v>
      </c>
      <c r="K454" t="s">
        <v>23</v>
      </c>
      <c r="L454">
        <v>4.449336118788725E-2</v>
      </c>
      <c r="M454" t="s">
        <v>23</v>
      </c>
      <c r="N454">
        <v>0</v>
      </c>
      <c r="O454">
        <v>0</v>
      </c>
      <c r="P454" t="s">
        <v>34</v>
      </c>
      <c r="Q454" t="s">
        <v>33</v>
      </c>
      <c r="R454" t="s">
        <v>26</v>
      </c>
      <c r="S454" t="s">
        <v>37</v>
      </c>
      <c r="T454" t="s">
        <v>35</v>
      </c>
      <c r="U454">
        <f t="shared" si="7"/>
        <v>1</v>
      </c>
    </row>
    <row r="455" spans="1:21" x14ac:dyDescent="0.2">
      <c r="A455">
        <v>597</v>
      </c>
      <c r="B455" t="s">
        <v>41</v>
      </c>
      <c r="C455" t="s">
        <v>32</v>
      </c>
      <c r="D455">
        <v>40</v>
      </c>
      <c r="E455">
        <v>9</v>
      </c>
      <c r="F455">
        <v>106756.01</v>
      </c>
      <c r="G455">
        <v>2</v>
      </c>
      <c r="H455" t="s">
        <v>22</v>
      </c>
      <c r="I455" t="s">
        <v>23</v>
      </c>
      <c r="J455">
        <v>151167.94</v>
      </c>
      <c r="K455" t="s">
        <v>23</v>
      </c>
      <c r="L455">
        <v>0.46823900403493829</v>
      </c>
      <c r="M455" t="s">
        <v>23</v>
      </c>
      <c r="N455">
        <v>0</v>
      </c>
      <c r="O455">
        <v>0</v>
      </c>
      <c r="P455" t="s">
        <v>24</v>
      </c>
      <c r="Q455" t="s">
        <v>33</v>
      </c>
      <c r="R455" t="s">
        <v>26</v>
      </c>
      <c r="S455" t="s">
        <v>30</v>
      </c>
      <c r="T455" t="s">
        <v>31</v>
      </c>
      <c r="U455">
        <f t="shared" si="7"/>
        <v>1</v>
      </c>
    </row>
    <row r="456" spans="1:21" x14ac:dyDescent="0.2">
      <c r="A456">
        <v>672</v>
      </c>
      <c r="B456" t="s">
        <v>20</v>
      </c>
      <c r="C456" t="s">
        <v>21</v>
      </c>
      <c r="D456">
        <v>33</v>
      </c>
      <c r="E456">
        <v>2</v>
      </c>
      <c r="F456">
        <v>0</v>
      </c>
      <c r="G456">
        <v>2</v>
      </c>
      <c r="H456" t="s">
        <v>22</v>
      </c>
      <c r="I456" t="s">
        <v>22</v>
      </c>
      <c r="J456">
        <v>182738</v>
      </c>
      <c r="K456" t="s">
        <v>23</v>
      </c>
      <c r="L456">
        <v>3.8980500172186842E-2</v>
      </c>
      <c r="M456" t="s">
        <v>23</v>
      </c>
      <c r="N456">
        <v>0</v>
      </c>
      <c r="O456">
        <v>0</v>
      </c>
      <c r="P456" t="s">
        <v>34</v>
      </c>
      <c r="Q456" t="s">
        <v>33</v>
      </c>
      <c r="R456" t="s">
        <v>29</v>
      </c>
      <c r="S456" t="s">
        <v>27</v>
      </c>
      <c r="T456" t="s">
        <v>31</v>
      </c>
      <c r="U456">
        <f t="shared" si="7"/>
        <v>1</v>
      </c>
    </row>
    <row r="457" spans="1:21" x14ac:dyDescent="0.2">
      <c r="A457">
        <v>706</v>
      </c>
      <c r="B457" t="s">
        <v>41</v>
      </c>
      <c r="C457" t="s">
        <v>21</v>
      </c>
      <c r="D457">
        <v>38</v>
      </c>
      <c r="E457">
        <v>5</v>
      </c>
      <c r="F457">
        <v>163034.82</v>
      </c>
      <c r="G457">
        <v>2</v>
      </c>
      <c r="H457" t="s">
        <v>22</v>
      </c>
      <c r="I457" t="s">
        <v>22</v>
      </c>
      <c r="J457">
        <v>135662.17000000001</v>
      </c>
      <c r="K457" t="s">
        <v>23</v>
      </c>
      <c r="L457">
        <v>0.14533526748761749</v>
      </c>
      <c r="M457" t="s">
        <v>23</v>
      </c>
      <c r="N457">
        <v>0</v>
      </c>
      <c r="O457">
        <v>0</v>
      </c>
      <c r="P457" t="s">
        <v>34</v>
      </c>
      <c r="Q457" t="s">
        <v>33</v>
      </c>
      <c r="R457" t="s">
        <v>47</v>
      </c>
      <c r="S457" t="s">
        <v>37</v>
      </c>
      <c r="T457" t="s">
        <v>28</v>
      </c>
      <c r="U457">
        <f t="shared" si="7"/>
        <v>1</v>
      </c>
    </row>
    <row r="458" spans="1:21" x14ac:dyDescent="0.2">
      <c r="A458">
        <v>589</v>
      </c>
      <c r="B458" t="s">
        <v>41</v>
      </c>
      <c r="C458" t="s">
        <v>21</v>
      </c>
      <c r="D458">
        <v>55</v>
      </c>
      <c r="E458">
        <v>7</v>
      </c>
      <c r="F458">
        <v>119961.48</v>
      </c>
      <c r="G458">
        <v>1</v>
      </c>
      <c r="H458" t="s">
        <v>22</v>
      </c>
      <c r="I458" t="s">
        <v>23</v>
      </c>
      <c r="J458">
        <v>65156.83</v>
      </c>
      <c r="K458" t="s">
        <v>22</v>
      </c>
      <c r="L458">
        <v>0.63877207726669405</v>
      </c>
      <c r="M458" t="s">
        <v>22</v>
      </c>
      <c r="N458">
        <v>1</v>
      </c>
      <c r="O458">
        <v>1</v>
      </c>
      <c r="P458" t="s">
        <v>43</v>
      </c>
      <c r="Q458" t="s">
        <v>44</v>
      </c>
      <c r="R458" t="s">
        <v>26</v>
      </c>
      <c r="S458" t="s">
        <v>30</v>
      </c>
      <c r="T458" t="s">
        <v>40</v>
      </c>
      <c r="U458">
        <f t="shared" si="7"/>
        <v>1</v>
      </c>
    </row>
    <row r="459" spans="1:21" x14ac:dyDescent="0.2">
      <c r="A459">
        <v>518</v>
      </c>
      <c r="B459" t="s">
        <v>41</v>
      </c>
      <c r="C459" t="s">
        <v>32</v>
      </c>
      <c r="D459">
        <v>41</v>
      </c>
      <c r="E459">
        <v>5</v>
      </c>
      <c r="F459">
        <v>110624.99</v>
      </c>
      <c r="G459">
        <v>1</v>
      </c>
      <c r="H459" t="s">
        <v>22</v>
      </c>
      <c r="I459" t="s">
        <v>23</v>
      </c>
      <c r="J459">
        <v>89327.67</v>
      </c>
      <c r="K459" t="s">
        <v>23</v>
      </c>
      <c r="L459">
        <v>0.53983120592127742</v>
      </c>
      <c r="M459" t="s">
        <v>22</v>
      </c>
      <c r="N459">
        <v>0</v>
      </c>
      <c r="O459">
        <v>1</v>
      </c>
      <c r="P459" t="s">
        <v>43</v>
      </c>
      <c r="Q459" t="s">
        <v>25</v>
      </c>
      <c r="R459" t="s">
        <v>26</v>
      </c>
      <c r="S459" t="s">
        <v>30</v>
      </c>
      <c r="T459" t="s">
        <v>40</v>
      </c>
      <c r="U459">
        <f t="shared" si="7"/>
        <v>0</v>
      </c>
    </row>
    <row r="460" spans="1:21" x14ac:dyDescent="0.2">
      <c r="A460">
        <v>620</v>
      </c>
      <c r="B460" t="s">
        <v>41</v>
      </c>
      <c r="C460" t="s">
        <v>21</v>
      </c>
      <c r="D460">
        <v>39</v>
      </c>
      <c r="E460">
        <v>9</v>
      </c>
      <c r="F460">
        <v>159492.79</v>
      </c>
      <c r="G460">
        <v>1</v>
      </c>
      <c r="H460" t="s">
        <v>22</v>
      </c>
      <c r="I460" t="s">
        <v>23</v>
      </c>
      <c r="J460">
        <v>80582.34</v>
      </c>
      <c r="K460" t="s">
        <v>22</v>
      </c>
      <c r="L460">
        <v>0.3626681776936963</v>
      </c>
      <c r="M460" t="s">
        <v>23</v>
      </c>
      <c r="N460">
        <v>1</v>
      </c>
      <c r="O460">
        <v>0</v>
      </c>
      <c r="P460" t="s">
        <v>24</v>
      </c>
      <c r="Q460" t="s">
        <v>33</v>
      </c>
      <c r="R460" t="s">
        <v>47</v>
      </c>
      <c r="S460" t="s">
        <v>27</v>
      </c>
      <c r="T460" t="s">
        <v>40</v>
      </c>
      <c r="U460">
        <f t="shared" si="7"/>
        <v>0</v>
      </c>
    </row>
    <row r="461" spans="1:21" x14ac:dyDescent="0.2">
      <c r="A461">
        <v>815</v>
      </c>
      <c r="B461" t="s">
        <v>20</v>
      </c>
      <c r="C461" t="s">
        <v>32</v>
      </c>
      <c r="D461">
        <v>39</v>
      </c>
      <c r="E461">
        <v>6</v>
      </c>
      <c r="F461">
        <v>0</v>
      </c>
      <c r="G461">
        <v>1</v>
      </c>
      <c r="H461" t="s">
        <v>22</v>
      </c>
      <c r="I461" t="s">
        <v>22</v>
      </c>
      <c r="J461">
        <v>85167.88</v>
      </c>
      <c r="K461" t="s">
        <v>23</v>
      </c>
      <c r="L461">
        <v>8.7653209425821707E-2</v>
      </c>
      <c r="M461" t="s">
        <v>23</v>
      </c>
      <c r="N461">
        <v>0</v>
      </c>
      <c r="O461">
        <v>0</v>
      </c>
      <c r="P461" t="s">
        <v>34</v>
      </c>
      <c r="Q461" t="s">
        <v>33</v>
      </c>
      <c r="R461" t="s">
        <v>29</v>
      </c>
      <c r="S461" t="s">
        <v>39</v>
      </c>
      <c r="T461" t="s">
        <v>40</v>
      </c>
      <c r="U461">
        <f t="shared" si="7"/>
        <v>1</v>
      </c>
    </row>
    <row r="462" spans="1:21" x14ac:dyDescent="0.2">
      <c r="A462">
        <v>622</v>
      </c>
      <c r="B462" t="s">
        <v>42</v>
      </c>
      <c r="C462" t="s">
        <v>32</v>
      </c>
      <c r="D462">
        <v>38</v>
      </c>
      <c r="E462">
        <v>4</v>
      </c>
      <c r="F462">
        <v>98640.74</v>
      </c>
      <c r="G462">
        <v>1</v>
      </c>
      <c r="H462" t="s">
        <v>22</v>
      </c>
      <c r="I462" t="s">
        <v>22</v>
      </c>
      <c r="J462">
        <v>110457.99</v>
      </c>
      <c r="K462" t="s">
        <v>23</v>
      </c>
      <c r="L462">
        <v>0.1179436179160963</v>
      </c>
      <c r="M462" t="s">
        <v>23</v>
      </c>
      <c r="N462">
        <v>0</v>
      </c>
      <c r="O462">
        <v>0</v>
      </c>
      <c r="P462" t="s">
        <v>34</v>
      </c>
      <c r="Q462" t="s">
        <v>33</v>
      </c>
      <c r="R462" t="s">
        <v>38</v>
      </c>
      <c r="S462" t="s">
        <v>27</v>
      </c>
      <c r="T462" t="s">
        <v>28</v>
      </c>
      <c r="U462">
        <f t="shared" si="7"/>
        <v>1</v>
      </c>
    </row>
    <row r="463" spans="1:21" x14ac:dyDescent="0.2">
      <c r="A463">
        <v>624</v>
      </c>
      <c r="B463" t="s">
        <v>42</v>
      </c>
      <c r="C463" t="s">
        <v>21</v>
      </c>
      <c r="D463">
        <v>26</v>
      </c>
      <c r="E463">
        <v>9</v>
      </c>
      <c r="F463">
        <v>74681.899999999994</v>
      </c>
      <c r="G463">
        <v>2</v>
      </c>
      <c r="H463" t="s">
        <v>23</v>
      </c>
      <c r="I463" t="s">
        <v>23</v>
      </c>
      <c r="J463">
        <v>31231.35</v>
      </c>
      <c r="K463" t="s">
        <v>23</v>
      </c>
      <c r="L463">
        <v>6.6874913675280451E-2</v>
      </c>
      <c r="M463" t="s">
        <v>23</v>
      </c>
      <c r="N463">
        <v>0</v>
      </c>
      <c r="O463">
        <v>0</v>
      </c>
      <c r="P463" t="s">
        <v>34</v>
      </c>
      <c r="Q463" t="s">
        <v>36</v>
      </c>
      <c r="R463" t="s">
        <v>38</v>
      </c>
      <c r="S463" t="s">
        <v>27</v>
      </c>
      <c r="T463" t="s">
        <v>35</v>
      </c>
      <c r="U463">
        <f t="shared" si="7"/>
        <v>1</v>
      </c>
    </row>
    <row r="464" spans="1:21" x14ac:dyDescent="0.2">
      <c r="A464">
        <v>773</v>
      </c>
      <c r="B464" t="s">
        <v>20</v>
      </c>
      <c r="C464" t="s">
        <v>32</v>
      </c>
      <c r="D464">
        <v>39</v>
      </c>
      <c r="E464">
        <v>4</v>
      </c>
      <c r="F464">
        <v>0</v>
      </c>
      <c r="G464">
        <v>2</v>
      </c>
      <c r="H464" t="s">
        <v>23</v>
      </c>
      <c r="I464" t="s">
        <v>22</v>
      </c>
      <c r="J464">
        <v>182081.45</v>
      </c>
      <c r="K464" t="s">
        <v>23</v>
      </c>
      <c r="L464">
        <v>9.1858130293158299E-2</v>
      </c>
      <c r="M464" t="s">
        <v>23</v>
      </c>
      <c r="N464">
        <v>0</v>
      </c>
      <c r="O464">
        <v>0</v>
      </c>
      <c r="P464" t="s">
        <v>34</v>
      </c>
      <c r="Q464" t="s">
        <v>33</v>
      </c>
      <c r="R464" t="s">
        <v>29</v>
      </c>
      <c r="S464" t="s">
        <v>37</v>
      </c>
      <c r="T464" t="s">
        <v>31</v>
      </c>
      <c r="U464">
        <f t="shared" si="7"/>
        <v>1</v>
      </c>
    </row>
    <row r="465" spans="1:21" x14ac:dyDescent="0.2">
      <c r="A465">
        <v>850</v>
      </c>
      <c r="B465" t="s">
        <v>41</v>
      </c>
      <c r="C465" t="s">
        <v>21</v>
      </c>
      <c r="D465">
        <v>28</v>
      </c>
      <c r="E465">
        <v>4</v>
      </c>
      <c r="F465">
        <v>147972.19</v>
      </c>
      <c r="G465">
        <v>1</v>
      </c>
      <c r="H465" t="s">
        <v>22</v>
      </c>
      <c r="I465" t="s">
        <v>23</v>
      </c>
      <c r="J465">
        <v>60708.72</v>
      </c>
      <c r="K465" t="s">
        <v>22</v>
      </c>
      <c r="L465">
        <v>0.185578419234773</v>
      </c>
      <c r="M465" t="s">
        <v>23</v>
      </c>
      <c r="N465">
        <v>1</v>
      </c>
      <c r="O465">
        <v>0</v>
      </c>
      <c r="P465" t="s">
        <v>34</v>
      </c>
      <c r="Q465" t="s">
        <v>36</v>
      </c>
      <c r="R465" t="s">
        <v>26</v>
      </c>
      <c r="S465" t="s">
        <v>39</v>
      </c>
      <c r="T465" t="s">
        <v>40</v>
      </c>
      <c r="U465">
        <f t="shared" si="7"/>
        <v>0</v>
      </c>
    </row>
    <row r="466" spans="1:21" x14ac:dyDescent="0.2">
      <c r="A466">
        <v>600</v>
      </c>
      <c r="B466" t="s">
        <v>42</v>
      </c>
      <c r="C466" t="s">
        <v>32</v>
      </c>
      <c r="D466">
        <v>27</v>
      </c>
      <c r="E466">
        <v>3</v>
      </c>
      <c r="F466">
        <v>0</v>
      </c>
      <c r="G466">
        <v>2</v>
      </c>
      <c r="H466" t="s">
        <v>23</v>
      </c>
      <c r="I466" t="s">
        <v>22</v>
      </c>
      <c r="J466">
        <v>125698.97</v>
      </c>
      <c r="K466" t="s">
        <v>23</v>
      </c>
      <c r="L466">
        <v>4.2717860749559022E-2</v>
      </c>
      <c r="M466" t="s">
        <v>23</v>
      </c>
      <c r="N466">
        <v>0</v>
      </c>
      <c r="O466">
        <v>0</v>
      </c>
      <c r="P466" t="s">
        <v>34</v>
      </c>
      <c r="Q466" t="s">
        <v>36</v>
      </c>
      <c r="R466" t="s">
        <v>29</v>
      </c>
      <c r="S466" t="s">
        <v>30</v>
      </c>
      <c r="T466" t="s">
        <v>28</v>
      </c>
      <c r="U466">
        <f t="shared" si="7"/>
        <v>1</v>
      </c>
    </row>
    <row r="467" spans="1:21" x14ac:dyDescent="0.2">
      <c r="A467">
        <v>541</v>
      </c>
      <c r="B467" t="s">
        <v>41</v>
      </c>
      <c r="C467" t="s">
        <v>21</v>
      </c>
      <c r="D467">
        <v>51</v>
      </c>
      <c r="E467">
        <v>7</v>
      </c>
      <c r="F467">
        <v>90373.28</v>
      </c>
      <c r="G467">
        <v>2</v>
      </c>
      <c r="H467" t="s">
        <v>22</v>
      </c>
      <c r="I467" t="s">
        <v>23</v>
      </c>
      <c r="J467">
        <v>179861.79</v>
      </c>
      <c r="K467" t="s">
        <v>23</v>
      </c>
      <c r="L467">
        <v>0.54764866699862835</v>
      </c>
      <c r="M467" t="s">
        <v>22</v>
      </c>
      <c r="N467">
        <v>0</v>
      </c>
      <c r="O467">
        <v>1</v>
      </c>
      <c r="P467" t="s">
        <v>43</v>
      </c>
      <c r="Q467" t="s">
        <v>44</v>
      </c>
      <c r="R467" t="s">
        <v>38</v>
      </c>
      <c r="S467" t="s">
        <v>30</v>
      </c>
      <c r="T467" t="s">
        <v>31</v>
      </c>
      <c r="U467">
        <f t="shared" si="7"/>
        <v>0</v>
      </c>
    </row>
    <row r="468" spans="1:21" x14ac:dyDescent="0.2">
      <c r="A468">
        <v>630</v>
      </c>
      <c r="B468" t="s">
        <v>20</v>
      </c>
      <c r="C468" t="s">
        <v>21</v>
      </c>
      <c r="D468">
        <v>30</v>
      </c>
      <c r="E468">
        <v>3</v>
      </c>
      <c r="F468">
        <v>0</v>
      </c>
      <c r="G468">
        <v>2</v>
      </c>
      <c r="H468" t="s">
        <v>23</v>
      </c>
      <c r="I468" t="s">
        <v>22</v>
      </c>
      <c r="J468">
        <v>10486.69</v>
      </c>
      <c r="K468" t="s">
        <v>23</v>
      </c>
      <c r="L468">
        <v>2.9835144591042459E-2</v>
      </c>
      <c r="M468" t="s">
        <v>23</v>
      </c>
      <c r="N468">
        <v>0</v>
      </c>
      <c r="O468">
        <v>0</v>
      </c>
      <c r="P468" t="s">
        <v>34</v>
      </c>
      <c r="Q468" t="s">
        <v>36</v>
      </c>
      <c r="R468" t="s">
        <v>29</v>
      </c>
      <c r="S468" t="s">
        <v>27</v>
      </c>
      <c r="T468" t="s">
        <v>35</v>
      </c>
      <c r="U468">
        <f t="shared" si="7"/>
        <v>1</v>
      </c>
    </row>
    <row r="469" spans="1:21" x14ac:dyDescent="0.2">
      <c r="A469">
        <v>708</v>
      </c>
      <c r="B469" t="s">
        <v>41</v>
      </c>
      <c r="C469" t="s">
        <v>32</v>
      </c>
      <c r="D469">
        <v>43</v>
      </c>
      <c r="E469">
        <v>0</v>
      </c>
      <c r="F469">
        <v>118994.84</v>
      </c>
      <c r="G469">
        <v>1</v>
      </c>
      <c r="H469" t="s">
        <v>22</v>
      </c>
      <c r="I469" t="s">
        <v>23</v>
      </c>
      <c r="J469">
        <v>181499.77</v>
      </c>
      <c r="K469" t="s">
        <v>22</v>
      </c>
      <c r="L469">
        <v>0.58620696389045301</v>
      </c>
      <c r="M469" t="s">
        <v>22</v>
      </c>
      <c r="N469">
        <v>1</v>
      </c>
      <c r="O469">
        <v>1</v>
      </c>
      <c r="P469" t="s">
        <v>43</v>
      </c>
      <c r="Q469" t="s">
        <v>25</v>
      </c>
      <c r="R469" t="s">
        <v>26</v>
      </c>
      <c r="S469" t="s">
        <v>37</v>
      </c>
      <c r="T469" t="s">
        <v>31</v>
      </c>
      <c r="U469">
        <f t="shared" si="7"/>
        <v>1</v>
      </c>
    </row>
    <row r="470" spans="1:21" x14ac:dyDescent="0.2">
      <c r="A470">
        <v>815</v>
      </c>
      <c r="B470" t="s">
        <v>41</v>
      </c>
      <c r="C470" t="s">
        <v>32</v>
      </c>
      <c r="D470">
        <v>25</v>
      </c>
      <c r="E470">
        <v>8</v>
      </c>
      <c r="F470">
        <v>135161.67000000001</v>
      </c>
      <c r="G470">
        <v>1</v>
      </c>
      <c r="H470" t="s">
        <v>22</v>
      </c>
      <c r="I470" t="s">
        <v>22</v>
      </c>
      <c r="J470">
        <v>136071.04999999999</v>
      </c>
      <c r="K470" t="s">
        <v>23</v>
      </c>
      <c r="L470">
        <v>9.2010339362056284E-2</v>
      </c>
      <c r="M470" t="s">
        <v>23</v>
      </c>
      <c r="N470">
        <v>0</v>
      </c>
      <c r="O470">
        <v>0</v>
      </c>
      <c r="P470" t="s">
        <v>34</v>
      </c>
      <c r="Q470" t="s">
        <v>36</v>
      </c>
      <c r="R470" t="s">
        <v>26</v>
      </c>
      <c r="S470" t="s">
        <v>39</v>
      </c>
      <c r="T470" t="s">
        <v>28</v>
      </c>
      <c r="U470">
        <f t="shared" si="7"/>
        <v>1</v>
      </c>
    </row>
    <row r="471" spans="1:21" x14ac:dyDescent="0.2">
      <c r="A471">
        <v>556</v>
      </c>
      <c r="B471" t="s">
        <v>42</v>
      </c>
      <c r="C471" t="s">
        <v>32</v>
      </c>
      <c r="D471">
        <v>52</v>
      </c>
      <c r="E471">
        <v>9</v>
      </c>
      <c r="F471">
        <v>0</v>
      </c>
      <c r="G471">
        <v>1</v>
      </c>
      <c r="H471" t="s">
        <v>22</v>
      </c>
      <c r="I471" t="s">
        <v>23</v>
      </c>
      <c r="J471">
        <v>175149.2</v>
      </c>
      <c r="K471" t="s">
        <v>22</v>
      </c>
      <c r="L471">
        <v>0.46033677304544979</v>
      </c>
      <c r="M471" t="s">
        <v>23</v>
      </c>
      <c r="N471">
        <v>1</v>
      </c>
      <c r="O471">
        <v>0</v>
      </c>
      <c r="P471" t="s">
        <v>24</v>
      </c>
      <c r="Q471" t="s">
        <v>44</v>
      </c>
      <c r="R471" t="s">
        <v>29</v>
      </c>
      <c r="S471" t="s">
        <v>30</v>
      </c>
      <c r="T471" t="s">
        <v>31</v>
      </c>
      <c r="U471">
        <f t="shared" si="7"/>
        <v>0</v>
      </c>
    </row>
    <row r="472" spans="1:21" x14ac:dyDescent="0.2">
      <c r="A472">
        <v>684</v>
      </c>
      <c r="B472" t="s">
        <v>20</v>
      </c>
      <c r="C472" t="s">
        <v>32</v>
      </c>
      <c r="D472">
        <v>39</v>
      </c>
      <c r="E472">
        <v>4</v>
      </c>
      <c r="F472">
        <v>139723.9</v>
      </c>
      <c r="G472">
        <v>1</v>
      </c>
      <c r="H472" t="s">
        <v>22</v>
      </c>
      <c r="I472" t="s">
        <v>22</v>
      </c>
      <c r="J472">
        <v>120612.11</v>
      </c>
      <c r="K472" t="s">
        <v>23</v>
      </c>
      <c r="L472">
        <v>0.13819101915614551</v>
      </c>
      <c r="M472" t="s">
        <v>23</v>
      </c>
      <c r="N472">
        <v>0</v>
      </c>
      <c r="O472">
        <v>0</v>
      </c>
      <c r="P472" t="s">
        <v>34</v>
      </c>
      <c r="Q472" t="s">
        <v>33</v>
      </c>
      <c r="R472" t="s">
        <v>26</v>
      </c>
      <c r="S472" t="s">
        <v>27</v>
      </c>
      <c r="T472" t="s">
        <v>28</v>
      </c>
      <c r="U472">
        <f t="shared" si="7"/>
        <v>1</v>
      </c>
    </row>
    <row r="473" spans="1:21" x14ac:dyDescent="0.2">
      <c r="A473">
        <v>793</v>
      </c>
      <c r="B473" t="s">
        <v>42</v>
      </c>
      <c r="C473" t="s">
        <v>32</v>
      </c>
      <c r="D473">
        <v>41</v>
      </c>
      <c r="E473">
        <v>3</v>
      </c>
      <c r="F473">
        <v>141806.46</v>
      </c>
      <c r="G473">
        <v>1</v>
      </c>
      <c r="H473" t="s">
        <v>22</v>
      </c>
      <c r="I473" t="s">
        <v>23</v>
      </c>
      <c r="J473">
        <v>102921.17</v>
      </c>
      <c r="K473" t="s">
        <v>23</v>
      </c>
      <c r="L473">
        <v>0.33377874065804791</v>
      </c>
      <c r="M473" t="s">
        <v>23</v>
      </c>
      <c r="N473">
        <v>0</v>
      </c>
      <c r="O473">
        <v>0</v>
      </c>
      <c r="P473" t="s">
        <v>24</v>
      </c>
      <c r="Q473" t="s">
        <v>25</v>
      </c>
      <c r="R473" t="s">
        <v>26</v>
      </c>
      <c r="S473" t="s">
        <v>37</v>
      </c>
      <c r="T473" t="s">
        <v>28</v>
      </c>
      <c r="U473">
        <f t="shared" si="7"/>
        <v>1</v>
      </c>
    </row>
    <row r="474" spans="1:21" x14ac:dyDescent="0.2">
      <c r="A474">
        <v>701</v>
      </c>
      <c r="B474" t="s">
        <v>20</v>
      </c>
      <c r="C474" t="s">
        <v>21</v>
      </c>
      <c r="D474">
        <v>59</v>
      </c>
      <c r="E474">
        <v>7</v>
      </c>
      <c r="F474">
        <v>0</v>
      </c>
      <c r="G474">
        <v>2</v>
      </c>
      <c r="H474" t="s">
        <v>23</v>
      </c>
      <c r="I474" t="s">
        <v>22</v>
      </c>
      <c r="J474">
        <v>27597.59</v>
      </c>
      <c r="K474" t="s">
        <v>23</v>
      </c>
      <c r="L474">
        <v>0.18927757154252359</v>
      </c>
      <c r="M474" t="s">
        <v>23</v>
      </c>
      <c r="N474">
        <v>0</v>
      </c>
      <c r="O474">
        <v>0</v>
      </c>
      <c r="P474" t="s">
        <v>34</v>
      </c>
      <c r="Q474" t="s">
        <v>44</v>
      </c>
      <c r="R474" t="s">
        <v>29</v>
      </c>
      <c r="S474" t="s">
        <v>37</v>
      </c>
      <c r="T474" t="s">
        <v>35</v>
      </c>
      <c r="U474">
        <f t="shared" si="7"/>
        <v>1</v>
      </c>
    </row>
    <row r="475" spans="1:21" x14ac:dyDescent="0.2">
      <c r="A475">
        <v>680</v>
      </c>
      <c r="B475" t="s">
        <v>42</v>
      </c>
      <c r="C475" t="s">
        <v>32</v>
      </c>
      <c r="D475">
        <v>34</v>
      </c>
      <c r="E475">
        <v>1</v>
      </c>
      <c r="F475">
        <v>0</v>
      </c>
      <c r="G475">
        <v>2</v>
      </c>
      <c r="H475" t="s">
        <v>22</v>
      </c>
      <c r="I475" t="s">
        <v>23</v>
      </c>
      <c r="J475">
        <v>167035.07</v>
      </c>
      <c r="K475" t="s">
        <v>23</v>
      </c>
      <c r="L475">
        <v>0.17849748812706839</v>
      </c>
      <c r="M475" t="s">
        <v>23</v>
      </c>
      <c r="N475">
        <v>0</v>
      </c>
      <c r="O475">
        <v>0</v>
      </c>
      <c r="P475" t="s">
        <v>34</v>
      </c>
      <c r="Q475" t="s">
        <v>33</v>
      </c>
      <c r="R475" t="s">
        <v>29</v>
      </c>
      <c r="S475" t="s">
        <v>27</v>
      </c>
      <c r="T475" t="s">
        <v>31</v>
      </c>
      <c r="U475">
        <f t="shared" si="7"/>
        <v>1</v>
      </c>
    </row>
    <row r="476" spans="1:21" x14ac:dyDescent="0.2">
      <c r="A476">
        <v>621</v>
      </c>
      <c r="B476" t="s">
        <v>42</v>
      </c>
      <c r="C476" t="s">
        <v>21</v>
      </c>
      <c r="D476">
        <v>26</v>
      </c>
      <c r="E476">
        <v>2</v>
      </c>
      <c r="F476">
        <v>75237.539999999994</v>
      </c>
      <c r="G476">
        <v>1</v>
      </c>
      <c r="H476" t="s">
        <v>23</v>
      </c>
      <c r="I476" t="s">
        <v>22</v>
      </c>
      <c r="J476">
        <v>44220.4</v>
      </c>
      <c r="K476" t="s">
        <v>23</v>
      </c>
      <c r="L476">
        <v>3.0099859405066751E-2</v>
      </c>
      <c r="M476" t="s">
        <v>23</v>
      </c>
      <c r="N476">
        <v>0</v>
      </c>
      <c r="O476">
        <v>0</v>
      </c>
      <c r="P476" t="s">
        <v>34</v>
      </c>
      <c r="Q476" t="s">
        <v>36</v>
      </c>
      <c r="R476" t="s">
        <v>38</v>
      </c>
      <c r="S476" t="s">
        <v>27</v>
      </c>
      <c r="T476" t="s">
        <v>35</v>
      </c>
      <c r="U476">
        <f t="shared" si="7"/>
        <v>1</v>
      </c>
    </row>
    <row r="477" spans="1:21" x14ac:dyDescent="0.2">
      <c r="A477">
        <v>555</v>
      </c>
      <c r="B477" t="s">
        <v>42</v>
      </c>
      <c r="C477" t="s">
        <v>21</v>
      </c>
      <c r="D477">
        <v>24</v>
      </c>
      <c r="E477">
        <v>5</v>
      </c>
      <c r="F477">
        <v>0</v>
      </c>
      <c r="G477">
        <v>2</v>
      </c>
      <c r="H477" t="s">
        <v>22</v>
      </c>
      <c r="I477" t="s">
        <v>23</v>
      </c>
      <c r="J477">
        <v>27513.47</v>
      </c>
      <c r="K477" t="s">
        <v>23</v>
      </c>
      <c r="L477">
        <v>5.2918419801626343E-2</v>
      </c>
      <c r="M477" t="s">
        <v>23</v>
      </c>
      <c r="N477">
        <v>0</v>
      </c>
      <c r="O477">
        <v>0</v>
      </c>
      <c r="P477" t="s">
        <v>34</v>
      </c>
      <c r="Q477" t="s">
        <v>36</v>
      </c>
      <c r="R477" t="s">
        <v>29</v>
      </c>
      <c r="S477" t="s">
        <v>30</v>
      </c>
      <c r="T477" t="s">
        <v>35</v>
      </c>
      <c r="U477">
        <f t="shared" si="7"/>
        <v>1</v>
      </c>
    </row>
    <row r="478" spans="1:21" x14ac:dyDescent="0.2">
      <c r="A478">
        <v>734</v>
      </c>
      <c r="B478" t="s">
        <v>42</v>
      </c>
      <c r="C478" t="s">
        <v>32</v>
      </c>
      <c r="D478">
        <v>29</v>
      </c>
      <c r="E478">
        <v>0</v>
      </c>
      <c r="F478">
        <v>139994.66</v>
      </c>
      <c r="G478">
        <v>1</v>
      </c>
      <c r="H478" t="s">
        <v>22</v>
      </c>
      <c r="I478" t="s">
        <v>23</v>
      </c>
      <c r="J478">
        <v>17744.72</v>
      </c>
      <c r="K478" t="s">
        <v>23</v>
      </c>
      <c r="L478">
        <v>0.177818111877346</v>
      </c>
      <c r="M478" t="s">
        <v>23</v>
      </c>
      <c r="N478">
        <v>0</v>
      </c>
      <c r="O478">
        <v>0</v>
      </c>
      <c r="P478" t="s">
        <v>34</v>
      </c>
      <c r="Q478" t="s">
        <v>36</v>
      </c>
      <c r="R478" t="s">
        <v>26</v>
      </c>
      <c r="S478" t="s">
        <v>37</v>
      </c>
      <c r="T478" t="s">
        <v>35</v>
      </c>
      <c r="U478">
        <f t="shared" si="7"/>
        <v>1</v>
      </c>
    </row>
    <row r="479" spans="1:21" x14ac:dyDescent="0.2">
      <c r="A479">
        <v>783</v>
      </c>
      <c r="B479" t="s">
        <v>20</v>
      </c>
      <c r="C479" t="s">
        <v>32</v>
      </c>
      <c r="D479">
        <v>59</v>
      </c>
      <c r="E479">
        <v>9</v>
      </c>
      <c r="F479">
        <v>126224.87</v>
      </c>
      <c r="G479">
        <v>1</v>
      </c>
      <c r="H479" t="s">
        <v>22</v>
      </c>
      <c r="I479" t="s">
        <v>22</v>
      </c>
      <c r="J479">
        <v>4423.63</v>
      </c>
      <c r="K479" t="s">
        <v>23</v>
      </c>
      <c r="L479">
        <v>0.35023550127147418</v>
      </c>
      <c r="M479" t="s">
        <v>23</v>
      </c>
      <c r="N479">
        <v>0</v>
      </c>
      <c r="O479">
        <v>0</v>
      </c>
      <c r="P479" t="s">
        <v>24</v>
      </c>
      <c r="Q479" t="s">
        <v>44</v>
      </c>
      <c r="R479" t="s">
        <v>26</v>
      </c>
      <c r="S479" t="s">
        <v>37</v>
      </c>
      <c r="T479" t="s">
        <v>35</v>
      </c>
      <c r="U479">
        <f t="shared" si="7"/>
        <v>1</v>
      </c>
    </row>
    <row r="480" spans="1:21" x14ac:dyDescent="0.2">
      <c r="A480">
        <v>661</v>
      </c>
      <c r="B480" t="s">
        <v>42</v>
      </c>
      <c r="C480" t="s">
        <v>21</v>
      </c>
      <c r="D480">
        <v>47</v>
      </c>
      <c r="E480">
        <v>5</v>
      </c>
      <c r="F480">
        <v>0</v>
      </c>
      <c r="G480">
        <v>1</v>
      </c>
      <c r="H480" t="s">
        <v>23</v>
      </c>
      <c r="I480" t="s">
        <v>22</v>
      </c>
      <c r="J480">
        <v>107243.31</v>
      </c>
      <c r="K480" t="s">
        <v>22</v>
      </c>
      <c r="L480">
        <v>0.1028812095746592</v>
      </c>
      <c r="M480" t="s">
        <v>23</v>
      </c>
      <c r="N480">
        <v>1</v>
      </c>
      <c r="O480">
        <v>0</v>
      </c>
      <c r="P480" t="s">
        <v>34</v>
      </c>
      <c r="Q480" t="s">
        <v>25</v>
      </c>
      <c r="R480" t="s">
        <v>29</v>
      </c>
      <c r="S480" t="s">
        <v>27</v>
      </c>
      <c r="T480" t="s">
        <v>28</v>
      </c>
      <c r="U480">
        <f t="shared" si="7"/>
        <v>0</v>
      </c>
    </row>
    <row r="481" spans="1:21" x14ac:dyDescent="0.2">
      <c r="A481">
        <v>689</v>
      </c>
      <c r="B481" t="s">
        <v>20</v>
      </c>
      <c r="C481" t="s">
        <v>32</v>
      </c>
      <c r="D481">
        <v>31</v>
      </c>
      <c r="E481">
        <v>3</v>
      </c>
      <c r="F481">
        <v>139799.63</v>
      </c>
      <c r="G481">
        <v>1</v>
      </c>
      <c r="H481" t="s">
        <v>23</v>
      </c>
      <c r="I481" t="s">
        <v>22</v>
      </c>
      <c r="J481">
        <v>120663.57</v>
      </c>
      <c r="K481" t="s">
        <v>23</v>
      </c>
      <c r="L481">
        <v>8.5209919781739335E-2</v>
      </c>
      <c r="M481" t="s">
        <v>23</v>
      </c>
      <c r="N481">
        <v>0</v>
      </c>
      <c r="O481">
        <v>0</v>
      </c>
      <c r="P481" t="s">
        <v>34</v>
      </c>
      <c r="Q481" t="s">
        <v>33</v>
      </c>
      <c r="R481" t="s">
        <v>26</v>
      </c>
      <c r="S481" t="s">
        <v>27</v>
      </c>
      <c r="T481" t="s">
        <v>28</v>
      </c>
      <c r="U481">
        <f t="shared" si="7"/>
        <v>1</v>
      </c>
    </row>
    <row r="482" spans="1:21" x14ac:dyDescent="0.2">
      <c r="A482">
        <v>652</v>
      </c>
      <c r="B482" t="s">
        <v>42</v>
      </c>
      <c r="C482" t="s">
        <v>32</v>
      </c>
      <c r="D482">
        <v>40</v>
      </c>
      <c r="E482">
        <v>8</v>
      </c>
      <c r="F482">
        <v>84390.8</v>
      </c>
      <c r="G482">
        <v>2</v>
      </c>
      <c r="H482" t="s">
        <v>23</v>
      </c>
      <c r="I482" t="s">
        <v>22</v>
      </c>
      <c r="J482">
        <v>107876.2</v>
      </c>
      <c r="K482" t="s">
        <v>23</v>
      </c>
      <c r="L482">
        <v>0.1116736666929256</v>
      </c>
      <c r="M482" t="s">
        <v>23</v>
      </c>
      <c r="N482">
        <v>0</v>
      </c>
      <c r="O482">
        <v>0</v>
      </c>
      <c r="P482" t="s">
        <v>34</v>
      </c>
      <c r="Q482" t="s">
        <v>33</v>
      </c>
      <c r="R482" t="s">
        <v>38</v>
      </c>
      <c r="S482" t="s">
        <v>27</v>
      </c>
      <c r="T482" t="s">
        <v>28</v>
      </c>
      <c r="U482">
        <f t="shared" si="7"/>
        <v>1</v>
      </c>
    </row>
    <row r="483" spans="1:21" x14ac:dyDescent="0.2">
      <c r="A483">
        <v>638</v>
      </c>
      <c r="B483" t="s">
        <v>41</v>
      </c>
      <c r="C483" t="s">
        <v>21</v>
      </c>
      <c r="D483">
        <v>37</v>
      </c>
      <c r="E483">
        <v>2</v>
      </c>
      <c r="F483">
        <v>89728.86</v>
      </c>
      <c r="G483">
        <v>2</v>
      </c>
      <c r="H483" t="s">
        <v>22</v>
      </c>
      <c r="I483" t="s">
        <v>22</v>
      </c>
      <c r="J483">
        <v>37294.879999999997</v>
      </c>
      <c r="K483" t="s">
        <v>23</v>
      </c>
      <c r="L483">
        <v>0.1208670151063142</v>
      </c>
      <c r="M483" t="s">
        <v>23</v>
      </c>
      <c r="N483">
        <v>0</v>
      </c>
      <c r="O483">
        <v>0</v>
      </c>
      <c r="P483" t="s">
        <v>34</v>
      </c>
      <c r="Q483" t="s">
        <v>33</v>
      </c>
      <c r="R483" t="s">
        <v>38</v>
      </c>
      <c r="S483" t="s">
        <v>27</v>
      </c>
      <c r="T483" t="s">
        <v>35</v>
      </c>
      <c r="U483">
        <f t="shared" si="7"/>
        <v>1</v>
      </c>
    </row>
    <row r="484" spans="1:21" x14ac:dyDescent="0.2">
      <c r="A484">
        <v>645</v>
      </c>
      <c r="B484" t="s">
        <v>20</v>
      </c>
      <c r="C484" t="s">
        <v>32</v>
      </c>
      <c r="D484">
        <v>21</v>
      </c>
      <c r="E484">
        <v>1</v>
      </c>
      <c r="F484">
        <v>0</v>
      </c>
      <c r="G484">
        <v>2</v>
      </c>
      <c r="H484" t="s">
        <v>23</v>
      </c>
      <c r="I484" t="s">
        <v>23</v>
      </c>
      <c r="J484">
        <v>28726.07</v>
      </c>
      <c r="K484" t="s">
        <v>23</v>
      </c>
      <c r="L484">
        <v>7.7917619085353371E-2</v>
      </c>
      <c r="M484" t="s">
        <v>23</v>
      </c>
      <c r="N484">
        <v>0</v>
      </c>
      <c r="O484">
        <v>0</v>
      </c>
      <c r="P484" t="s">
        <v>34</v>
      </c>
      <c r="Q484" t="s">
        <v>36</v>
      </c>
      <c r="R484" t="s">
        <v>29</v>
      </c>
      <c r="S484" t="s">
        <v>27</v>
      </c>
      <c r="T484" t="s">
        <v>35</v>
      </c>
      <c r="U484">
        <f t="shared" si="7"/>
        <v>1</v>
      </c>
    </row>
    <row r="485" spans="1:21" x14ac:dyDescent="0.2">
      <c r="A485">
        <v>782</v>
      </c>
      <c r="B485" t="s">
        <v>20</v>
      </c>
      <c r="C485" t="s">
        <v>21</v>
      </c>
      <c r="D485">
        <v>23</v>
      </c>
      <c r="E485">
        <v>10</v>
      </c>
      <c r="F485">
        <v>98052.66</v>
      </c>
      <c r="G485">
        <v>1</v>
      </c>
      <c r="H485" t="s">
        <v>22</v>
      </c>
      <c r="I485" t="s">
        <v>22</v>
      </c>
      <c r="J485">
        <v>142587.32</v>
      </c>
      <c r="K485" t="s">
        <v>23</v>
      </c>
      <c r="L485">
        <v>2.0958232772733391E-2</v>
      </c>
      <c r="M485" t="s">
        <v>23</v>
      </c>
      <c r="N485">
        <v>0</v>
      </c>
      <c r="O485">
        <v>0</v>
      </c>
      <c r="P485" t="s">
        <v>34</v>
      </c>
      <c r="Q485" t="s">
        <v>36</v>
      </c>
      <c r="R485" t="s">
        <v>38</v>
      </c>
      <c r="S485" t="s">
        <v>37</v>
      </c>
      <c r="T485" t="s">
        <v>28</v>
      </c>
      <c r="U485">
        <f t="shared" si="7"/>
        <v>1</v>
      </c>
    </row>
    <row r="486" spans="1:21" x14ac:dyDescent="0.2">
      <c r="A486">
        <v>734</v>
      </c>
      <c r="B486" t="s">
        <v>42</v>
      </c>
      <c r="C486" t="s">
        <v>21</v>
      </c>
      <c r="D486">
        <v>51</v>
      </c>
      <c r="E486">
        <v>1</v>
      </c>
      <c r="F486">
        <v>118537.47</v>
      </c>
      <c r="G486">
        <v>1</v>
      </c>
      <c r="H486" t="s">
        <v>22</v>
      </c>
      <c r="I486" t="s">
        <v>22</v>
      </c>
      <c r="J486">
        <v>116912.45</v>
      </c>
      <c r="K486" t="s">
        <v>23</v>
      </c>
      <c r="L486">
        <v>0.1735591841768544</v>
      </c>
      <c r="M486" t="s">
        <v>23</v>
      </c>
      <c r="N486">
        <v>0</v>
      </c>
      <c r="O486">
        <v>0</v>
      </c>
      <c r="P486" t="s">
        <v>34</v>
      </c>
      <c r="Q486" t="s">
        <v>44</v>
      </c>
      <c r="R486" t="s">
        <v>26</v>
      </c>
      <c r="S486" t="s">
        <v>37</v>
      </c>
      <c r="T486" t="s">
        <v>28</v>
      </c>
      <c r="U486">
        <f t="shared" si="7"/>
        <v>1</v>
      </c>
    </row>
    <row r="487" spans="1:21" x14ac:dyDescent="0.2">
      <c r="A487">
        <v>758</v>
      </c>
      <c r="B487" t="s">
        <v>42</v>
      </c>
      <c r="C487" t="s">
        <v>32</v>
      </c>
      <c r="D487">
        <v>50</v>
      </c>
      <c r="E487">
        <v>2</v>
      </c>
      <c r="F487">
        <v>95813.759999999995</v>
      </c>
      <c r="G487">
        <v>3</v>
      </c>
      <c r="H487" t="s">
        <v>22</v>
      </c>
      <c r="I487" t="s">
        <v>22</v>
      </c>
      <c r="J487">
        <v>67944.09</v>
      </c>
      <c r="K487" t="s">
        <v>22</v>
      </c>
      <c r="L487">
        <v>0.19512494534802291</v>
      </c>
      <c r="M487" t="s">
        <v>23</v>
      </c>
      <c r="N487">
        <v>1</v>
      </c>
      <c r="O487">
        <v>0</v>
      </c>
      <c r="P487" t="s">
        <v>34</v>
      </c>
      <c r="Q487" t="s">
        <v>25</v>
      </c>
      <c r="R487" t="s">
        <v>38</v>
      </c>
      <c r="S487" t="s">
        <v>37</v>
      </c>
      <c r="T487" t="s">
        <v>40</v>
      </c>
      <c r="U487">
        <f t="shared" si="7"/>
        <v>0</v>
      </c>
    </row>
    <row r="488" spans="1:21" x14ac:dyDescent="0.2">
      <c r="A488">
        <v>604</v>
      </c>
      <c r="B488" t="s">
        <v>42</v>
      </c>
      <c r="C488" t="s">
        <v>21</v>
      </c>
      <c r="D488">
        <v>26</v>
      </c>
      <c r="E488">
        <v>8</v>
      </c>
      <c r="F488">
        <v>149542.51999999999</v>
      </c>
      <c r="G488">
        <v>2</v>
      </c>
      <c r="H488" t="s">
        <v>23</v>
      </c>
      <c r="I488" t="s">
        <v>22</v>
      </c>
      <c r="J488">
        <v>197911.52</v>
      </c>
      <c r="K488" t="s">
        <v>23</v>
      </c>
      <c r="L488">
        <v>3.2149787967644478E-2</v>
      </c>
      <c r="M488" t="s">
        <v>23</v>
      </c>
      <c r="N488">
        <v>0</v>
      </c>
      <c r="O488">
        <v>0</v>
      </c>
      <c r="P488" t="s">
        <v>34</v>
      </c>
      <c r="Q488" t="s">
        <v>36</v>
      </c>
      <c r="R488" t="s">
        <v>26</v>
      </c>
      <c r="S488" t="s">
        <v>27</v>
      </c>
      <c r="T488" t="s">
        <v>31</v>
      </c>
      <c r="U488">
        <f t="shared" si="7"/>
        <v>1</v>
      </c>
    </row>
    <row r="489" spans="1:21" x14ac:dyDescent="0.2">
      <c r="A489">
        <v>717</v>
      </c>
      <c r="B489" t="s">
        <v>41</v>
      </c>
      <c r="C489" t="s">
        <v>32</v>
      </c>
      <c r="D489">
        <v>35</v>
      </c>
      <c r="E489">
        <v>5</v>
      </c>
      <c r="F489">
        <v>103214.71</v>
      </c>
      <c r="G489">
        <v>1</v>
      </c>
      <c r="H489" t="s">
        <v>22</v>
      </c>
      <c r="I489" t="s">
        <v>23</v>
      </c>
      <c r="J489">
        <v>172172.7</v>
      </c>
      <c r="K489" t="s">
        <v>23</v>
      </c>
      <c r="L489">
        <v>0.40253232922927717</v>
      </c>
      <c r="M489" t="s">
        <v>23</v>
      </c>
      <c r="N489">
        <v>0</v>
      </c>
      <c r="O489">
        <v>0</v>
      </c>
      <c r="P489" t="s">
        <v>24</v>
      </c>
      <c r="Q489" t="s">
        <v>33</v>
      </c>
      <c r="R489" t="s">
        <v>26</v>
      </c>
      <c r="S489" t="s">
        <v>37</v>
      </c>
      <c r="T489" t="s">
        <v>31</v>
      </c>
      <c r="U489">
        <f t="shared" si="7"/>
        <v>1</v>
      </c>
    </row>
    <row r="490" spans="1:21" x14ac:dyDescent="0.2">
      <c r="A490">
        <v>573</v>
      </c>
      <c r="B490" t="s">
        <v>42</v>
      </c>
      <c r="C490" t="s">
        <v>32</v>
      </c>
      <c r="D490">
        <v>33</v>
      </c>
      <c r="E490">
        <v>0</v>
      </c>
      <c r="F490">
        <v>90124.64</v>
      </c>
      <c r="G490">
        <v>1</v>
      </c>
      <c r="H490" t="s">
        <v>22</v>
      </c>
      <c r="I490" t="s">
        <v>23</v>
      </c>
      <c r="J490">
        <v>137476.71</v>
      </c>
      <c r="K490" t="s">
        <v>23</v>
      </c>
      <c r="L490">
        <v>0.23396989179133959</v>
      </c>
      <c r="M490" t="s">
        <v>23</v>
      </c>
      <c r="N490">
        <v>0</v>
      </c>
      <c r="O490">
        <v>0</v>
      </c>
      <c r="P490" t="s">
        <v>24</v>
      </c>
      <c r="Q490" t="s">
        <v>33</v>
      </c>
      <c r="R490" t="s">
        <v>38</v>
      </c>
      <c r="S490" t="s">
        <v>30</v>
      </c>
      <c r="T490" t="s">
        <v>28</v>
      </c>
      <c r="U490">
        <f t="shared" si="7"/>
        <v>1</v>
      </c>
    </row>
    <row r="491" spans="1:21" x14ac:dyDescent="0.2">
      <c r="A491">
        <v>584</v>
      </c>
      <c r="B491" t="s">
        <v>41</v>
      </c>
      <c r="C491" t="s">
        <v>32</v>
      </c>
      <c r="D491">
        <v>46</v>
      </c>
      <c r="E491">
        <v>6</v>
      </c>
      <c r="F491">
        <v>87361.02</v>
      </c>
      <c r="G491">
        <v>2</v>
      </c>
      <c r="H491" t="s">
        <v>22</v>
      </c>
      <c r="I491" t="s">
        <v>23</v>
      </c>
      <c r="J491">
        <v>120376.87</v>
      </c>
      <c r="K491" t="s">
        <v>22</v>
      </c>
      <c r="L491">
        <v>0.57874227813199941</v>
      </c>
      <c r="M491" t="s">
        <v>22</v>
      </c>
      <c r="N491">
        <v>1</v>
      </c>
      <c r="O491">
        <v>1</v>
      </c>
      <c r="P491" t="s">
        <v>43</v>
      </c>
      <c r="Q491" t="s">
        <v>25</v>
      </c>
      <c r="R491" t="s">
        <v>38</v>
      </c>
      <c r="S491" t="s">
        <v>30</v>
      </c>
      <c r="T491" t="s">
        <v>28</v>
      </c>
      <c r="U491">
        <f t="shared" si="7"/>
        <v>1</v>
      </c>
    </row>
    <row r="492" spans="1:21" x14ac:dyDescent="0.2">
      <c r="A492">
        <v>686</v>
      </c>
      <c r="B492" t="s">
        <v>42</v>
      </c>
      <c r="C492" t="s">
        <v>32</v>
      </c>
      <c r="D492">
        <v>43</v>
      </c>
      <c r="E492">
        <v>0</v>
      </c>
      <c r="F492">
        <v>0</v>
      </c>
      <c r="G492">
        <v>1</v>
      </c>
      <c r="H492" t="s">
        <v>22</v>
      </c>
      <c r="I492" t="s">
        <v>22</v>
      </c>
      <c r="J492">
        <v>170072.9</v>
      </c>
      <c r="K492" t="s">
        <v>23</v>
      </c>
      <c r="L492">
        <v>0.13829254461113311</v>
      </c>
      <c r="M492" t="s">
        <v>23</v>
      </c>
      <c r="N492">
        <v>0</v>
      </c>
      <c r="O492">
        <v>0</v>
      </c>
      <c r="P492" t="s">
        <v>34</v>
      </c>
      <c r="Q492" t="s">
        <v>25</v>
      </c>
      <c r="R492" t="s">
        <v>29</v>
      </c>
      <c r="S492" t="s">
        <v>27</v>
      </c>
      <c r="T492" t="s">
        <v>31</v>
      </c>
      <c r="U492">
        <f t="shared" si="7"/>
        <v>1</v>
      </c>
    </row>
    <row r="493" spans="1:21" x14ac:dyDescent="0.2">
      <c r="A493">
        <v>850</v>
      </c>
      <c r="B493" t="s">
        <v>42</v>
      </c>
      <c r="C493" t="s">
        <v>21</v>
      </c>
      <c r="D493">
        <v>42</v>
      </c>
      <c r="E493">
        <v>0</v>
      </c>
      <c r="F493">
        <v>0</v>
      </c>
      <c r="G493">
        <v>2</v>
      </c>
      <c r="H493" t="s">
        <v>22</v>
      </c>
      <c r="I493" t="s">
        <v>23</v>
      </c>
      <c r="J493">
        <v>44165.84</v>
      </c>
      <c r="K493" t="s">
        <v>23</v>
      </c>
      <c r="L493">
        <v>0.1612795453528395</v>
      </c>
      <c r="M493" t="s">
        <v>23</v>
      </c>
      <c r="N493">
        <v>0</v>
      </c>
      <c r="O493">
        <v>0</v>
      </c>
      <c r="P493" t="s">
        <v>34</v>
      </c>
      <c r="Q493" t="s">
        <v>25</v>
      </c>
      <c r="R493" t="s">
        <v>29</v>
      </c>
      <c r="S493" t="s">
        <v>39</v>
      </c>
      <c r="T493" t="s">
        <v>35</v>
      </c>
      <c r="U493">
        <f t="shared" si="7"/>
        <v>1</v>
      </c>
    </row>
    <row r="494" spans="1:21" x14ac:dyDescent="0.2">
      <c r="A494">
        <v>727</v>
      </c>
      <c r="B494" t="s">
        <v>41</v>
      </c>
      <c r="C494" t="s">
        <v>32</v>
      </c>
      <c r="D494">
        <v>30</v>
      </c>
      <c r="E494">
        <v>8</v>
      </c>
      <c r="F494">
        <v>119027.28</v>
      </c>
      <c r="G494">
        <v>2</v>
      </c>
      <c r="H494" t="s">
        <v>22</v>
      </c>
      <c r="I494" t="s">
        <v>22</v>
      </c>
      <c r="J494">
        <v>137903.54</v>
      </c>
      <c r="K494" t="s">
        <v>23</v>
      </c>
      <c r="L494">
        <v>0.11890460208413629</v>
      </c>
      <c r="M494" t="s">
        <v>23</v>
      </c>
      <c r="N494">
        <v>0</v>
      </c>
      <c r="O494">
        <v>0</v>
      </c>
      <c r="P494" t="s">
        <v>34</v>
      </c>
      <c r="Q494" t="s">
        <v>36</v>
      </c>
      <c r="R494" t="s">
        <v>26</v>
      </c>
      <c r="S494" t="s">
        <v>37</v>
      </c>
      <c r="T494" t="s">
        <v>28</v>
      </c>
      <c r="U494">
        <f t="shared" si="7"/>
        <v>1</v>
      </c>
    </row>
    <row r="495" spans="1:21" x14ac:dyDescent="0.2">
      <c r="A495">
        <v>667</v>
      </c>
      <c r="B495" t="s">
        <v>42</v>
      </c>
      <c r="C495" t="s">
        <v>32</v>
      </c>
      <c r="D495">
        <v>38</v>
      </c>
      <c r="E495">
        <v>6</v>
      </c>
      <c r="F495">
        <v>144432.04</v>
      </c>
      <c r="G495">
        <v>1</v>
      </c>
      <c r="H495" t="s">
        <v>22</v>
      </c>
      <c r="I495" t="s">
        <v>22</v>
      </c>
      <c r="J495">
        <v>73963.17</v>
      </c>
      <c r="K495" t="s">
        <v>22</v>
      </c>
      <c r="L495">
        <v>0.1208382557982505</v>
      </c>
      <c r="M495" t="s">
        <v>23</v>
      </c>
      <c r="N495">
        <v>1</v>
      </c>
      <c r="O495">
        <v>0</v>
      </c>
      <c r="P495" t="s">
        <v>34</v>
      </c>
      <c r="Q495" t="s">
        <v>33</v>
      </c>
      <c r="R495" t="s">
        <v>26</v>
      </c>
      <c r="S495" t="s">
        <v>27</v>
      </c>
      <c r="T495" t="s">
        <v>40</v>
      </c>
      <c r="U495">
        <f t="shared" si="7"/>
        <v>0</v>
      </c>
    </row>
    <row r="496" spans="1:21" x14ac:dyDescent="0.2">
      <c r="A496">
        <v>553</v>
      </c>
      <c r="B496" t="s">
        <v>42</v>
      </c>
      <c r="C496" t="s">
        <v>21</v>
      </c>
      <c r="D496">
        <v>42</v>
      </c>
      <c r="E496">
        <v>1</v>
      </c>
      <c r="F496">
        <v>0</v>
      </c>
      <c r="G496">
        <v>2</v>
      </c>
      <c r="H496" t="s">
        <v>23</v>
      </c>
      <c r="I496" t="s">
        <v>23</v>
      </c>
      <c r="J496">
        <v>23822.04</v>
      </c>
      <c r="K496" t="s">
        <v>23</v>
      </c>
      <c r="L496">
        <v>0.1912245088804464</v>
      </c>
      <c r="M496" t="s">
        <v>23</v>
      </c>
      <c r="N496">
        <v>0</v>
      </c>
      <c r="O496">
        <v>0</v>
      </c>
      <c r="P496" t="s">
        <v>34</v>
      </c>
      <c r="Q496" t="s">
        <v>25</v>
      </c>
      <c r="R496" t="s">
        <v>29</v>
      </c>
      <c r="S496" t="s">
        <v>30</v>
      </c>
      <c r="T496" t="s">
        <v>35</v>
      </c>
      <c r="U496">
        <f t="shared" si="7"/>
        <v>1</v>
      </c>
    </row>
    <row r="497" spans="1:21" x14ac:dyDescent="0.2">
      <c r="A497">
        <v>612</v>
      </c>
      <c r="B497" t="s">
        <v>41</v>
      </c>
      <c r="C497" t="s">
        <v>32</v>
      </c>
      <c r="D497">
        <v>47</v>
      </c>
      <c r="E497">
        <v>6</v>
      </c>
      <c r="F497">
        <v>130024.87</v>
      </c>
      <c r="G497">
        <v>1</v>
      </c>
      <c r="H497" t="s">
        <v>22</v>
      </c>
      <c r="I497" t="s">
        <v>22</v>
      </c>
      <c r="J497">
        <v>45750.21</v>
      </c>
      <c r="K497" t="s">
        <v>22</v>
      </c>
      <c r="L497">
        <v>0.36697617236696262</v>
      </c>
      <c r="M497" t="s">
        <v>23</v>
      </c>
      <c r="N497">
        <v>1</v>
      </c>
      <c r="O497">
        <v>0</v>
      </c>
      <c r="P497" t="s">
        <v>24</v>
      </c>
      <c r="Q497" t="s">
        <v>25</v>
      </c>
      <c r="R497" t="s">
        <v>26</v>
      </c>
      <c r="S497" t="s">
        <v>27</v>
      </c>
      <c r="T497" t="s">
        <v>35</v>
      </c>
      <c r="U497">
        <f t="shared" si="7"/>
        <v>0</v>
      </c>
    </row>
    <row r="498" spans="1:21" x14ac:dyDescent="0.2">
      <c r="A498">
        <v>689</v>
      </c>
      <c r="B498" t="s">
        <v>20</v>
      </c>
      <c r="C498" t="s">
        <v>21</v>
      </c>
      <c r="D498">
        <v>40</v>
      </c>
      <c r="E498">
        <v>2</v>
      </c>
      <c r="F498">
        <v>0</v>
      </c>
      <c r="G498">
        <v>2</v>
      </c>
      <c r="H498" t="s">
        <v>22</v>
      </c>
      <c r="I498" t="s">
        <v>22</v>
      </c>
      <c r="J498">
        <v>164768.82</v>
      </c>
      <c r="K498" t="s">
        <v>23</v>
      </c>
      <c r="L498">
        <v>6.2455841327697229E-2</v>
      </c>
      <c r="M498" t="s">
        <v>23</v>
      </c>
      <c r="N498">
        <v>0</v>
      </c>
      <c r="O498">
        <v>0</v>
      </c>
      <c r="P498" t="s">
        <v>34</v>
      </c>
      <c r="Q498" t="s">
        <v>33</v>
      </c>
      <c r="R498" t="s">
        <v>29</v>
      </c>
      <c r="S498" t="s">
        <v>27</v>
      </c>
      <c r="T498" t="s">
        <v>31</v>
      </c>
      <c r="U498">
        <f t="shared" si="7"/>
        <v>1</v>
      </c>
    </row>
    <row r="499" spans="1:21" x14ac:dyDescent="0.2">
      <c r="A499">
        <v>704</v>
      </c>
      <c r="B499" t="s">
        <v>42</v>
      </c>
      <c r="C499" t="s">
        <v>21</v>
      </c>
      <c r="D499">
        <v>31</v>
      </c>
      <c r="E499">
        <v>0</v>
      </c>
      <c r="F499">
        <v>0</v>
      </c>
      <c r="G499">
        <v>2</v>
      </c>
      <c r="H499" t="s">
        <v>22</v>
      </c>
      <c r="I499" t="s">
        <v>23</v>
      </c>
      <c r="J499">
        <v>183038.33</v>
      </c>
      <c r="K499" t="s">
        <v>23</v>
      </c>
      <c r="L499">
        <v>9.2466207817603646E-2</v>
      </c>
      <c r="M499" t="s">
        <v>23</v>
      </c>
      <c r="N499">
        <v>0</v>
      </c>
      <c r="O499">
        <v>0</v>
      </c>
      <c r="P499" t="s">
        <v>34</v>
      </c>
      <c r="Q499" t="s">
        <v>33</v>
      </c>
      <c r="R499" t="s">
        <v>29</v>
      </c>
      <c r="S499" t="s">
        <v>37</v>
      </c>
      <c r="T499" t="s">
        <v>31</v>
      </c>
      <c r="U499">
        <f t="shared" si="7"/>
        <v>1</v>
      </c>
    </row>
    <row r="500" spans="1:21" x14ac:dyDescent="0.2">
      <c r="A500">
        <v>563</v>
      </c>
      <c r="B500" t="s">
        <v>42</v>
      </c>
      <c r="C500" t="s">
        <v>21</v>
      </c>
      <c r="D500">
        <v>33</v>
      </c>
      <c r="E500">
        <v>8</v>
      </c>
      <c r="F500">
        <v>0</v>
      </c>
      <c r="G500">
        <v>2</v>
      </c>
      <c r="H500" t="s">
        <v>23</v>
      </c>
      <c r="I500" t="s">
        <v>22</v>
      </c>
      <c r="J500">
        <v>68815.05</v>
      </c>
      <c r="K500" t="s">
        <v>23</v>
      </c>
      <c r="L500">
        <v>3.4953994662004897E-2</v>
      </c>
      <c r="M500" t="s">
        <v>23</v>
      </c>
      <c r="N500">
        <v>0</v>
      </c>
      <c r="O500">
        <v>0</v>
      </c>
      <c r="P500" t="s">
        <v>34</v>
      </c>
      <c r="Q500" t="s">
        <v>33</v>
      </c>
      <c r="R500" t="s">
        <v>29</v>
      </c>
      <c r="S500" t="s">
        <v>30</v>
      </c>
      <c r="T500" t="s">
        <v>40</v>
      </c>
      <c r="U500">
        <f t="shared" si="7"/>
        <v>1</v>
      </c>
    </row>
    <row r="501" spans="1:21" x14ac:dyDescent="0.2">
      <c r="A501">
        <v>622</v>
      </c>
      <c r="B501" t="s">
        <v>20</v>
      </c>
      <c r="C501" t="s">
        <v>32</v>
      </c>
      <c r="D501">
        <v>41</v>
      </c>
      <c r="E501">
        <v>9</v>
      </c>
      <c r="F501">
        <v>0</v>
      </c>
      <c r="G501">
        <v>2</v>
      </c>
      <c r="H501" t="s">
        <v>22</v>
      </c>
      <c r="I501" t="s">
        <v>22</v>
      </c>
      <c r="J501">
        <v>155786.39000000001</v>
      </c>
      <c r="K501" t="s">
        <v>23</v>
      </c>
      <c r="L501">
        <v>0.10115180589981281</v>
      </c>
      <c r="M501" t="s">
        <v>23</v>
      </c>
      <c r="N501">
        <v>0</v>
      </c>
      <c r="O501">
        <v>0</v>
      </c>
      <c r="P501" t="s">
        <v>34</v>
      </c>
      <c r="Q501" t="s">
        <v>25</v>
      </c>
      <c r="R501" t="s">
        <v>29</v>
      </c>
      <c r="S501" t="s">
        <v>27</v>
      </c>
      <c r="T501" t="s">
        <v>31</v>
      </c>
      <c r="U501">
        <f t="shared" si="7"/>
        <v>1</v>
      </c>
    </row>
    <row r="502" spans="1:21" x14ac:dyDescent="0.2">
      <c r="A502">
        <v>682</v>
      </c>
      <c r="B502" t="s">
        <v>42</v>
      </c>
      <c r="C502" t="s">
        <v>21</v>
      </c>
      <c r="D502">
        <v>38</v>
      </c>
      <c r="E502">
        <v>4</v>
      </c>
      <c r="F502">
        <v>107192.38</v>
      </c>
      <c r="G502">
        <v>1</v>
      </c>
      <c r="H502" t="s">
        <v>22</v>
      </c>
      <c r="I502" t="s">
        <v>22</v>
      </c>
      <c r="J502">
        <v>15669.17</v>
      </c>
      <c r="K502" t="s">
        <v>23</v>
      </c>
      <c r="L502">
        <v>6.7111534272781506E-2</v>
      </c>
      <c r="M502" t="s">
        <v>23</v>
      </c>
      <c r="N502">
        <v>0</v>
      </c>
      <c r="O502">
        <v>0</v>
      </c>
      <c r="P502" t="s">
        <v>34</v>
      </c>
      <c r="Q502" t="s">
        <v>33</v>
      </c>
      <c r="R502" t="s">
        <v>26</v>
      </c>
      <c r="S502" t="s">
        <v>27</v>
      </c>
      <c r="T502" t="s">
        <v>35</v>
      </c>
      <c r="U502">
        <f t="shared" si="7"/>
        <v>1</v>
      </c>
    </row>
    <row r="503" spans="1:21" x14ac:dyDescent="0.2">
      <c r="A503">
        <v>550</v>
      </c>
      <c r="B503" t="s">
        <v>20</v>
      </c>
      <c r="C503" t="s">
        <v>21</v>
      </c>
      <c r="D503">
        <v>34</v>
      </c>
      <c r="E503">
        <v>3</v>
      </c>
      <c r="F503">
        <v>0</v>
      </c>
      <c r="G503">
        <v>2</v>
      </c>
      <c r="H503" t="s">
        <v>23</v>
      </c>
      <c r="I503" t="s">
        <v>23</v>
      </c>
      <c r="J503">
        <v>131281.28</v>
      </c>
      <c r="K503" t="s">
        <v>23</v>
      </c>
      <c r="L503">
        <v>0.1220699934656878</v>
      </c>
      <c r="M503" t="s">
        <v>23</v>
      </c>
      <c r="N503">
        <v>0</v>
      </c>
      <c r="O503">
        <v>0</v>
      </c>
      <c r="P503" t="s">
        <v>34</v>
      </c>
      <c r="Q503" t="s">
        <v>33</v>
      </c>
      <c r="R503" t="s">
        <v>29</v>
      </c>
      <c r="S503" t="s">
        <v>30</v>
      </c>
      <c r="T503" t="s">
        <v>28</v>
      </c>
      <c r="U503">
        <f t="shared" si="7"/>
        <v>1</v>
      </c>
    </row>
    <row r="504" spans="1:21" x14ac:dyDescent="0.2">
      <c r="A504">
        <v>630</v>
      </c>
      <c r="B504" t="s">
        <v>42</v>
      </c>
      <c r="C504" t="s">
        <v>21</v>
      </c>
      <c r="D504">
        <v>26</v>
      </c>
      <c r="E504">
        <v>7</v>
      </c>
      <c r="F504">
        <v>129837.72</v>
      </c>
      <c r="G504">
        <v>2</v>
      </c>
      <c r="H504" t="s">
        <v>23</v>
      </c>
      <c r="I504" t="s">
        <v>22</v>
      </c>
      <c r="J504">
        <v>197001.15</v>
      </c>
      <c r="K504" t="s">
        <v>23</v>
      </c>
      <c r="L504">
        <v>3.063600502285365E-2</v>
      </c>
      <c r="M504" t="s">
        <v>23</v>
      </c>
      <c r="N504">
        <v>0</v>
      </c>
      <c r="O504">
        <v>0</v>
      </c>
      <c r="P504" t="s">
        <v>34</v>
      </c>
      <c r="Q504" t="s">
        <v>36</v>
      </c>
      <c r="R504" t="s">
        <v>26</v>
      </c>
      <c r="S504" t="s">
        <v>27</v>
      </c>
      <c r="T504" t="s">
        <v>31</v>
      </c>
      <c r="U504">
        <f t="shared" si="7"/>
        <v>1</v>
      </c>
    </row>
    <row r="505" spans="1:21" x14ac:dyDescent="0.2">
      <c r="A505">
        <v>605</v>
      </c>
      <c r="B505" t="s">
        <v>20</v>
      </c>
      <c r="C505" t="s">
        <v>32</v>
      </c>
      <c r="D505">
        <v>29</v>
      </c>
      <c r="E505">
        <v>3</v>
      </c>
      <c r="F505">
        <v>116805.82</v>
      </c>
      <c r="G505">
        <v>1</v>
      </c>
      <c r="H505" t="s">
        <v>23</v>
      </c>
      <c r="I505" t="s">
        <v>23</v>
      </c>
      <c r="J505">
        <v>4092.75</v>
      </c>
      <c r="K505" t="s">
        <v>23</v>
      </c>
      <c r="L505">
        <v>0.1826710714209018</v>
      </c>
      <c r="M505" t="s">
        <v>23</v>
      </c>
      <c r="N505">
        <v>0</v>
      </c>
      <c r="O505">
        <v>0</v>
      </c>
      <c r="P505" t="s">
        <v>34</v>
      </c>
      <c r="Q505" t="s">
        <v>36</v>
      </c>
      <c r="R505" t="s">
        <v>26</v>
      </c>
      <c r="S505" t="s">
        <v>27</v>
      </c>
      <c r="T505" t="s">
        <v>35</v>
      </c>
      <c r="U505">
        <f t="shared" si="7"/>
        <v>1</v>
      </c>
    </row>
    <row r="506" spans="1:21" x14ac:dyDescent="0.2">
      <c r="A506">
        <v>567</v>
      </c>
      <c r="B506" t="s">
        <v>41</v>
      </c>
      <c r="C506" t="s">
        <v>21</v>
      </c>
      <c r="D506">
        <v>29</v>
      </c>
      <c r="E506">
        <v>5</v>
      </c>
      <c r="F506">
        <v>129750.68</v>
      </c>
      <c r="G506">
        <v>1</v>
      </c>
      <c r="H506" t="s">
        <v>22</v>
      </c>
      <c r="I506" t="s">
        <v>23</v>
      </c>
      <c r="J506">
        <v>109257.59</v>
      </c>
      <c r="K506" t="s">
        <v>23</v>
      </c>
      <c r="L506">
        <v>0.2228851739289005</v>
      </c>
      <c r="M506" t="s">
        <v>23</v>
      </c>
      <c r="N506">
        <v>0</v>
      </c>
      <c r="O506">
        <v>0</v>
      </c>
      <c r="P506" t="s">
        <v>24</v>
      </c>
      <c r="Q506" t="s">
        <v>36</v>
      </c>
      <c r="R506" t="s">
        <v>26</v>
      </c>
      <c r="S506" t="s">
        <v>30</v>
      </c>
      <c r="T506" t="s">
        <v>28</v>
      </c>
      <c r="U506">
        <f t="shared" si="7"/>
        <v>1</v>
      </c>
    </row>
    <row r="507" spans="1:21" x14ac:dyDescent="0.2">
      <c r="A507">
        <v>629</v>
      </c>
      <c r="B507" t="s">
        <v>42</v>
      </c>
      <c r="C507" t="s">
        <v>21</v>
      </c>
      <c r="D507">
        <v>35</v>
      </c>
      <c r="E507">
        <v>1</v>
      </c>
      <c r="F507">
        <v>172170.36</v>
      </c>
      <c r="G507">
        <v>1</v>
      </c>
      <c r="H507" t="s">
        <v>22</v>
      </c>
      <c r="I507" t="s">
        <v>22</v>
      </c>
      <c r="J507">
        <v>159777.37</v>
      </c>
      <c r="K507" t="s">
        <v>23</v>
      </c>
      <c r="L507">
        <v>7.5242274465877473E-2</v>
      </c>
      <c r="M507" t="s">
        <v>23</v>
      </c>
      <c r="N507">
        <v>0</v>
      </c>
      <c r="O507">
        <v>0</v>
      </c>
      <c r="P507" t="s">
        <v>34</v>
      </c>
      <c r="Q507" t="s">
        <v>33</v>
      </c>
      <c r="R507" t="s">
        <v>47</v>
      </c>
      <c r="S507" t="s">
        <v>27</v>
      </c>
      <c r="T507" t="s">
        <v>31</v>
      </c>
      <c r="U507">
        <f t="shared" si="7"/>
        <v>1</v>
      </c>
    </row>
    <row r="508" spans="1:21" x14ac:dyDescent="0.2">
      <c r="A508">
        <v>647</v>
      </c>
      <c r="B508" t="s">
        <v>42</v>
      </c>
      <c r="C508" t="s">
        <v>32</v>
      </c>
      <c r="D508">
        <v>29</v>
      </c>
      <c r="E508">
        <v>0</v>
      </c>
      <c r="F508">
        <v>98263.46</v>
      </c>
      <c r="G508">
        <v>2</v>
      </c>
      <c r="H508" t="s">
        <v>22</v>
      </c>
      <c r="I508" t="s">
        <v>23</v>
      </c>
      <c r="J508">
        <v>164717.95000000001</v>
      </c>
      <c r="K508" t="s">
        <v>23</v>
      </c>
      <c r="L508">
        <v>0.16791037189121949</v>
      </c>
      <c r="M508" t="s">
        <v>23</v>
      </c>
      <c r="N508">
        <v>0</v>
      </c>
      <c r="O508">
        <v>0</v>
      </c>
      <c r="P508" t="s">
        <v>34</v>
      </c>
      <c r="Q508" t="s">
        <v>36</v>
      </c>
      <c r="R508" t="s">
        <v>38</v>
      </c>
      <c r="S508" t="s">
        <v>27</v>
      </c>
      <c r="T508" t="s">
        <v>31</v>
      </c>
      <c r="U508">
        <f t="shared" si="7"/>
        <v>1</v>
      </c>
    </row>
    <row r="509" spans="1:21" x14ac:dyDescent="0.2">
      <c r="A509">
        <v>538</v>
      </c>
      <c r="B509" t="s">
        <v>41</v>
      </c>
      <c r="C509" t="s">
        <v>32</v>
      </c>
      <c r="D509">
        <v>28</v>
      </c>
      <c r="E509">
        <v>6</v>
      </c>
      <c r="F509">
        <v>164365.44</v>
      </c>
      <c r="G509">
        <v>1</v>
      </c>
      <c r="H509" t="s">
        <v>23</v>
      </c>
      <c r="I509" t="s">
        <v>22</v>
      </c>
      <c r="J509">
        <v>5698.97</v>
      </c>
      <c r="K509" t="s">
        <v>23</v>
      </c>
      <c r="L509">
        <v>0.14172465893623959</v>
      </c>
      <c r="M509" t="s">
        <v>23</v>
      </c>
      <c r="N509">
        <v>0</v>
      </c>
      <c r="O509">
        <v>0</v>
      </c>
      <c r="P509" t="s">
        <v>34</v>
      </c>
      <c r="Q509" t="s">
        <v>36</v>
      </c>
      <c r="R509" t="s">
        <v>47</v>
      </c>
      <c r="S509" t="s">
        <v>30</v>
      </c>
      <c r="T509" t="s">
        <v>35</v>
      </c>
      <c r="U509">
        <f t="shared" si="7"/>
        <v>1</v>
      </c>
    </row>
    <row r="510" spans="1:21" x14ac:dyDescent="0.2">
      <c r="A510">
        <v>670</v>
      </c>
      <c r="B510" t="s">
        <v>41</v>
      </c>
      <c r="C510" t="s">
        <v>21</v>
      </c>
      <c r="D510">
        <v>40</v>
      </c>
      <c r="E510">
        <v>2</v>
      </c>
      <c r="F510">
        <v>164948.98000000001</v>
      </c>
      <c r="G510">
        <v>3</v>
      </c>
      <c r="H510" t="s">
        <v>23</v>
      </c>
      <c r="I510" t="s">
        <v>23</v>
      </c>
      <c r="J510">
        <v>177028</v>
      </c>
      <c r="K510" t="s">
        <v>22</v>
      </c>
      <c r="L510">
        <v>0.37922967999681279</v>
      </c>
      <c r="M510" t="s">
        <v>23</v>
      </c>
      <c r="N510">
        <v>1</v>
      </c>
      <c r="O510">
        <v>0</v>
      </c>
      <c r="P510" t="s">
        <v>24</v>
      </c>
      <c r="Q510" t="s">
        <v>33</v>
      </c>
      <c r="R510" t="s">
        <v>47</v>
      </c>
      <c r="S510" t="s">
        <v>27</v>
      </c>
      <c r="T510" t="s">
        <v>31</v>
      </c>
      <c r="U510">
        <f t="shared" si="7"/>
        <v>0</v>
      </c>
    </row>
    <row r="511" spans="1:21" x14ac:dyDescent="0.2">
      <c r="A511">
        <v>612</v>
      </c>
      <c r="B511" t="s">
        <v>41</v>
      </c>
      <c r="C511" t="s">
        <v>21</v>
      </c>
      <c r="D511">
        <v>30</v>
      </c>
      <c r="E511">
        <v>9</v>
      </c>
      <c r="F511">
        <v>142910.15</v>
      </c>
      <c r="G511">
        <v>1</v>
      </c>
      <c r="H511" t="s">
        <v>22</v>
      </c>
      <c r="I511" t="s">
        <v>23</v>
      </c>
      <c r="J511">
        <v>105890.55</v>
      </c>
      <c r="K511" t="s">
        <v>22</v>
      </c>
      <c r="L511">
        <v>0.2221776071100191</v>
      </c>
      <c r="M511" t="s">
        <v>23</v>
      </c>
      <c r="N511">
        <v>1</v>
      </c>
      <c r="O511">
        <v>0</v>
      </c>
      <c r="P511" t="s">
        <v>24</v>
      </c>
      <c r="Q511" t="s">
        <v>36</v>
      </c>
      <c r="R511" t="s">
        <v>26</v>
      </c>
      <c r="S511" t="s">
        <v>27</v>
      </c>
      <c r="T511" t="s">
        <v>28</v>
      </c>
      <c r="U511">
        <f t="shared" si="7"/>
        <v>0</v>
      </c>
    </row>
    <row r="512" spans="1:21" x14ac:dyDescent="0.2">
      <c r="A512">
        <v>584</v>
      </c>
      <c r="B512" t="s">
        <v>42</v>
      </c>
      <c r="C512" t="s">
        <v>21</v>
      </c>
      <c r="D512">
        <v>35</v>
      </c>
      <c r="E512">
        <v>3</v>
      </c>
      <c r="F512">
        <v>146311.57999999999</v>
      </c>
      <c r="G512">
        <v>1</v>
      </c>
      <c r="H512" t="s">
        <v>22</v>
      </c>
      <c r="I512" t="s">
        <v>22</v>
      </c>
      <c r="J512">
        <v>105443.47</v>
      </c>
      <c r="K512" t="s">
        <v>23</v>
      </c>
      <c r="L512">
        <v>6.8200975239362527E-2</v>
      </c>
      <c r="M512" t="s">
        <v>23</v>
      </c>
      <c r="N512">
        <v>0</v>
      </c>
      <c r="O512">
        <v>0</v>
      </c>
      <c r="P512" t="s">
        <v>34</v>
      </c>
      <c r="Q512" t="s">
        <v>33</v>
      </c>
      <c r="R512" t="s">
        <v>26</v>
      </c>
      <c r="S512" t="s">
        <v>30</v>
      </c>
      <c r="T512" t="s">
        <v>28</v>
      </c>
      <c r="U512">
        <f t="shared" si="7"/>
        <v>1</v>
      </c>
    </row>
    <row r="513" spans="1:21" x14ac:dyDescent="0.2">
      <c r="A513">
        <v>598</v>
      </c>
      <c r="B513" t="s">
        <v>42</v>
      </c>
      <c r="C513" t="s">
        <v>32</v>
      </c>
      <c r="D513">
        <v>64</v>
      </c>
      <c r="E513">
        <v>9</v>
      </c>
      <c r="F513">
        <v>0</v>
      </c>
      <c r="G513">
        <v>1</v>
      </c>
      <c r="H513" t="s">
        <v>23</v>
      </c>
      <c r="I513" t="s">
        <v>22</v>
      </c>
      <c r="J513">
        <v>13181.37</v>
      </c>
      <c r="K513" t="s">
        <v>22</v>
      </c>
      <c r="L513">
        <v>0.38973727978132022</v>
      </c>
      <c r="M513" t="s">
        <v>23</v>
      </c>
      <c r="N513">
        <v>1</v>
      </c>
      <c r="O513">
        <v>0</v>
      </c>
      <c r="P513" t="s">
        <v>24</v>
      </c>
      <c r="Q513" t="s">
        <v>46</v>
      </c>
      <c r="R513" t="s">
        <v>29</v>
      </c>
      <c r="S513" t="s">
        <v>30</v>
      </c>
      <c r="T513" t="s">
        <v>35</v>
      </c>
      <c r="U513">
        <f t="shared" si="7"/>
        <v>0</v>
      </c>
    </row>
    <row r="514" spans="1:21" x14ac:dyDescent="0.2">
      <c r="A514">
        <v>745</v>
      </c>
      <c r="B514" t="s">
        <v>41</v>
      </c>
      <c r="C514" t="s">
        <v>21</v>
      </c>
      <c r="D514">
        <v>38</v>
      </c>
      <c r="E514">
        <v>5</v>
      </c>
      <c r="F514">
        <v>65095.41</v>
      </c>
      <c r="G514">
        <v>2</v>
      </c>
      <c r="H514" t="s">
        <v>22</v>
      </c>
      <c r="I514" t="s">
        <v>22</v>
      </c>
      <c r="J514">
        <v>140197.42000000001</v>
      </c>
      <c r="K514" t="s">
        <v>23</v>
      </c>
      <c r="L514">
        <v>0.11405564913049911</v>
      </c>
      <c r="M514" t="s">
        <v>23</v>
      </c>
      <c r="N514">
        <v>0</v>
      </c>
      <c r="O514">
        <v>0</v>
      </c>
      <c r="P514" t="s">
        <v>34</v>
      </c>
      <c r="Q514" t="s">
        <v>33</v>
      </c>
      <c r="R514" t="s">
        <v>38</v>
      </c>
      <c r="S514" t="s">
        <v>37</v>
      </c>
      <c r="T514" t="s">
        <v>28</v>
      </c>
      <c r="U514">
        <f t="shared" ref="U514:U577" si="8">IF(K514=M514,1,0)</f>
        <v>1</v>
      </c>
    </row>
    <row r="515" spans="1:21" x14ac:dyDescent="0.2">
      <c r="A515">
        <v>819</v>
      </c>
      <c r="B515" t="s">
        <v>42</v>
      </c>
      <c r="C515" t="s">
        <v>32</v>
      </c>
      <c r="D515">
        <v>38</v>
      </c>
      <c r="E515">
        <v>10</v>
      </c>
      <c r="F515">
        <v>0</v>
      </c>
      <c r="G515">
        <v>2</v>
      </c>
      <c r="H515" t="s">
        <v>22</v>
      </c>
      <c r="I515" t="s">
        <v>23</v>
      </c>
      <c r="J515">
        <v>30498.7</v>
      </c>
      <c r="K515" t="s">
        <v>23</v>
      </c>
      <c r="L515">
        <v>0.17061151251017309</v>
      </c>
      <c r="M515" t="s">
        <v>23</v>
      </c>
      <c r="N515">
        <v>0</v>
      </c>
      <c r="O515">
        <v>0</v>
      </c>
      <c r="P515" t="s">
        <v>34</v>
      </c>
      <c r="Q515" t="s">
        <v>33</v>
      </c>
      <c r="R515" t="s">
        <v>29</v>
      </c>
      <c r="S515" t="s">
        <v>39</v>
      </c>
      <c r="T515" t="s">
        <v>35</v>
      </c>
      <c r="U515">
        <f t="shared" si="8"/>
        <v>1</v>
      </c>
    </row>
    <row r="516" spans="1:21" x14ac:dyDescent="0.2">
      <c r="A516">
        <v>850</v>
      </c>
      <c r="B516" t="s">
        <v>20</v>
      </c>
      <c r="C516" t="s">
        <v>32</v>
      </c>
      <c r="D516">
        <v>23</v>
      </c>
      <c r="E516">
        <v>9</v>
      </c>
      <c r="F516">
        <v>143054.85</v>
      </c>
      <c r="G516">
        <v>1</v>
      </c>
      <c r="H516" t="s">
        <v>23</v>
      </c>
      <c r="I516" t="s">
        <v>22</v>
      </c>
      <c r="J516">
        <v>62980.959999999999</v>
      </c>
      <c r="K516" t="s">
        <v>23</v>
      </c>
      <c r="L516">
        <v>3.8436692244239387E-2</v>
      </c>
      <c r="M516" t="s">
        <v>23</v>
      </c>
      <c r="N516">
        <v>0</v>
      </c>
      <c r="O516">
        <v>0</v>
      </c>
      <c r="P516" t="s">
        <v>34</v>
      </c>
      <c r="Q516" t="s">
        <v>36</v>
      </c>
      <c r="R516" t="s">
        <v>26</v>
      </c>
      <c r="S516" t="s">
        <v>39</v>
      </c>
      <c r="T516" t="s">
        <v>40</v>
      </c>
      <c r="U516">
        <f t="shared" si="8"/>
        <v>1</v>
      </c>
    </row>
    <row r="517" spans="1:21" x14ac:dyDescent="0.2">
      <c r="A517">
        <v>574</v>
      </c>
      <c r="B517" t="s">
        <v>20</v>
      </c>
      <c r="C517" t="s">
        <v>32</v>
      </c>
      <c r="D517">
        <v>28</v>
      </c>
      <c r="E517">
        <v>7</v>
      </c>
      <c r="F517">
        <v>0</v>
      </c>
      <c r="G517">
        <v>2</v>
      </c>
      <c r="H517" t="s">
        <v>23</v>
      </c>
      <c r="I517" t="s">
        <v>23</v>
      </c>
      <c r="J517">
        <v>185660.3</v>
      </c>
      <c r="K517" t="s">
        <v>23</v>
      </c>
      <c r="L517">
        <v>0.12622011284007509</v>
      </c>
      <c r="M517" t="s">
        <v>23</v>
      </c>
      <c r="N517">
        <v>0</v>
      </c>
      <c r="O517">
        <v>0</v>
      </c>
      <c r="P517" t="s">
        <v>34</v>
      </c>
      <c r="Q517" t="s">
        <v>36</v>
      </c>
      <c r="R517" t="s">
        <v>29</v>
      </c>
      <c r="S517" t="s">
        <v>30</v>
      </c>
      <c r="T517" t="s">
        <v>31</v>
      </c>
      <c r="U517">
        <f t="shared" si="8"/>
        <v>1</v>
      </c>
    </row>
    <row r="518" spans="1:21" x14ac:dyDescent="0.2">
      <c r="A518">
        <v>597</v>
      </c>
      <c r="B518" t="s">
        <v>41</v>
      </c>
      <c r="C518" t="s">
        <v>32</v>
      </c>
      <c r="D518">
        <v>39</v>
      </c>
      <c r="E518">
        <v>8</v>
      </c>
      <c r="F518">
        <v>162532.14000000001</v>
      </c>
      <c r="G518">
        <v>3</v>
      </c>
      <c r="H518" t="s">
        <v>22</v>
      </c>
      <c r="I518" t="s">
        <v>23</v>
      </c>
      <c r="J518">
        <v>36051.46</v>
      </c>
      <c r="K518" t="s">
        <v>22</v>
      </c>
      <c r="L518">
        <v>0.44895930412093649</v>
      </c>
      <c r="M518" t="s">
        <v>23</v>
      </c>
      <c r="N518">
        <v>1</v>
      </c>
      <c r="O518">
        <v>0</v>
      </c>
      <c r="P518" t="s">
        <v>24</v>
      </c>
      <c r="Q518" t="s">
        <v>33</v>
      </c>
      <c r="R518" t="s">
        <v>47</v>
      </c>
      <c r="S518" t="s">
        <v>30</v>
      </c>
      <c r="T518" t="s">
        <v>35</v>
      </c>
      <c r="U518">
        <f t="shared" si="8"/>
        <v>0</v>
      </c>
    </row>
    <row r="519" spans="1:21" x14ac:dyDescent="0.2">
      <c r="A519">
        <v>564</v>
      </c>
      <c r="B519" t="s">
        <v>42</v>
      </c>
      <c r="C519" t="s">
        <v>21</v>
      </c>
      <c r="D519">
        <v>31</v>
      </c>
      <c r="E519">
        <v>4</v>
      </c>
      <c r="F519">
        <v>0</v>
      </c>
      <c r="G519">
        <v>2</v>
      </c>
      <c r="H519" t="s">
        <v>22</v>
      </c>
      <c r="I519" t="s">
        <v>23</v>
      </c>
      <c r="J519">
        <v>53520.03</v>
      </c>
      <c r="K519" t="s">
        <v>23</v>
      </c>
      <c r="L519">
        <v>8.7978184919750888E-2</v>
      </c>
      <c r="M519" t="s">
        <v>23</v>
      </c>
      <c r="N519">
        <v>0</v>
      </c>
      <c r="O519">
        <v>0</v>
      </c>
      <c r="P519" t="s">
        <v>34</v>
      </c>
      <c r="Q519" t="s">
        <v>33</v>
      </c>
      <c r="R519" t="s">
        <v>29</v>
      </c>
      <c r="S519" t="s">
        <v>30</v>
      </c>
      <c r="T519" t="s">
        <v>40</v>
      </c>
      <c r="U519">
        <f t="shared" si="8"/>
        <v>1</v>
      </c>
    </row>
    <row r="520" spans="1:21" x14ac:dyDescent="0.2">
      <c r="A520">
        <v>459</v>
      </c>
      <c r="B520" t="s">
        <v>41</v>
      </c>
      <c r="C520" t="s">
        <v>21</v>
      </c>
      <c r="D520">
        <v>46</v>
      </c>
      <c r="E520">
        <v>7</v>
      </c>
      <c r="F520">
        <v>110356.42</v>
      </c>
      <c r="G520">
        <v>1</v>
      </c>
      <c r="H520" t="s">
        <v>22</v>
      </c>
      <c r="I520" t="s">
        <v>23</v>
      </c>
      <c r="J520">
        <v>4969.13</v>
      </c>
      <c r="K520" t="s">
        <v>22</v>
      </c>
      <c r="L520">
        <v>0.48388933613087809</v>
      </c>
      <c r="M520" t="s">
        <v>23</v>
      </c>
      <c r="N520">
        <v>1</v>
      </c>
      <c r="O520">
        <v>0</v>
      </c>
      <c r="P520" t="s">
        <v>24</v>
      </c>
      <c r="Q520" t="s">
        <v>25</v>
      </c>
      <c r="R520" t="s">
        <v>26</v>
      </c>
      <c r="S520" t="s">
        <v>45</v>
      </c>
      <c r="T520" t="s">
        <v>35</v>
      </c>
      <c r="U520">
        <f t="shared" si="8"/>
        <v>0</v>
      </c>
    </row>
    <row r="521" spans="1:21" x14ac:dyDescent="0.2">
      <c r="A521">
        <v>565</v>
      </c>
      <c r="B521" t="s">
        <v>41</v>
      </c>
      <c r="C521" t="s">
        <v>32</v>
      </c>
      <c r="D521">
        <v>32</v>
      </c>
      <c r="E521">
        <v>9</v>
      </c>
      <c r="F521">
        <v>68067.240000000005</v>
      </c>
      <c r="G521">
        <v>1</v>
      </c>
      <c r="H521" t="s">
        <v>22</v>
      </c>
      <c r="I521" t="s">
        <v>23</v>
      </c>
      <c r="J521">
        <v>143287.57999999999</v>
      </c>
      <c r="K521" t="s">
        <v>23</v>
      </c>
      <c r="L521">
        <v>0.33223874752313609</v>
      </c>
      <c r="M521" t="s">
        <v>23</v>
      </c>
      <c r="N521">
        <v>0</v>
      </c>
      <c r="O521">
        <v>0</v>
      </c>
      <c r="P521" t="s">
        <v>24</v>
      </c>
      <c r="Q521" t="s">
        <v>33</v>
      </c>
      <c r="R521" t="s">
        <v>38</v>
      </c>
      <c r="S521" t="s">
        <v>30</v>
      </c>
      <c r="T521" t="s">
        <v>28</v>
      </c>
      <c r="U521">
        <f t="shared" si="8"/>
        <v>1</v>
      </c>
    </row>
    <row r="522" spans="1:21" x14ac:dyDescent="0.2">
      <c r="A522">
        <v>569</v>
      </c>
      <c r="B522" t="s">
        <v>41</v>
      </c>
      <c r="C522" t="s">
        <v>32</v>
      </c>
      <c r="D522">
        <v>42</v>
      </c>
      <c r="E522">
        <v>9</v>
      </c>
      <c r="F522">
        <v>146100.75</v>
      </c>
      <c r="G522">
        <v>1</v>
      </c>
      <c r="H522" t="s">
        <v>22</v>
      </c>
      <c r="I522" t="s">
        <v>23</v>
      </c>
      <c r="J522">
        <v>32574.01</v>
      </c>
      <c r="K522" t="s">
        <v>22</v>
      </c>
      <c r="L522">
        <v>0.54472765204294638</v>
      </c>
      <c r="M522" t="s">
        <v>22</v>
      </c>
      <c r="N522">
        <v>1</v>
      </c>
      <c r="O522">
        <v>1</v>
      </c>
      <c r="P522" t="s">
        <v>43</v>
      </c>
      <c r="Q522" t="s">
        <v>25</v>
      </c>
      <c r="R522" t="s">
        <v>26</v>
      </c>
      <c r="S522" t="s">
        <v>30</v>
      </c>
      <c r="T522" t="s">
        <v>35</v>
      </c>
      <c r="U522">
        <f t="shared" si="8"/>
        <v>1</v>
      </c>
    </row>
    <row r="523" spans="1:21" x14ac:dyDescent="0.2">
      <c r="A523">
        <v>754</v>
      </c>
      <c r="B523" t="s">
        <v>41</v>
      </c>
      <c r="C523" t="s">
        <v>21</v>
      </c>
      <c r="D523">
        <v>57</v>
      </c>
      <c r="E523">
        <v>2</v>
      </c>
      <c r="F523">
        <v>101134.87</v>
      </c>
      <c r="G523">
        <v>2</v>
      </c>
      <c r="H523" t="s">
        <v>22</v>
      </c>
      <c r="I523" t="s">
        <v>22</v>
      </c>
      <c r="J523">
        <v>70954.41</v>
      </c>
      <c r="K523" t="s">
        <v>23</v>
      </c>
      <c r="L523">
        <v>0.36904897945302911</v>
      </c>
      <c r="M523" t="s">
        <v>23</v>
      </c>
      <c r="N523">
        <v>0</v>
      </c>
      <c r="O523">
        <v>0</v>
      </c>
      <c r="P523" t="s">
        <v>24</v>
      </c>
      <c r="Q523" t="s">
        <v>44</v>
      </c>
      <c r="R523" t="s">
        <v>26</v>
      </c>
      <c r="S523" t="s">
        <v>37</v>
      </c>
      <c r="T523" t="s">
        <v>40</v>
      </c>
      <c r="U523">
        <f t="shared" si="8"/>
        <v>1</v>
      </c>
    </row>
    <row r="524" spans="1:21" x14ac:dyDescent="0.2">
      <c r="A524">
        <v>667</v>
      </c>
      <c r="B524" t="s">
        <v>42</v>
      </c>
      <c r="C524" t="s">
        <v>21</v>
      </c>
      <c r="D524">
        <v>23</v>
      </c>
      <c r="E524">
        <v>1</v>
      </c>
      <c r="F524">
        <v>0</v>
      </c>
      <c r="G524">
        <v>2</v>
      </c>
      <c r="H524" t="s">
        <v>22</v>
      </c>
      <c r="I524" t="s">
        <v>23</v>
      </c>
      <c r="J524">
        <v>91573.19</v>
      </c>
      <c r="K524" t="s">
        <v>23</v>
      </c>
      <c r="L524">
        <v>5.1116597907555399E-2</v>
      </c>
      <c r="M524" t="s">
        <v>23</v>
      </c>
      <c r="N524">
        <v>0</v>
      </c>
      <c r="O524">
        <v>0</v>
      </c>
      <c r="P524" t="s">
        <v>34</v>
      </c>
      <c r="Q524" t="s">
        <v>36</v>
      </c>
      <c r="R524" t="s">
        <v>29</v>
      </c>
      <c r="S524" t="s">
        <v>27</v>
      </c>
      <c r="T524" t="s">
        <v>40</v>
      </c>
      <c r="U524">
        <f t="shared" si="8"/>
        <v>1</v>
      </c>
    </row>
    <row r="525" spans="1:21" x14ac:dyDescent="0.2">
      <c r="A525">
        <v>670</v>
      </c>
      <c r="B525" t="s">
        <v>42</v>
      </c>
      <c r="C525" t="s">
        <v>32</v>
      </c>
      <c r="D525">
        <v>33</v>
      </c>
      <c r="E525">
        <v>7</v>
      </c>
      <c r="F525">
        <v>0</v>
      </c>
      <c r="G525">
        <v>2</v>
      </c>
      <c r="H525" t="s">
        <v>22</v>
      </c>
      <c r="I525" t="s">
        <v>22</v>
      </c>
      <c r="J525">
        <v>88187.81</v>
      </c>
      <c r="K525" t="s">
        <v>23</v>
      </c>
      <c r="L525">
        <v>5.4871001463480791E-2</v>
      </c>
      <c r="M525" t="s">
        <v>23</v>
      </c>
      <c r="N525">
        <v>0</v>
      </c>
      <c r="O525">
        <v>0</v>
      </c>
      <c r="P525" t="s">
        <v>34</v>
      </c>
      <c r="Q525" t="s">
        <v>33</v>
      </c>
      <c r="R525" t="s">
        <v>29</v>
      </c>
      <c r="S525" t="s">
        <v>27</v>
      </c>
      <c r="T525" t="s">
        <v>40</v>
      </c>
      <c r="U525">
        <f t="shared" si="8"/>
        <v>1</v>
      </c>
    </row>
    <row r="526" spans="1:21" x14ac:dyDescent="0.2">
      <c r="A526">
        <v>641</v>
      </c>
      <c r="B526" t="s">
        <v>41</v>
      </c>
      <c r="C526" t="s">
        <v>32</v>
      </c>
      <c r="D526">
        <v>37</v>
      </c>
      <c r="E526">
        <v>7</v>
      </c>
      <c r="F526">
        <v>62974.64</v>
      </c>
      <c r="G526">
        <v>2</v>
      </c>
      <c r="H526" t="s">
        <v>23</v>
      </c>
      <c r="I526" t="s">
        <v>22</v>
      </c>
      <c r="J526">
        <v>39016.43</v>
      </c>
      <c r="K526" t="s">
        <v>23</v>
      </c>
      <c r="L526">
        <v>0.1716536942615316</v>
      </c>
      <c r="M526" t="s">
        <v>23</v>
      </c>
      <c r="N526">
        <v>0</v>
      </c>
      <c r="O526">
        <v>0</v>
      </c>
      <c r="P526" t="s">
        <v>34</v>
      </c>
      <c r="Q526" t="s">
        <v>33</v>
      </c>
      <c r="R526" t="s">
        <v>38</v>
      </c>
      <c r="S526" t="s">
        <v>27</v>
      </c>
      <c r="T526" t="s">
        <v>35</v>
      </c>
      <c r="U526">
        <f t="shared" si="8"/>
        <v>1</v>
      </c>
    </row>
    <row r="527" spans="1:21" x14ac:dyDescent="0.2">
      <c r="A527">
        <v>650</v>
      </c>
      <c r="B527" t="s">
        <v>20</v>
      </c>
      <c r="C527" t="s">
        <v>21</v>
      </c>
      <c r="D527">
        <v>41</v>
      </c>
      <c r="E527">
        <v>3</v>
      </c>
      <c r="F527">
        <v>128808.65</v>
      </c>
      <c r="G527">
        <v>3</v>
      </c>
      <c r="H527" t="s">
        <v>23</v>
      </c>
      <c r="I527" t="s">
        <v>23</v>
      </c>
      <c r="J527">
        <v>113677.53</v>
      </c>
      <c r="K527" t="s">
        <v>22</v>
      </c>
      <c r="L527">
        <v>0.2135147645329461</v>
      </c>
      <c r="M527" t="s">
        <v>23</v>
      </c>
      <c r="N527">
        <v>1</v>
      </c>
      <c r="O527">
        <v>0</v>
      </c>
      <c r="P527" t="s">
        <v>24</v>
      </c>
      <c r="Q527" t="s">
        <v>25</v>
      </c>
      <c r="R527" t="s">
        <v>26</v>
      </c>
      <c r="S527" t="s">
        <v>27</v>
      </c>
      <c r="T527" t="s">
        <v>28</v>
      </c>
      <c r="U527">
        <f t="shared" si="8"/>
        <v>0</v>
      </c>
    </row>
    <row r="528" spans="1:21" x14ac:dyDescent="0.2">
      <c r="A528">
        <v>625</v>
      </c>
      <c r="B528" t="s">
        <v>42</v>
      </c>
      <c r="C528" t="s">
        <v>21</v>
      </c>
      <c r="D528">
        <v>45</v>
      </c>
      <c r="E528">
        <v>7</v>
      </c>
      <c r="F528">
        <v>137555.44</v>
      </c>
      <c r="G528">
        <v>1</v>
      </c>
      <c r="H528" t="s">
        <v>23</v>
      </c>
      <c r="I528" t="s">
        <v>23</v>
      </c>
      <c r="J528">
        <v>124607.7</v>
      </c>
      <c r="K528" t="s">
        <v>23</v>
      </c>
      <c r="L528">
        <v>0.29480607834744321</v>
      </c>
      <c r="M528" t="s">
        <v>23</v>
      </c>
      <c r="N528">
        <v>0</v>
      </c>
      <c r="O528">
        <v>0</v>
      </c>
      <c r="P528" t="s">
        <v>24</v>
      </c>
      <c r="Q528" t="s">
        <v>25</v>
      </c>
      <c r="R528" t="s">
        <v>26</v>
      </c>
      <c r="S528" t="s">
        <v>27</v>
      </c>
      <c r="T528" t="s">
        <v>28</v>
      </c>
      <c r="U528">
        <f t="shared" si="8"/>
        <v>1</v>
      </c>
    </row>
    <row r="529" spans="1:21" x14ac:dyDescent="0.2">
      <c r="A529">
        <v>700</v>
      </c>
      <c r="B529" t="s">
        <v>20</v>
      </c>
      <c r="C529" t="s">
        <v>21</v>
      </c>
      <c r="D529">
        <v>31</v>
      </c>
      <c r="E529">
        <v>7</v>
      </c>
      <c r="F529">
        <v>0</v>
      </c>
      <c r="G529">
        <v>2</v>
      </c>
      <c r="H529" t="s">
        <v>23</v>
      </c>
      <c r="I529" t="s">
        <v>22</v>
      </c>
      <c r="J529">
        <v>145151.96</v>
      </c>
      <c r="K529" t="s">
        <v>23</v>
      </c>
      <c r="L529">
        <v>3.0470323367236731E-2</v>
      </c>
      <c r="M529" t="s">
        <v>23</v>
      </c>
      <c r="N529">
        <v>0</v>
      </c>
      <c r="O529">
        <v>0</v>
      </c>
      <c r="P529" t="s">
        <v>34</v>
      </c>
      <c r="Q529" t="s">
        <v>33</v>
      </c>
      <c r="R529" t="s">
        <v>29</v>
      </c>
      <c r="S529" t="s">
        <v>27</v>
      </c>
      <c r="T529" t="s">
        <v>28</v>
      </c>
      <c r="U529">
        <f t="shared" si="8"/>
        <v>1</v>
      </c>
    </row>
    <row r="530" spans="1:21" x14ac:dyDescent="0.2">
      <c r="A530">
        <v>719</v>
      </c>
      <c r="B530" t="s">
        <v>41</v>
      </c>
      <c r="C530" t="s">
        <v>21</v>
      </c>
      <c r="D530">
        <v>28</v>
      </c>
      <c r="E530">
        <v>3</v>
      </c>
      <c r="F530">
        <v>106070.29</v>
      </c>
      <c r="G530">
        <v>2</v>
      </c>
      <c r="H530" t="s">
        <v>22</v>
      </c>
      <c r="I530" t="s">
        <v>22</v>
      </c>
      <c r="J530">
        <v>183893.31</v>
      </c>
      <c r="K530" t="s">
        <v>23</v>
      </c>
      <c r="L530">
        <v>6.9030502874977986E-2</v>
      </c>
      <c r="M530" t="s">
        <v>23</v>
      </c>
      <c r="N530">
        <v>0</v>
      </c>
      <c r="O530">
        <v>0</v>
      </c>
      <c r="P530" t="s">
        <v>34</v>
      </c>
      <c r="Q530" t="s">
        <v>36</v>
      </c>
      <c r="R530" t="s">
        <v>26</v>
      </c>
      <c r="S530" t="s">
        <v>37</v>
      </c>
      <c r="T530" t="s">
        <v>31</v>
      </c>
      <c r="U530">
        <f t="shared" si="8"/>
        <v>1</v>
      </c>
    </row>
    <row r="531" spans="1:21" x14ac:dyDescent="0.2">
      <c r="A531">
        <v>676</v>
      </c>
      <c r="B531" t="s">
        <v>42</v>
      </c>
      <c r="C531" t="s">
        <v>32</v>
      </c>
      <c r="D531">
        <v>32</v>
      </c>
      <c r="E531">
        <v>5</v>
      </c>
      <c r="F531">
        <v>0</v>
      </c>
      <c r="G531">
        <v>2</v>
      </c>
      <c r="H531" t="s">
        <v>22</v>
      </c>
      <c r="I531" t="s">
        <v>22</v>
      </c>
      <c r="J531">
        <v>75465.41</v>
      </c>
      <c r="K531" t="s">
        <v>23</v>
      </c>
      <c r="L531">
        <v>5.2549163037581961E-2</v>
      </c>
      <c r="M531" t="s">
        <v>23</v>
      </c>
      <c r="N531">
        <v>0</v>
      </c>
      <c r="O531">
        <v>0</v>
      </c>
      <c r="P531" t="s">
        <v>34</v>
      </c>
      <c r="Q531" t="s">
        <v>33</v>
      </c>
      <c r="R531" t="s">
        <v>29</v>
      </c>
      <c r="S531" t="s">
        <v>27</v>
      </c>
      <c r="T531" t="s">
        <v>40</v>
      </c>
      <c r="U531">
        <f t="shared" si="8"/>
        <v>1</v>
      </c>
    </row>
    <row r="532" spans="1:21" x14ac:dyDescent="0.2">
      <c r="A532">
        <v>714</v>
      </c>
      <c r="B532" t="s">
        <v>41</v>
      </c>
      <c r="C532" t="s">
        <v>21</v>
      </c>
      <c r="D532">
        <v>28</v>
      </c>
      <c r="E532">
        <v>7</v>
      </c>
      <c r="F532">
        <v>77776.39</v>
      </c>
      <c r="G532">
        <v>1</v>
      </c>
      <c r="H532" t="s">
        <v>22</v>
      </c>
      <c r="I532" t="s">
        <v>23</v>
      </c>
      <c r="J532">
        <v>177737.07</v>
      </c>
      <c r="K532" t="s">
        <v>23</v>
      </c>
      <c r="L532">
        <v>0.1735511236168813</v>
      </c>
      <c r="M532" t="s">
        <v>23</v>
      </c>
      <c r="N532">
        <v>0</v>
      </c>
      <c r="O532">
        <v>0</v>
      </c>
      <c r="P532" t="s">
        <v>34</v>
      </c>
      <c r="Q532" t="s">
        <v>36</v>
      </c>
      <c r="R532" t="s">
        <v>38</v>
      </c>
      <c r="S532" t="s">
        <v>37</v>
      </c>
      <c r="T532" t="s">
        <v>31</v>
      </c>
      <c r="U532">
        <f t="shared" si="8"/>
        <v>1</v>
      </c>
    </row>
    <row r="533" spans="1:21" x14ac:dyDescent="0.2">
      <c r="A533">
        <v>778</v>
      </c>
      <c r="B533" t="s">
        <v>20</v>
      </c>
      <c r="C533" t="s">
        <v>21</v>
      </c>
      <c r="D533">
        <v>40</v>
      </c>
      <c r="E533">
        <v>8</v>
      </c>
      <c r="F533">
        <v>104291.41</v>
      </c>
      <c r="G533">
        <v>2</v>
      </c>
      <c r="H533" t="s">
        <v>22</v>
      </c>
      <c r="I533" t="s">
        <v>22</v>
      </c>
      <c r="J533">
        <v>117507.11</v>
      </c>
      <c r="K533" t="s">
        <v>23</v>
      </c>
      <c r="L533">
        <v>6.6280028696633422E-2</v>
      </c>
      <c r="M533" t="s">
        <v>23</v>
      </c>
      <c r="N533">
        <v>0</v>
      </c>
      <c r="O533">
        <v>0</v>
      </c>
      <c r="P533" t="s">
        <v>34</v>
      </c>
      <c r="Q533" t="s">
        <v>33</v>
      </c>
      <c r="R533" t="s">
        <v>26</v>
      </c>
      <c r="S533" t="s">
        <v>37</v>
      </c>
      <c r="T533" t="s">
        <v>28</v>
      </c>
      <c r="U533">
        <f t="shared" si="8"/>
        <v>1</v>
      </c>
    </row>
    <row r="534" spans="1:21" x14ac:dyDescent="0.2">
      <c r="A534">
        <v>732</v>
      </c>
      <c r="B534" t="s">
        <v>41</v>
      </c>
      <c r="C534" t="s">
        <v>32</v>
      </c>
      <c r="D534">
        <v>61</v>
      </c>
      <c r="E534">
        <v>9</v>
      </c>
      <c r="F534">
        <v>94867.18</v>
      </c>
      <c r="G534">
        <v>2</v>
      </c>
      <c r="H534" t="s">
        <v>22</v>
      </c>
      <c r="I534" t="s">
        <v>22</v>
      </c>
      <c r="J534">
        <v>157527.6</v>
      </c>
      <c r="K534" t="s">
        <v>22</v>
      </c>
      <c r="L534">
        <v>0.55380451104603823</v>
      </c>
      <c r="M534" t="s">
        <v>22</v>
      </c>
      <c r="N534">
        <v>1</v>
      </c>
      <c r="O534">
        <v>1</v>
      </c>
      <c r="P534" t="s">
        <v>43</v>
      </c>
      <c r="Q534" t="s">
        <v>46</v>
      </c>
      <c r="R534" t="s">
        <v>38</v>
      </c>
      <c r="S534" t="s">
        <v>37</v>
      </c>
      <c r="T534" t="s">
        <v>31</v>
      </c>
      <c r="U534">
        <f t="shared" si="8"/>
        <v>1</v>
      </c>
    </row>
    <row r="535" spans="1:21" x14ac:dyDescent="0.2">
      <c r="A535">
        <v>627</v>
      </c>
      <c r="B535" t="s">
        <v>41</v>
      </c>
      <c r="C535" t="s">
        <v>21</v>
      </c>
      <c r="D535">
        <v>23</v>
      </c>
      <c r="E535">
        <v>5</v>
      </c>
      <c r="F535">
        <v>184244.86</v>
      </c>
      <c r="G535">
        <v>1</v>
      </c>
      <c r="H535" t="s">
        <v>22</v>
      </c>
      <c r="I535" t="s">
        <v>23</v>
      </c>
      <c r="J535">
        <v>103099.22</v>
      </c>
      <c r="K535" t="s">
        <v>23</v>
      </c>
      <c r="L535">
        <v>0.16845205594726151</v>
      </c>
      <c r="M535" t="s">
        <v>23</v>
      </c>
      <c r="N535">
        <v>0</v>
      </c>
      <c r="O535">
        <v>0</v>
      </c>
      <c r="P535" t="s">
        <v>34</v>
      </c>
      <c r="Q535" t="s">
        <v>36</v>
      </c>
      <c r="R535" t="s">
        <v>47</v>
      </c>
      <c r="S535" t="s">
        <v>27</v>
      </c>
      <c r="T535" t="s">
        <v>28</v>
      </c>
      <c r="U535">
        <f t="shared" si="8"/>
        <v>1</v>
      </c>
    </row>
    <row r="536" spans="1:21" x14ac:dyDescent="0.2">
      <c r="A536">
        <v>760</v>
      </c>
      <c r="B536" t="s">
        <v>42</v>
      </c>
      <c r="C536" t="s">
        <v>21</v>
      </c>
      <c r="D536">
        <v>43</v>
      </c>
      <c r="E536">
        <v>8</v>
      </c>
      <c r="F536">
        <v>121911.59</v>
      </c>
      <c r="G536">
        <v>1</v>
      </c>
      <c r="H536" t="s">
        <v>22</v>
      </c>
      <c r="I536" t="s">
        <v>23</v>
      </c>
      <c r="J536">
        <v>193312.33</v>
      </c>
      <c r="K536" t="s">
        <v>23</v>
      </c>
      <c r="L536">
        <v>0.2372684377122857</v>
      </c>
      <c r="M536" t="s">
        <v>23</v>
      </c>
      <c r="N536">
        <v>0</v>
      </c>
      <c r="O536">
        <v>0</v>
      </c>
      <c r="P536" t="s">
        <v>24</v>
      </c>
      <c r="Q536" t="s">
        <v>25</v>
      </c>
      <c r="R536" t="s">
        <v>26</v>
      </c>
      <c r="S536" t="s">
        <v>37</v>
      </c>
      <c r="T536" t="s">
        <v>31</v>
      </c>
      <c r="U536">
        <f t="shared" si="8"/>
        <v>1</v>
      </c>
    </row>
    <row r="537" spans="1:21" x14ac:dyDescent="0.2">
      <c r="A537">
        <v>498</v>
      </c>
      <c r="B537" t="s">
        <v>20</v>
      </c>
      <c r="C537" t="s">
        <v>21</v>
      </c>
      <c r="D537">
        <v>29</v>
      </c>
      <c r="E537">
        <v>8</v>
      </c>
      <c r="F537">
        <v>127864.26</v>
      </c>
      <c r="G537">
        <v>1</v>
      </c>
      <c r="H537" t="s">
        <v>22</v>
      </c>
      <c r="I537" t="s">
        <v>22</v>
      </c>
      <c r="J537">
        <v>46677.9</v>
      </c>
      <c r="K537" t="s">
        <v>23</v>
      </c>
      <c r="L537">
        <v>4.1475932733541318E-2</v>
      </c>
      <c r="M537" t="s">
        <v>23</v>
      </c>
      <c r="N537">
        <v>0</v>
      </c>
      <c r="O537">
        <v>0</v>
      </c>
      <c r="P537" t="s">
        <v>34</v>
      </c>
      <c r="Q537" t="s">
        <v>36</v>
      </c>
      <c r="R537" t="s">
        <v>26</v>
      </c>
      <c r="S537" t="s">
        <v>45</v>
      </c>
      <c r="T537" t="s">
        <v>35</v>
      </c>
      <c r="U537">
        <f t="shared" si="8"/>
        <v>1</v>
      </c>
    </row>
    <row r="538" spans="1:21" x14ac:dyDescent="0.2">
      <c r="A538">
        <v>648</v>
      </c>
      <c r="B538" t="s">
        <v>42</v>
      </c>
      <c r="C538" t="s">
        <v>32</v>
      </c>
      <c r="D538">
        <v>44</v>
      </c>
      <c r="E538">
        <v>2</v>
      </c>
      <c r="F538">
        <v>0</v>
      </c>
      <c r="G538">
        <v>2</v>
      </c>
      <c r="H538" t="s">
        <v>22</v>
      </c>
      <c r="I538" t="s">
        <v>22</v>
      </c>
      <c r="J538">
        <v>58652.23</v>
      </c>
      <c r="K538" t="s">
        <v>23</v>
      </c>
      <c r="L538">
        <v>0.12622394105212209</v>
      </c>
      <c r="M538" t="s">
        <v>23</v>
      </c>
      <c r="N538">
        <v>0</v>
      </c>
      <c r="O538">
        <v>0</v>
      </c>
      <c r="P538" t="s">
        <v>34</v>
      </c>
      <c r="Q538" t="s">
        <v>25</v>
      </c>
      <c r="R538" t="s">
        <v>29</v>
      </c>
      <c r="S538" t="s">
        <v>27</v>
      </c>
      <c r="T538" t="s">
        <v>40</v>
      </c>
      <c r="U538">
        <f t="shared" si="8"/>
        <v>1</v>
      </c>
    </row>
    <row r="539" spans="1:21" x14ac:dyDescent="0.2">
      <c r="A539">
        <v>592</v>
      </c>
      <c r="B539" t="s">
        <v>20</v>
      </c>
      <c r="C539" t="s">
        <v>21</v>
      </c>
      <c r="D539">
        <v>38</v>
      </c>
      <c r="E539">
        <v>0</v>
      </c>
      <c r="F539">
        <v>0</v>
      </c>
      <c r="G539">
        <v>1</v>
      </c>
      <c r="H539" t="s">
        <v>22</v>
      </c>
      <c r="I539" t="s">
        <v>23</v>
      </c>
      <c r="J539">
        <v>65986.48</v>
      </c>
      <c r="K539" t="s">
        <v>22</v>
      </c>
      <c r="L539">
        <v>0.16633222928530461</v>
      </c>
      <c r="M539" t="s">
        <v>23</v>
      </c>
      <c r="N539">
        <v>1</v>
      </c>
      <c r="O539">
        <v>0</v>
      </c>
      <c r="P539" t="s">
        <v>34</v>
      </c>
      <c r="Q539" t="s">
        <v>33</v>
      </c>
      <c r="R539" t="s">
        <v>29</v>
      </c>
      <c r="S539" t="s">
        <v>30</v>
      </c>
      <c r="T539" t="s">
        <v>40</v>
      </c>
      <c r="U539">
        <f t="shared" si="8"/>
        <v>0</v>
      </c>
    </row>
    <row r="540" spans="1:21" x14ac:dyDescent="0.2">
      <c r="A540">
        <v>594</v>
      </c>
      <c r="B540" t="s">
        <v>42</v>
      </c>
      <c r="C540" t="s">
        <v>32</v>
      </c>
      <c r="D540">
        <v>30</v>
      </c>
      <c r="E540">
        <v>10</v>
      </c>
      <c r="F540">
        <v>0</v>
      </c>
      <c r="G540">
        <v>2</v>
      </c>
      <c r="H540" t="s">
        <v>22</v>
      </c>
      <c r="I540" t="s">
        <v>22</v>
      </c>
      <c r="J540">
        <v>124071.71</v>
      </c>
      <c r="K540" t="s">
        <v>23</v>
      </c>
      <c r="L540">
        <v>4.5002694848100849E-2</v>
      </c>
      <c r="M540" t="s">
        <v>23</v>
      </c>
      <c r="N540">
        <v>0</v>
      </c>
      <c r="O540">
        <v>0</v>
      </c>
      <c r="P540" t="s">
        <v>34</v>
      </c>
      <c r="Q540" t="s">
        <v>36</v>
      </c>
      <c r="R540" t="s">
        <v>29</v>
      </c>
      <c r="S540" t="s">
        <v>30</v>
      </c>
      <c r="T540" t="s">
        <v>28</v>
      </c>
      <c r="U540">
        <f t="shared" si="8"/>
        <v>1</v>
      </c>
    </row>
    <row r="541" spans="1:21" x14ac:dyDescent="0.2">
      <c r="A541">
        <v>694</v>
      </c>
      <c r="B541" t="s">
        <v>41</v>
      </c>
      <c r="C541" t="s">
        <v>21</v>
      </c>
      <c r="D541">
        <v>37</v>
      </c>
      <c r="E541">
        <v>1</v>
      </c>
      <c r="F541">
        <v>95668.82</v>
      </c>
      <c r="G541">
        <v>2</v>
      </c>
      <c r="H541" t="s">
        <v>22</v>
      </c>
      <c r="I541" t="s">
        <v>23</v>
      </c>
      <c r="J541">
        <v>100335.55</v>
      </c>
      <c r="K541" t="s">
        <v>23</v>
      </c>
      <c r="L541">
        <v>0.29677629049438131</v>
      </c>
      <c r="M541" t="s">
        <v>23</v>
      </c>
      <c r="N541">
        <v>0</v>
      </c>
      <c r="O541">
        <v>0</v>
      </c>
      <c r="P541" t="s">
        <v>24</v>
      </c>
      <c r="Q541" t="s">
        <v>33</v>
      </c>
      <c r="R541" t="s">
        <v>38</v>
      </c>
      <c r="S541" t="s">
        <v>27</v>
      </c>
      <c r="T541" t="s">
        <v>28</v>
      </c>
      <c r="U541">
        <f t="shared" si="8"/>
        <v>1</v>
      </c>
    </row>
    <row r="542" spans="1:21" x14ac:dyDescent="0.2">
      <c r="A542">
        <v>538</v>
      </c>
      <c r="B542" t="s">
        <v>20</v>
      </c>
      <c r="C542" t="s">
        <v>32</v>
      </c>
      <c r="D542">
        <v>30</v>
      </c>
      <c r="E542">
        <v>8</v>
      </c>
      <c r="F542">
        <v>0</v>
      </c>
      <c r="G542">
        <v>2</v>
      </c>
      <c r="H542" t="s">
        <v>22</v>
      </c>
      <c r="I542" t="s">
        <v>22</v>
      </c>
      <c r="J542">
        <v>41192.949999999997</v>
      </c>
      <c r="K542" t="s">
        <v>23</v>
      </c>
      <c r="L542">
        <v>4.8127143642810448E-2</v>
      </c>
      <c r="M542" t="s">
        <v>23</v>
      </c>
      <c r="N542">
        <v>0</v>
      </c>
      <c r="O542">
        <v>0</v>
      </c>
      <c r="P542" t="s">
        <v>34</v>
      </c>
      <c r="Q542" t="s">
        <v>36</v>
      </c>
      <c r="R542" t="s">
        <v>29</v>
      </c>
      <c r="S542" t="s">
        <v>30</v>
      </c>
      <c r="T542" t="s">
        <v>35</v>
      </c>
      <c r="U542">
        <f t="shared" si="8"/>
        <v>1</v>
      </c>
    </row>
    <row r="543" spans="1:21" x14ac:dyDescent="0.2">
      <c r="A543">
        <v>669</v>
      </c>
      <c r="B543" t="s">
        <v>42</v>
      </c>
      <c r="C543" t="s">
        <v>21</v>
      </c>
      <c r="D543">
        <v>37</v>
      </c>
      <c r="E543">
        <v>4</v>
      </c>
      <c r="F543">
        <v>0</v>
      </c>
      <c r="G543">
        <v>1</v>
      </c>
      <c r="H543" t="s">
        <v>22</v>
      </c>
      <c r="I543" t="s">
        <v>23</v>
      </c>
      <c r="J543">
        <v>132540.32999999999</v>
      </c>
      <c r="K543" t="s">
        <v>23</v>
      </c>
      <c r="L543">
        <v>0.13949512332728281</v>
      </c>
      <c r="M543" t="s">
        <v>23</v>
      </c>
      <c r="N543">
        <v>0</v>
      </c>
      <c r="O543">
        <v>0</v>
      </c>
      <c r="P543" t="s">
        <v>34</v>
      </c>
      <c r="Q543" t="s">
        <v>33</v>
      </c>
      <c r="R543" t="s">
        <v>29</v>
      </c>
      <c r="S543" t="s">
        <v>27</v>
      </c>
      <c r="T543" t="s">
        <v>28</v>
      </c>
      <c r="U543">
        <f t="shared" si="8"/>
        <v>1</v>
      </c>
    </row>
    <row r="544" spans="1:21" x14ac:dyDescent="0.2">
      <c r="A544">
        <v>569</v>
      </c>
      <c r="B544" t="s">
        <v>20</v>
      </c>
      <c r="C544" t="s">
        <v>32</v>
      </c>
      <c r="D544">
        <v>34</v>
      </c>
      <c r="E544">
        <v>3</v>
      </c>
      <c r="F544">
        <v>0</v>
      </c>
      <c r="G544">
        <v>1</v>
      </c>
      <c r="H544" t="s">
        <v>22</v>
      </c>
      <c r="I544" t="s">
        <v>23</v>
      </c>
      <c r="J544">
        <v>133997.53</v>
      </c>
      <c r="K544" t="s">
        <v>23</v>
      </c>
      <c r="L544">
        <v>0.2033095350936544</v>
      </c>
      <c r="M544" t="s">
        <v>23</v>
      </c>
      <c r="N544">
        <v>0</v>
      </c>
      <c r="O544">
        <v>0</v>
      </c>
      <c r="P544" t="s">
        <v>24</v>
      </c>
      <c r="Q544" t="s">
        <v>33</v>
      </c>
      <c r="R544" t="s">
        <v>29</v>
      </c>
      <c r="S544" t="s">
        <v>30</v>
      </c>
      <c r="T544" t="s">
        <v>28</v>
      </c>
      <c r="U544">
        <f t="shared" si="8"/>
        <v>1</v>
      </c>
    </row>
    <row r="545" spans="1:21" x14ac:dyDescent="0.2">
      <c r="A545">
        <v>693</v>
      </c>
      <c r="B545" t="s">
        <v>42</v>
      </c>
      <c r="C545" t="s">
        <v>32</v>
      </c>
      <c r="D545">
        <v>43</v>
      </c>
      <c r="E545">
        <v>4</v>
      </c>
      <c r="F545">
        <v>152341.54999999999</v>
      </c>
      <c r="G545">
        <v>1</v>
      </c>
      <c r="H545" t="s">
        <v>22</v>
      </c>
      <c r="I545" t="s">
        <v>23</v>
      </c>
      <c r="J545">
        <v>9241.7800000000007</v>
      </c>
      <c r="K545" t="s">
        <v>23</v>
      </c>
      <c r="L545">
        <v>0.37312846396547122</v>
      </c>
      <c r="M545" t="s">
        <v>23</v>
      </c>
      <c r="N545">
        <v>0</v>
      </c>
      <c r="O545">
        <v>0</v>
      </c>
      <c r="P545" t="s">
        <v>24</v>
      </c>
      <c r="Q545" t="s">
        <v>25</v>
      </c>
      <c r="R545" t="s">
        <v>47</v>
      </c>
      <c r="S545" t="s">
        <v>27</v>
      </c>
      <c r="T545" t="s">
        <v>35</v>
      </c>
      <c r="U545">
        <f t="shared" si="8"/>
        <v>1</v>
      </c>
    </row>
    <row r="546" spans="1:21" x14ac:dyDescent="0.2">
      <c r="A546">
        <v>704</v>
      </c>
      <c r="B546" t="s">
        <v>42</v>
      </c>
      <c r="C546" t="s">
        <v>21</v>
      </c>
      <c r="D546">
        <v>36</v>
      </c>
      <c r="E546">
        <v>7</v>
      </c>
      <c r="F546">
        <v>120026.98</v>
      </c>
      <c r="G546">
        <v>2</v>
      </c>
      <c r="H546" t="s">
        <v>23</v>
      </c>
      <c r="I546" t="s">
        <v>22</v>
      </c>
      <c r="J546">
        <v>100601.73</v>
      </c>
      <c r="K546" t="s">
        <v>23</v>
      </c>
      <c r="L546">
        <v>5.4933838597486268E-2</v>
      </c>
      <c r="M546" t="s">
        <v>23</v>
      </c>
      <c r="N546">
        <v>0</v>
      </c>
      <c r="O546">
        <v>0</v>
      </c>
      <c r="P546" t="s">
        <v>34</v>
      </c>
      <c r="Q546" t="s">
        <v>33</v>
      </c>
      <c r="R546" t="s">
        <v>26</v>
      </c>
      <c r="S546" t="s">
        <v>37</v>
      </c>
      <c r="T546" t="s">
        <v>28</v>
      </c>
      <c r="U546">
        <f t="shared" si="8"/>
        <v>1</v>
      </c>
    </row>
    <row r="547" spans="1:21" x14ac:dyDescent="0.2">
      <c r="A547">
        <v>527</v>
      </c>
      <c r="B547" t="s">
        <v>20</v>
      </c>
      <c r="C547" t="s">
        <v>21</v>
      </c>
      <c r="D547">
        <v>33</v>
      </c>
      <c r="E547">
        <v>9</v>
      </c>
      <c r="F547">
        <v>132168.28</v>
      </c>
      <c r="G547">
        <v>1</v>
      </c>
      <c r="H547" t="s">
        <v>23</v>
      </c>
      <c r="I547" t="s">
        <v>23</v>
      </c>
      <c r="J547">
        <v>98734.15</v>
      </c>
      <c r="K547" t="s">
        <v>23</v>
      </c>
      <c r="L547">
        <v>0.15163761331186529</v>
      </c>
      <c r="M547" t="s">
        <v>23</v>
      </c>
      <c r="N547">
        <v>0</v>
      </c>
      <c r="O547">
        <v>0</v>
      </c>
      <c r="P547" t="s">
        <v>34</v>
      </c>
      <c r="Q547" t="s">
        <v>33</v>
      </c>
      <c r="R547" t="s">
        <v>26</v>
      </c>
      <c r="S547" t="s">
        <v>30</v>
      </c>
      <c r="T547" t="s">
        <v>40</v>
      </c>
      <c r="U547">
        <f t="shared" si="8"/>
        <v>1</v>
      </c>
    </row>
    <row r="548" spans="1:21" x14ac:dyDescent="0.2">
      <c r="A548">
        <v>679</v>
      </c>
      <c r="B548" t="s">
        <v>42</v>
      </c>
      <c r="C548" t="s">
        <v>21</v>
      </c>
      <c r="D548">
        <v>60</v>
      </c>
      <c r="E548">
        <v>8</v>
      </c>
      <c r="F548">
        <v>0</v>
      </c>
      <c r="G548">
        <v>2</v>
      </c>
      <c r="H548" t="s">
        <v>22</v>
      </c>
      <c r="I548" t="s">
        <v>22</v>
      </c>
      <c r="J548">
        <v>51380.9</v>
      </c>
      <c r="K548" t="s">
        <v>23</v>
      </c>
      <c r="L548">
        <v>0.19114210640919599</v>
      </c>
      <c r="M548" t="s">
        <v>23</v>
      </c>
      <c r="N548">
        <v>0</v>
      </c>
      <c r="O548">
        <v>0</v>
      </c>
      <c r="P548" t="s">
        <v>34</v>
      </c>
      <c r="Q548" t="s">
        <v>44</v>
      </c>
      <c r="R548" t="s">
        <v>29</v>
      </c>
      <c r="S548" t="s">
        <v>27</v>
      </c>
      <c r="T548" t="s">
        <v>40</v>
      </c>
      <c r="U548">
        <f t="shared" si="8"/>
        <v>1</v>
      </c>
    </row>
    <row r="549" spans="1:21" x14ac:dyDescent="0.2">
      <c r="A549">
        <v>850</v>
      </c>
      <c r="B549" t="s">
        <v>20</v>
      </c>
      <c r="C549" t="s">
        <v>32</v>
      </c>
      <c r="D549">
        <v>36</v>
      </c>
      <c r="E549">
        <v>2</v>
      </c>
      <c r="F549">
        <v>155180.56</v>
      </c>
      <c r="G549">
        <v>2</v>
      </c>
      <c r="H549" t="s">
        <v>23</v>
      </c>
      <c r="I549" t="s">
        <v>23</v>
      </c>
      <c r="J549">
        <v>169415.54</v>
      </c>
      <c r="K549" t="s">
        <v>23</v>
      </c>
      <c r="L549">
        <v>0.26078496807963031</v>
      </c>
      <c r="M549" t="s">
        <v>23</v>
      </c>
      <c r="N549">
        <v>0</v>
      </c>
      <c r="O549">
        <v>0</v>
      </c>
      <c r="P549" t="s">
        <v>24</v>
      </c>
      <c r="Q549" t="s">
        <v>33</v>
      </c>
      <c r="R549" t="s">
        <v>47</v>
      </c>
      <c r="S549" t="s">
        <v>39</v>
      </c>
      <c r="T549" t="s">
        <v>31</v>
      </c>
      <c r="U549">
        <f t="shared" si="8"/>
        <v>1</v>
      </c>
    </row>
    <row r="550" spans="1:21" x14ac:dyDescent="0.2">
      <c r="A550">
        <v>528</v>
      </c>
      <c r="B550" t="s">
        <v>20</v>
      </c>
      <c r="C550" t="s">
        <v>21</v>
      </c>
      <c r="D550">
        <v>40</v>
      </c>
      <c r="E550">
        <v>4</v>
      </c>
      <c r="F550">
        <v>0</v>
      </c>
      <c r="G550">
        <v>2</v>
      </c>
      <c r="H550" t="s">
        <v>22</v>
      </c>
      <c r="I550" t="s">
        <v>23</v>
      </c>
      <c r="J550">
        <v>25399.7</v>
      </c>
      <c r="K550" t="s">
        <v>23</v>
      </c>
      <c r="L550">
        <v>0.16451345166367781</v>
      </c>
      <c r="M550" t="s">
        <v>23</v>
      </c>
      <c r="N550">
        <v>0</v>
      </c>
      <c r="O550">
        <v>0</v>
      </c>
      <c r="P550" t="s">
        <v>34</v>
      </c>
      <c r="Q550" t="s">
        <v>33</v>
      </c>
      <c r="R550" t="s">
        <v>29</v>
      </c>
      <c r="S550" t="s">
        <v>30</v>
      </c>
      <c r="T550" t="s">
        <v>35</v>
      </c>
      <c r="U550">
        <f t="shared" si="8"/>
        <v>1</v>
      </c>
    </row>
    <row r="551" spans="1:21" x14ac:dyDescent="0.2">
      <c r="A551">
        <v>513</v>
      </c>
      <c r="B551" t="s">
        <v>20</v>
      </c>
      <c r="C551" t="s">
        <v>21</v>
      </c>
      <c r="D551">
        <v>48</v>
      </c>
      <c r="E551">
        <v>2</v>
      </c>
      <c r="F551">
        <v>0</v>
      </c>
      <c r="G551">
        <v>1</v>
      </c>
      <c r="H551" t="s">
        <v>22</v>
      </c>
      <c r="I551" t="s">
        <v>22</v>
      </c>
      <c r="J551">
        <v>114709.13</v>
      </c>
      <c r="K551" t="s">
        <v>22</v>
      </c>
      <c r="L551">
        <v>0.12792784829603199</v>
      </c>
      <c r="M551" t="s">
        <v>23</v>
      </c>
      <c r="N551">
        <v>1</v>
      </c>
      <c r="O551">
        <v>0</v>
      </c>
      <c r="P551" t="s">
        <v>34</v>
      </c>
      <c r="Q551" t="s">
        <v>25</v>
      </c>
      <c r="R551" t="s">
        <v>29</v>
      </c>
      <c r="S551" t="s">
        <v>30</v>
      </c>
      <c r="T551" t="s">
        <v>28</v>
      </c>
      <c r="U551">
        <f t="shared" si="8"/>
        <v>0</v>
      </c>
    </row>
    <row r="552" spans="1:21" x14ac:dyDescent="0.2">
      <c r="A552">
        <v>710</v>
      </c>
      <c r="B552" t="s">
        <v>20</v>
      </c>
      <c r="C552" t="s">
        <v>32</v>
      </c>
      <c r="D552">
        <v>75</v>
      </c>
      <c r="E552">
        <v>5</v>
      </c>
      <c r="F552">
        <v>0</v>
      </c>
      <c r="G552">
        <v>2</v>
      </c>
      <c r="H552" t="s">
        <v>22</v>
      </c>
      <c r="I552" t="s">
        <v>22</v>
      </c>
      <c r="J552">
        <v>9376.89</v>
      </c>
      <c r="K552" t="s">
        <v>23</v>
      </c>
      <c r="L552">
        <v>0.56650082911671074</v>
      </c>
      <c r="M552" t="s">
        <v>22</v>
      </c>
      <c r="N552">
        <v>0</v>
      </c>
      <c r="O552">
        <v>1</v>
      </c>
      <c r="P552" t="s">
        <v>43</v>
      </c>
      <c r="Q552" t="s">
        <v>46</v>
      </c>
      <c r="R552" t="s">
        <v>29</v>
      </c>
      <c r="S552" t="s">
        <v>37</v>
      </c>
      <c r="T552" t="s">
        <v>35</v>
      </c>
      <c r="U552">
        <f t="shared" si="8"/>
        <v>0</v>
      </c>
    </row>
    <row r="553" spans="1:21" x14ac:dyDescent="0.2">
      <c r="A553">
        <v>674</v>
      </c>
      <c r="B553" t="s">
        <v>42</v>
      </c>
      <c r="C553" t="s">
        <v>21</v>
      </c>
      <c r="D553">
        <v>45</v>
      </c>
      <c r="E553">
        <v>7</v>
      </c>
      <c r="F553">
        <v>142072.01999999999</v>
      </c>
      <c r="G553">
        <v>1</v>
      </c>
      <c r="H553" t="s">
        <v>22</v>
      </c>
      <c r="I553" t="s">
        <v>23</v>
      </c>
      <c r="J553">
        <v>37013.29</v>
      </c>
      <c r="K553" t="s">
        <v>23</v>
      </c>
      <c r="L553">
        <v>0.27376697192965699</v>
      </c>
      <c r="M553" t="s">
        <v>23</v>
      </c>
      <c r="N553">
        <v>0</v>
      </c>
      <c r="O553">
        <v>0</v>
      </c>
      <c r="P553" t="s">
        <v>24</v>
      </c>
      <c r="Q553" t="s">
        <v>25</v>
      </c>
      <c r="R553" t="s">
        <v>26</v>
      </c>
      <c r="S553" t="s">
        <v>27</v>
      </c>
      <c r="T553" t="s">
        <v>35</v>
      </c>
      <c r="U553">
        <f t="shared" si="8"/>
        <v>1</v>
      </c>
    </row>
    <row r="554" spans="1:21" x14ac:dyDescent="0.2">
      <c r="A554">
        <v>525</v>
      </c>
      <c r="B554" t="s">
        <v>42</v>
      </c>
      <c r="C554" t="s">
        <v>32</v>
      </c>
      <c r="D554">
        <v>25</v>
      </c>
      <c r="E554">
        <v>6</v>
      </c>
      <c r="F554">
        <v>0</v>
      </c>
      <c r="G554">
        <v>2</v>
      </c>
      <c r="H554" t="s">
        <v>22</v>
      </c>
      <c r="I554" t="s">
        <v>23</v>
      </c>
      <c r="J554">
        <v>89566.64</v>
      </c>
      <c r="K554" t="s">
        <v>23</v>
      </c>
      <c r="L554">
        <v>9.7310792051101797E-2</v>
      </c>
      <c r="M554" t="s">
        <v>23</v>
      </c>
      <c r="N554">
        <v>0</v>
      </c>
      <c r="O554">
        <v>0</v>
      </c>
      <c r="P554" t="s">
        <v>34</v>
      </c>
      <c r="Q554" t="s">
        <v>36</v>
      </c>
      <c r="R554" t="s">
        <v>29</v>
      </c>
      <c r="S554" t="s">
        <v>30</v>
      </c>
      <c r="T554" t="s">
        <v>40</v>
      </c>
      <c r="U554">
        <f t="shared" si="8"/>
        <v>1</v>
      </c>
    </row>
    <row r="555" spans="1:21" x14ac:dyDescent="0.2">
      <c r="A555">
        <v>645</v>
      </c>
      <c r="B555" t="s">
        <v>41</v>
      </c>
      <c r="C555" t="s">
        <v>21</v>
      </c>
      <c r="D555">
        <v>33</v>
      </c>
      <c r="E555">
        <v>8</v>
      </c>
      <c r="F555">
        <v>149564.60999999999</v>
      </c>
      <c r="G555">
        <v>1</v>
      </c>
      <c r="H555" t="s">
        <v>23</v>
      </c>
      <c r="I555" t="s">
        <v>23</v>
      </c>
      <c r="J555">
        <v>149913.84</v>
      </c>
      <c r="K555" t="s">
        <v>23</v>
      </c>
      <c r="L555">
        <v>0.27687618229132932</v>
      </c>
      <c r="M555" t="s">
        <v>23</v>
      </c>
      <c r="N555">
        <v>0</v>
      </c>
      <c r="O555">
        <v>0</v>
      </c>
      <c r="P555" t="s">
        <v>24</v>
      </c>
      <c r="Q555" t="s">
        <v>33</v>
      </c>
      <c r="R555" t="s">
        <v>26</v>
      </c>
      <c r="S555" t="s">
        <v>27</v>
      </c>
      <c r="T555" t="s">
        <v>28</v>
      </c>
      <c r="U555">
        <f t="shared" si="8"/>
        <v>1</v>
      </c>
    </row>
    <row r="556" spans="1:21" x14ac:dyDescent="0.2">
      <c r="A556">
        <v>545</v>
      </c>
      <c r="B556" t="s">
        <v>20</v>
      </c>
      <c r="C556" t="s">
        <v>21</v>
      </c>
      <c r="D556">
        <v>36</v>
      </c>
      <c r="E556">
        <v>8</v>
      </c>
      <c r="F556">
        <v>73211.12</v>
      </c>
      <c r="G556">
        <v>2</v>
      </c>
      <c r="H556" t="s">
        <v>22</v>
      </c>
      <c r="I556" t="s">
        <v>23</v>
      </c>
      <c r="J556">
        <v>89587.34</v>
      </c>
      <c r="K556" t="s">
        <v>22</v>
      </c>
      <c r="L556">
        <v>0.1435323824637689</v>
      </c>
      <c r="M556" t="s">
        <v>23</v>
      </c>
      <c r="N556">
        <v>1</v>
      </c>
      <c r="O556">
        <v>0</v>
      </c>
      <c r="P556" t="s">
        <v>34</v>
      </c>
      <c r="Q556" t="s">
        <v>33</v>
      </c>
      <c r="R556" t="s">
        <v>38</v>
      </c>
      <c r="S556" t="s">
        <v>30</v>
      </c>
      <c r="T556" t="s">
        <v>40</v>
      </c>
      <c r="U556">
        <f t="shared" si="8"/>
        <v>0</v>
      </c>
    </row>
    <row r="557" spans="1:21" x14ac:dyDescent="0.2">
      <c r="A557">
        <v>831</v>
      </c>
      <c r="B557" t="s">
        <v>41</v>
      </c>
      <c r="C557" t="s">
        <v>21</v>
      </c>
      <c r="D557">
        <v>32</v>
      </c>
      <c r="E557">
        <v>9</v>
      </c>
      <c r="F557">
        <v>80262.66</v>
      </c>
      <c r="G557">
        <v>1</v>
      </c>
      <c r="H557" t="s">
        <v>22</v>
      </c>
      <c r="I557" t="s">
        <v>23</v>
      </c>
      <c r="J557">
        <v>194867.78</v>
      </c>
      <c r="K557" t="s">
        <v>23</v>
      </c>
      <c r="L557">
        <v>0.20274219816599159</v>
      </c>
      <c r="M557" t="s">
        <v>23</v>
      </c>
      <c r="N557">
        <v>0</v>
      </c>
      <c r="O557">
        <v>0</v>
      </c>
      <c r="P557" t="s">
        <v>24</v>
      </c>
      <c r="Q557" t="s">
        <v>33</v>
      </c>
      <c r="R557" t="s">
        <v>38</v>
      </c>
      <c r="S557" t="s">
        <v>39</v>
      </c>
      <c r="T557" t="s">
        <v>31</v>
      </c>
      <c r="U557">
        <f t="shared" si="8"/>
        <v>1</v>
      </c>
    </row>
    <row r="558" spans="1:21" x14ac:dyDescent="0.2">
      <c r="A558">
        <v>657</v>
      </c>
      <c r="B558" t="s">
        <v>20</v>
      </c>
      <c r="C558" t="s">
        <v>21</v>
      </c>
      <c r="D558">
        <v>67</v>
      </c>
      <c r="E558">
        <v>5</v>
      </c>
      <c r="F558">
        <v>119785.47</v>
      </c>
      <c r="G558">
        <v>2</v>
      </c>
      <c r="H558" t="s">
        <v>22</v>
      </c>
      <c r="I558" t="s">
        <v>22</v>
      </c>
      <c r="J558">
        <v>107534.32</v>
      </c>
      <c r="K558" t="s">
        <v>23</v>
      </c>
      <c r="L558">
        <v>0.38467283914033529</v>
      </c>
      <c r="M558" t="s">
        <v>23</v>
      </c>
      <c r="N558">
        <v>0</v>
      </c>
      <c r="O558">
        <v>0</v>
      </c>
      <c r="P558" t="s">
        <v>24</v>
      </c>
      <c r="Q558" t="s">
        <v>46</v>
      </c>
      <c r="R558" t="s">
        <v>26</v>
      </c>
      <c r="S558" t="s">
        <v>27</v>
      </c>
      <c r="T558" t="s">
        <v>28</v>
      </c>
      <c r="U558">
        <f t="shared" si="8"/>
        <v>1</v>
      </c>
    </row>
    <row r="559" spans="1:21" x14ac:dyDescent="0.2">
      <c r="A559">
        <v>660</v>
      </c>
      <c r="B559" t="s">
        <v>20</v>
      </c>
      <c r="C559" t="s">
        <v>21</v>
      </c>
      <c r="D559">
        <v>42</v>
      </c>
      <c r="E559">
        <v>5</v>
      </c>
      <c r="F559">
        <v>0</v>
      </c>
      <c r="G559">
        <v>2</v>
      </c>
      <c r="H559" t="s">
        <v>22</v>
      </c>
      <c r="I559" t="s">
        <v>23</v>
      </c>
      <c r="J559">
        <v>115509.59</v>
      </c>
      <c r="K559" t="s">
        <v>23</v>
      </c>
      <c r="L559">
        <v>0.17685586098087841</v>
      </c>
      <c r="M559" t="s">
        <v>23</v>
      </c>
      <c r="N559">
        <v>0</v>
      </c>
      <c r="O559">
        <v>0</v>
      </c>
      <c r="P559" t="s">
        <v>34</v>
      </c>
      <c r="Q559" t="s">
        <v>25</v>
      </c>
      <c r="R559" t="s">
        <v>29</v>
      </c>
      <c r="S559" t="s">
        <v>27</v>
      </c>
      <c r="T559" t="s">
        <v>28</v>
      </c>
      <c r="U559">
        <f t="shared" si="8"/>
        <v>1</v>
      </c>
    </row>
    <row r="560" spans="1:21" x14ac:dyDescent="0.2">
      <c r="A560">
        <v>795</v>
      </c>
      <c r="B560" t="s">
        <v>41</v>
      </c>
      <c r="C560" t="s">
        <v>21</v>
      </c>
      <c r="D560">
        <v>37</v>
      </c>
      <c r="E560">
        <v>2</v>
      </c>
      <c r="F560">
        <v>139265.63</v>
      </c>
      <c r="G560">
        <v>2</v>
      </c>
      <c r="H560" t="s">
        <v>22</v>
      </c>
      <c r="I560" t="s">
        <v>22</v>
      </c>
      <c r="J560">
        <v>198745.94</v>
      </c>
      <c r="K560" t="s">
        <v>23</v>
      </c>
      <c r="L560">
        <v>0.1330537374268492</v>
      </c>
      <c r="M560" t="s">
        <v>23</v>
      </c>
      <c r="N560">
        <v>0</v>
      </c>
      <c r="O560">
        <v>0</v>
      </c>
      <c r="P560" t="s">
        <v>34</v>
      </c>
      <c r="Q560" t="s">
        <v>33</v>
      </c>
      <c r="R560" t="s">
        <v>26</v>
      </c>
      <c r="S560" t="s">
        <v>37</v>
      </c>
      <c r="T560" t="s">
        <v>31</v>
      </c>
      <c r="U560">
        <f t="shared" si="8"/>
        <v>1</v>
      </c>
    </row>
    <row r="561" spans="1:21" x14ac:dyDescent="0.2">
      <c r="A561">
        <v>613</v>
      </c>
      <c r="B561" t="s">
        <v>41</v>
      </c>
      <c r="C561" t="s">
        <v>32</v>
      </c>
      <c r="D561">
        <v>30</v>
      </c>
      <c r="E561">
        <v>5</v>
      </c>
      <c r="F561">
        <v>131563.88</v>
      </c>
      <c r="G561">
        <v>2</v>
      </c>
      <c r="H561" t="s">
        <v>22</v>
      </c>
      <c r="I561" t="s">
        <v>23</v>
      </c>
      <c r="J561">
        <v>170638.98</v>
      </c>
      <c r="K561" t="s">
        <v>23</v>
      </c>
      <c r="L561">
        <v>0.3265385991584453</v>
      </c>
      <c r="M561" t="s">
        <v>23</v>
      </c>
      <c r="N561">
        <v>0</v>
      </c>
      <c r="O561">
        <v>0</v>
      </c>
      <c r="P561" t="s">
        <v>24</v>
      </c>
      <c r="Q561" t="s">
        <v>36</v>
      </c>
      <c r="R561" t="s">
        <v>26</v>
      </c>
      <c r="S561" t="s">
        <v>27</v>
      </c>
      <c r="T561" t="s">
        <v>31</v>
      </c>
      <c r="U561">
        <f t="shared" si="8"/>
        <v>1</v>
      </c>
    </row>
    <row r="562" spans="1:21" x14ac:dyDescent="0.2">
      <c r="A562">
        <v>621</v>
      </c>
      <c r="B562" t="s">
        <v>41</v>
      </c>
      <c r="C562" t="s">
        <v>21</v>
      </c>
      <c r="D562">
        <v>47</v>
      </c>
      <c r="E562">
        <v>7</v>
      </c>
      <c r="F562">
        <v>107363.29</v>
      </c>
      <c r="G562">
        <v>1</v>
      </c>
      <c r="H562" t="s">
        <v>22</v>
      </c>
      <c r="I562" t="s">
        <v>22</v>
      </c>
      <c r="J562">
        <v>66799.28</v>
      </c>
      <c r="K562" t="s">
        <v>23</v>
      </c>
      <c r="L562">
        <v>0.23764027233137441</v>
      </c>
      <c r="M562" t="s">
        <v>23</v>
      </c>
      <c r="N562">
        <v>0</v>
      </c>
      <c r="O562">
        <v>0</v>
      </c>
      <c r="P562" t="s">
        <v>24</v>
      </c>
      <c r="Q562" t="s">
        <v>25</v>
      </c>
      <c r="R562" t="s">
        <v>26</v>
      </c>
      <c r="S562" t="s">
        <v>27</v>
      </c>
      <c r="T562" t="s">
        <v>40</v>
      </c>
      <c r="U562">
        <f t="shared" si="8"/>
        <v>1</v>
      </c>
    </row>
    <row r="563" spans="1:21" x14ac:dyDescent="0.2">
      <c r="A563">
        <v>782</v>
      </c>
      <c r="B563" t="s">
        <v>42</v>
      </c>
      <c r="C563" t="s">
        <v>32</v>
      </c>
      <c r="D563">
        <v>33</v>
      </c>
      <c r="E563">
        <v>2</v>
      </c>
      <c r="F563">
        <v>94493.03</v>
      </c>
      <c r="G563">
        <v>1</v>
      </c>
      <c r="H563" t="s">
        <v>23</v>
      </c>
      <c r="I563" t="s">
        <v>22</v>
      </c>
      <c r="J563">
        <v>101866.39</v>
      </c>
      <c r="K563" t="s">
        <v>23</v>
      </c>
      <c r="L563">
        <v>8.0427364178496705E-2</v>
      </c>
      <c r="M563" t="s">
        <v>23</v>
      </c>
      <c r="N563">
        <v>0</v>
      </c>
      <c r="O563">
        <v>0</v>
      </c>
      <c r="P563" t="s">
        <v>34</v>
      </c>
      <c r="Q563" t="s">
        <v>33</v>
      </c>
      <c r="R563" t="s">
        <v>38</v>
      </c>
      <c r="S563" t="s">
        <v>37</v>
      </c>
      <c r="T563" t="s">
        <v>28</v>
      </c>
      <c r="U563">
        <f t="shared" si="8"/>
        <v>1</v>
      </c>
    </row>
    <row r="564" spans="1:21" x14ac:dyDescent="0.2">
      <c r="A564">
        <v>696</v>
      </c>
      <c r="B564" t="s">
        <v>42</v>
      </c>
      <c r="C564" t="s">
        <v>21</v>
      </c>
      <c r="D564">
        <v>52</v>
      </c>
      <c r="E564">
        <v>6</v>
      </c>
      <c r="F564">
        <v>139781.06</v>
      </c>
      <c r="G564">
        <v>1</v>
      </c>
      <c r="H564" t="s">
        <v>22</v>
      </c>
      <c r="I564" t="s">
        <v>23</v>
      </c>
      <c r="J564">
        <v>27445.4</v>
      </c>
      <c r="K564" t="s">
        <v>22</v>
      </c>
      <c r="L564">
        <v>0.38594826676578992</v>
      </c>
      <c r="M564" t="s">
        <v>23</v>
      </c>
      <c r="N564">
        <v>1</v>
      </c>
      <c r="O564">
        <v>0</v>
      </c>
      <c r="P564" t="s">
        <v>24</v>
      </c>
      <c r="Q564" t="s">
        <v>44</v>
      </c>
      <c r="R564" t="s">
        <v>26</v>
      </c>
      <c r="S564" t="s">
        <v>27</v>
      </c>
      <c r="T564" t="s">
        <v>35</v>
      </c>
      <c r="U564">
        <f t="shared" si="8"/>
        <v>0</v>
      </c>
    </row>
    <row r="565" spans="1:21" x14ac:dyDescent="0.2">
      <c r="A565">
        <v>498</v>
      </c>
      <c r="B565" t="s">
        <v>42</v>
      </c>
      <c r="C565" t="s">
        <v>21</v>
      </c>
      <c r="D565">
        <v>73</v>
      </c>
      <c r="E565">
        <v>2</v>
      </c>
      <c r="F565">
        <v>170241.7</v>
      </c>
      <c r="G565">
        <v>2</v>
      </c>
      <c r="H565" t="s">
        <v>22</v>
      </c>
      <c r="I565" t="s">
        <v>22</v>
      </c>
      <c r="J565">
        <v>165407.96</v>
      </c>
      <c r="K565" t="s">
        <v>23</v>
      </c>
      <c r="L565">
        <v>0.56669218483731232</v>
      </c>
      <c r="M565" t="s">
        <v>22</v>
      </c>
      <c r="N565">
        <v>0</v>
      </c>
      <c r="O565">
        <v>1</v>
      </c>
      <c r="P565" t="s">
        <v>43</v>
      </c>
      <c r="Q565" t="s">
        <v>46</v>
      </c>
      <c r="R565" t="s">
        <v>47</v>
      </c>
      <c r="S565" t="s">
        <v>45</v>
      </c>
      <c r="T565" t="s">
        <v>31</v>
      </c>
      <c r="U565">
        <f t="shared" si="8"/>
        <v>0</v>
      </c>
    </row>
    <row r="566" spans="1:21" x14ac:dyDescent="0.2">
      <c r="A566">
        <v>698</v>
      </c>
      <c r="B566" t="s">
        <v>42</v>
      </c>
      <c r="C566" t="s">
        <v>21</v>
      </c>
      <c r="D566">
        <v>57</v>
      </c>
      <c r="E566">
        <v>6</v>
      </c>
      <c r="F566">
        <v>136325.48000000001</v>
      </c>
      <c r="G566">
        <v>2</v>
      </c>
      <c r="H566" t="s">
        <v>22</v>
      </c>
      <c r="I566" t="s">
        <v>22</v>
      </c>
      <c r="J566">
        <v>72549.27</v>
      </c>
      <c r="K566" t="s">
        <v>22</v>
      </c>
      <c r="L566">
        <v>0.2187451366143042</v>
      </c>
      <c r="M566" t="s">
        <v>23</v>
      </c>
      <c r="N566">
        <v>1</v>
      </c>
      <c r="O566">
        <v>0</v>
      </c>
      <c r="P566" t="s">
        <v>24</v>
      </c>
      <c r="Q566" t="s">
        <v>44</v>
      </c>
      <c r="R566" t="s">
        <v>26</v>
      </c>
      <c r="S566" t="s">
        <v>27</v>
      </c>
      <c r="T566" t="s">
        <v>40</v>
      </c>
      <c r="U566">
        <f t="shared" si="8"/>
        <v>0</v>
      </c>
    </row>
    <row r="567" spans="1:21" x14ac:dyDescent="0.2">
      <c r="A567">
        <v>685</v>
      </c>
      <c r="B567" t="s">
        <v>20</v>
      </c>
      <c r="C567" t="s">
        <v>21</v>
      </c>
      <c r="D567">
        <v>34</v>
      </c>
      <c r="E567">
        <v>6</v>
      </c>
      <c r="F567">
        <v>83264.28</v>
      </c>
      <c r="G567">
        <v>1</v>
      </c>
      <c r="H567" t="s">
        <v>23</v>
      </c>
      <c r="I567" t="s">
        <v>23</v>
      </c>
      <c r="J567">
        <v>9663.2800000000007</v>
      </c>
      <c r="K567" t="s">
        <v>23</v>
      </c>
      <c r="L567">
        <v>0.13303028773829051</v>
      </c>
      <c r="M567" t="s">
        <v>23</v>
      </c>
      <c r="N567">
        <v>0</v>
      </c>
      <c r="O567">
        <v>0</v>
      </c>
      <c r="P567" t="s">
        <v>34</v>
      </c>
      <c r="Q567" t="s">
        <v>33</v>
      </c>
      <c r="R567" t="s">
        <v>38</v>
      </c>
      <c r="S567" t="s">
        <v>27</v>
      </c>
      <c r="T567" t="s">
        <v>35</v>
      </c>
      <c r="U567">
        <f t="shared" si="8"/>
        <v>1</v>
      </c>
    </row>
    <row r="568" spans="1:21" x14ac:dyDescent="0.2">
      <c r="A568">
        <v>705</v>
      </c>
      <c r="B568" t="s">
        <v>41</v>
      </c>
      <c r="C568" t="s">
        <v>21</v>
      </c>
      <c r="D568">
        <v>41</v>
      </c>
      <c r="E568">
        <v>4</v>
      </c>
      <c r="F568">
        <v>72252.639999999999</v>
      </c>
      <c r="G568">
        <v>2</v>
      </c>
      <c r="H568" t="s">
        <v>22</v>
      </c>
      <c r="I568" t="s">
        <v>22</v>
      </c>
      <c r="J568">
        <v>142514.66</v>
      </c>
      <c r="K568" t="s">
        <v>23</v>
      </c>
      <c r="L568">
        <v>0.14670757231367179</v>
      </c>
      <c r="M568" t="s">
        <v>23</v>
      </c>
      <c r="N568">
        <v>0</v>
      </c>
      <c r="O568">
        <v>0</v>
      </c>
      <c r="P568" t="s">
        <v>34</v>
      </c>
      <c r="Q568" t="s">
        <v>25</v>
      </c>
      <c r="R568" t="s">
        <v>38</v>
      </c>
      <c r="S568" t="s">
        <v>37</v>
      </c>
      <c r="T568" t="s">
        <v>28</v>
      </c>
      <c r="U568">
        <f t="shared" si="8"/>
        <v>1</v>
      </c>
    </row>
    <row r="569" spans="1:21" x14ac:dyDescent="0.2">
      <c r="A569">
        <v>510</v>
      </c>
      <c r="B569" t="s">
        <v>42</v>
      </c>
      <c r="C569" t="s">
        <v>21</v>
      </c>
      <c r="D569">
        <v>63</v>
      </c>
      <c r="E569">
        <v>8</v>
      </c>
      <c r="F569">
        <v>0</v>
      </c>
      <c r="G569">
        <v>2</v>
      </c>
      <c r="H569" t="s">
        <v>22</v>
      </c>
      <c r="I569" t="s">
        <v>22</v>
      </c>
      <c r="J569">
        <v>115291.86</v>
      </c>
      <c r="K569" t="s">
        <v>23</v>
      </c>
      <c r="L569">
        <v>0.25580892671194061</v>
      </c>
      <c r="M569" t="s">
        <v>23</v>
      </c>
      <c r="N569">
        <v>0</v>
      </c>
      <c r="O569">
        <v>0</v>
      </c>
      <c r="P569" t="s">
        <v>24</v>
      </c>
      <c r="Q569" t="s">
        <v>46</v>
      </c>
      <c r="R569" t="s">
        <v>29</v>
      </c>
      <c r="S569" t="s">
        <v>30</v>
      </c>
      <c r="T569" t="s">
        <v>28</v>
      </c>
      <c r="U569">
        <f t="shared" si="8"/>
        <v>1</v>
      </c>
    </row>
    <row r="570" spans="1:21" x14ac:dyDescent="0.2">
      <c r="A570">
        <v>588</v>
      </c>
      <c r="B570" t="s">
        <v>20</v>
      </c>
      <c r="C570" t="s">
        <v>21</v>
      </c>
      <c r="D570">
        <v>46</v>
      </c>
      <c r="E570">
        <v>8</v>
      </c>
      <c r="F570">
        <v>0</v>
      </c>
      <c r="G570">
        <v>1</v>
      </c>
      <c r="H570" t="s">
        <v>22</v>
      </c>
      <c r="I570" t="s">
        <v>23</v>
      </c>
      <c r="J570">
        <v>61931.21</v>
      </c>
      <c r="K570" t="s">
        <v>23</v>
      </c>
      <c r="L570">
        <v>0.23546523644257</v>
      </c>
      <c r="M570" t="s">
        <v>23</v>
      </c>
      <c r="N570">
        <v>0</v>
      </c>
      <c r="O570">
        <v>0</v>
      </c>
      <c r="P570" t="s">
        <v>24</v>
      </c>
      <c r="Q570" t="s">
        <v>25</v>
      </c>
      <c r="R570" t="s">
        <v>29</v>
      </c>
      <c r="S570" t="s">
        <v>30</v>
      </c>
      <c r="T570" t="s">
        <v>40</v>
      </c>
      <c r="U570">
        <f t="shared" si="8"/>
        <v>1</v>
      </c>
    </row>
    <row r="571" spans="1:21" x14ac:dyDescent="0.2">
      <c r="A571">
        <v>555</v>
      </c>
      <c r="B571" t="s">
        <v>20</v>
      </c>
      <c r="C571" t="s">
        <v>32</v>
      </c>
      <c r="D571">
        <v>26</v>
      </c>
      <c r="E571">
        <v>9</v>
      </c>
      <c r="F571">
        <v>0</v>
      </c>
      <c r="G571">
        <v>2</v>
      </c>
      <c r="H571" t="s">
        <v>23</v>
      </c>
      <c r="I571" t="s">
        <v>22</v>
      </c>
      <c r="J571">
        <v>158918.03</v>
      </c>
      <c r="K571" t="s">
        <v>23</v>
      </c>
      <c r="L571">
        <v>3.8640890645475351E-2</v>
      </c>
      <c r="M571" t="s">
        <v>23</v>
      </c>
      <c r="N571">
        <v>0</v>
      </c>
      <c r="O571">
        <v>0</v>
      </c>
      <c r="P571" t="s">
        <v>34</v>
      </c>
      <c r="Q571" t="s">
        <v>36</v>
      </c>
      <c r="R571" t="s">
        <v>29</v>
      </c>
      <c r="S571" t="s">
        <v>30</v>
      </c>
      <c r="T571" t="s">
        <v>31</v>
      </c>
      <c r="U571">
        <f t="shared" si="8"/>
        <v>1</v>
      </c>
    </row>
    <row r="572" spans="1:21" x14ac:dyDescent="0.2">
      <c r="A572">
        <v>620</v>
      </c>
      <c r="B572" t="s">
        <v>42</v>
      </c>
      <c r="C572" t="s">
        <v>32</v>
      </c>
      <c r="D572">
        <v>29</v>
      </c>
      <c r="E572">
        <v>1</v>
      </c>
      <c r="F572">
        <v>138740.24</v>
      </c>
      <c r="G572">
        <v>2</v>
      </c>
      <c r="H572" t="s">
        <v>23</v>
      </c>
      <c r="I572" t="s">
        <v>23</v>
      </c>
      <c r="J572">
        <v>154700.60999999999</v>
      </c>
      <c r="K572" t="s">
        <v>23</v>
      </c>
      <c r="L572">
        <v>0.18692922372393381</v>
      </c>
      <c r="M572" t="s">
        <v>23</v>
      </c>
      <c r="N572">
        <v>0</v>
      </c>
      <c r="O572">
        <v>0</v>
      </c>
      <c r="P572" t="s">
        <v>34</v>
      </c>
      <c r="Q572" t="s">
        <v>36</v>
      </c>
      <c r="R572" t="s">
        <v>26</v>
      </c>
      <c r="S572" t="s">
        <v>27</v>
      </c>
      <c r="T572" t="s">
        <v>31</v>
      </c>
      <c r="U572">
        <f t="shared" si="8"/>
        <v>1</v>
      </c>
    </row>
    <row r="573" spans="1:21" x14ac:dyDescent="0.2">
      <c r="A573">
        <v>733</v>
      </c>
      <c r="B573" t="s">
        <v>42</v>
      </c>
      <c r="C573" t="s">
        <v>21</v>
      </c>
      <c r="D573">
        <v>51</v>
      </c>
      <c r="E573">
        <v>10</v>
      </c>
      <c r="F573">
        <v>141556.96</v>
      </c>
      <c r="G573">
        <v>1</v>
      </c>
      <c r="H573" t="s">
        <v>22</v>
      </c>
      <c r="I573" t="s">
        <v>23</v>
      </c>
      <c r="J573">
        <v>130189.53</v>
      </c>
      <c r="K573" t="s">
        <v>23</v>
      </c>
      <c r="L573">
        <v>0.35869089569465767</v>
      </c>
      <c r="M573" t="s">
        <v>23</v>
      </c>
      <c r="N573">
        <v>0</v>
      </c>
      <c r="O573">
        <v>0</v>
      </c>
      <c r="P573" t="s">
        <v>24</v>
      </c>
      <c r="Q573" t="s">
        <v>44</v>
      </c>
      <c r="R573" t="s">
        <v>26</v>
      </c>
      <c r="S573" t="s">
        <v>37</v>
      </c>
      <c r="T573" t="s">
        <v>28</v>
      </c>
      <c r="U573">
        <f t="shared" si="8"/>
        <v>1</v>
      </c>
    </row>
    <row r="574" spans="1:21" x14ac:dyDescent="0.2">
      <c r="A574">
        <v>792</v>
      </c>
      <c r="B574" t="s">
        <v>42</v>
      </c>
      <c r="C574" t="s">
        <v>21</v>
      </c>
      <c r="D574">
        <v>30</v>
      </c>
      <c r="E574">
        <v>8</v>
      </c>
      <c r="F574">
        <v>0</v>
      </c>
      <c r="G574">
        <v>2</v>
      </c>
      <c r="H574" t="s">
        <v>22</v>
      </c>
      <c r="I574" t="s">
        <v>23</v>
      </c>
      <c r="J574">
        <v>199644.2</v>
      </c>
      <c r="K574" t="s">
        <v>23</v>
      </c>
      <c r="L574">
        <v>7.1238619603559331E-2</v>
      </c>
      <c r="M574" t="s">
        <v>23</v>
      </c>
      <c r="N574">
        <v>0</v>
      </c>
      <c r="O574">
        <v>0</v>
      </c>
      <c r="P574" t="s">
        <v>34</v>
      </c>
      <c r="Q574" t="s">
        <v>36</v>
      </c>
      <c r="R574" t="s">
        <v>29</v>
      </c>
      <c r="S574" t="s">
        <v>37</v>
      </c>
      <c r="T574" t="s">
        <v>31</v>
      </c>
      <c r="U574">
        <f t="shared" si="8"/>
        <v>1</v>
      </c>
    </row>
    <row r="575" spans="1:21" x14ac:dyDescent="0.2">
      <c r="A575">
        <v>686</v>
      </c>
      <c r="B575" t="s">
        <v>42</v>
      </c>
      <c r="C575" t="s">
        <v>32</v>
      </c>
      <c r="D575">
        <v>41</v>
      </c>
      <c r="E575">
        <v>10</v>
      </c>
      <c r="F575">
        <v>0</v>
      </c>
      <c r="G575">
        <v>1</v>
      </c>
      <c r="H575" t="s">
        <v>22</v>
      </c>
      <c r="I575" t="s">
        <v>22</v>
      </c>
      <c r="J575">
        <v>144272.71</v>
      </c>
      <c r="K575" t="s">
        <v>22</v>
      </c>
      <c r="L575">
        <v>0.100666328974791</v>
      </c>
      <c r="M575" t="s">
        <v>23</v>
      </c>
      <c r="N575">
        <v>1</v>
      </c>
      <c r="O575">
        <v>0</v>
      </c>
      <c r="P575" t="s">
        <v>34</v>
      </c>
      <c r="Q575" t="s">
        <v>25</v>
      </c>
      <c r="R575" t="s">
        <v>29</v>
      </c>
      <c r="S575" t="s">
        <v>27</v>
      </c>
      <c r="T575" t="s">
        <v>28</v>
      </c>
      <c r="U575">
        <f t="shared" si="8"/>
        <v>0</v>
      </c>
    </row>
    <row r="576" spans="1:21" x14ac:dyDescent="0.2">
      <c r="A576">
        <v>655</v>
      </c>
      <c r="B576" t="s">
        <v>42</v>
      </c>
      <c r="C576" t="s">
        <v>32</v>
      </c>
      <c r="D576">
        <v>51</v>
      </c>
      <c r="E576">
        <v>3</v>
      </c>
      <c r="F576">
        <v>0</v>
      </c>
      <c r="G576">
        <v>2</v>
      </c>
      <c r="H576" t="s">
        <v>23</v>
      </c>
      <c r="I576" t="s">
        <v>22</v>
      </c>
      <c r="J576">
        <v>15801.02</v>
      </c>
      <c r="K576" t="s">
        <v>23</v>
      </c>
      <c r="L576">
        <v>0.1925991925880266</v>
      </c>
      <c r="M576" t="s">
        <v>23</v>
      </c>
      <c r="N576">
        <v>0</v>
      </c>
      <c r="O576">
        <v>0</v>
      </c>
      <c r="P576" t="s">
        <v>34</v>
      </c>
      <c r="Q576" t="s">
        <v>44</v>
      </c>
      <c r="R576" t="s">
        <v>29</v>
      </c>
      <c r="S576" t="s">
        <v>27</v>
      </c>
      <c r="T576" t="s">
        <v>35</v>
      </c>
      <c r="U576">
        <f t="shared" si="8"/>
        <v>1</v>
      </c>
    </row>
    <row r="577" spans="1:21" x14ac:dyDescent="0.2">
      <c r="A577">
        <v>579</v>
      </c>
      <c r="B577" t="s">
        <v>41</v>
      </c>
      <c r="C577" t="s">
        <v>32</v>
      </c>
      <c r="D577">
        <v>39</v>
      </c>
      <c r="E577">
        <v>5</v>
      </c>
      <c r="F577">
        <v>117833.3</v>
      </c>
      <c r="G577">
        <v>3</v>
      </c>
      <c r="H577" t="s">
        <v>23</v>
      </c>
      <c r="I577" t="s">
        <v>23</v>
      </c>
      <c r="J577">
        <v>5831</v>
      </c>
      <c r="K577" t="s">
        <v>22</v>
      </c>
      <c r="L577">
        <v>0.44186535589589843</v>
      </c>
      <c r="M577" t="s">
        <v>23</v>
      </c>
      <c r="N577">
        <v>1</v>
      </c>
      <c r="O577">
        <v>0</v>
      </c>
      <c r="P577" t="s">
        <v>24</v>
      </c>
      <c r="Q577" t="s">
        <v>33</v>
      </c>
      <c r="R577" t="s">
        <v>26</v>
      </c>
      <c r="S577" t="s">
        <v>30</v>
      </c>
      <c r="T577" t="s">
        <v>35</v>
      </c>
      <c r="U577">
        <f t="shared" si="8"/>
        <v>0</v>
      </c>
    </row>
    <row r="578" spans="1:21" x14ac:dyDescent="0.2">
      <c r="A578">
        <v>505</v>
      </c>
      <c r="B578" t="s">
        <v>20</v>
      </c>
      <c r="C578" t="s">
        <v>32</v>
      </c>
      <c r="D578">
        <v>45</v>
      </c>
      <c r="E578">
        <v>9</v>
      </c>
      <c r="F578">
        <v>131355.29999999999</v>
      </c>
      <c r="G578">
        <v>3</v>
      </c>
      <c r="H578" t="s">
        <v>22</v>
      </c>
      <c r="I578" t="s">
        <v>23</v>
      </c>
      <c r="J578">
        <v>195395.33</v>
      </c>
      <c r="K578" t="s">
        <v>22</v>
      </c>
      <c r="L578">
        <v>0.38730469528121642</v>
      </c>
      <c r="M578" t="s">
        <v>23</v>
      </c>
      <c r="N578">
        <v>1</v>
      </c>
      <c r="O578">
        <v>0</v>
      </c>
      <c r="P578" t="s">
        <v>24</v>
      </c>
      <c r="Q578" t="s">
        <v>25</v>
      </c>
      <c r="R578" t="s">
        <v>26</v>
      </c>
      <c r="S578" t="s">
        <v>30</v>
      </c>
      <c r="T578" t="s">
        <v>31</v>
      </c>
      <c r="U578">
        <f t="shared" ref="U578:U641" si="9">IF(K578=M578,1,0)</f>
        <v>0</v>
      </c>
    </row>
    <row r="579" spans="1:21" x14ac:dyDescent="0.2">
      <c r="A579">
        <v>810</v>
      </c>
      <c r="B579" t="s">
        <v>42</v>
      </c>
      <c r="C579" t="s">
        <v>32</v>
      </c>
      <c r="D579">
        <v>51</v>
      </c>
      <c r="E579">
        <v>5</v>
      </c>
      <c r="F579">
        <v>0</v>
      </c>
      <c r="G579">
        <v>2</v>
      </c>
      <c r="H579" t="s">
        <v>23</v>
      </c>
      <c r="I579" t="s">
        <v>22</v>
      </c>
      <c r="J579">
        <v>184524.74</v>
      </c>
      <c r="K579" t="s">
        <v>23</v>
      </c>
      <c r="L579">
        <v>0.1845682592867674</v>
      </c>
      <c r="M579" t="s">
        <v>23</v>
      </c>
      <c r="N579">
        <v>0</v>
      </c>
      <c r="O579">
        <v>0</v>
      </c>
      <c r="P579" t="s">
        <v>34</v>
      </c>
      <c r="Q579" t="s">
        <v>44</v>
      </c>
      <c r="R579" t="s">
        <v>29</v>
      </c>
      <c r="S579" t="s">
        <v>39</v>
      </c>
      <c r="T579" t="s">
        <v>31</v>
      </c>
      <c r="U579">
        <f t="shared" si="9"/>
        <v>1</v>
      </c>
    </row>
    <row r="580" spans="1:21" x14ac:dyDescent="0.2">
      <c r="A580">
        <v>625</v>
      </c>
      <c r="B580" t="s">
        <v>42</v>
      </c>
      <c r="C580" t="s">
        <v>32</v>
      </c>
      <c r="D580">
        <v>39</v>
      </c>
      <c r="E580">
        <v>3</v>
      </c>
      <c r="F580">
        <v>130786.92</v>
      </c>
      <c r="G580">
        <v>1</v>
      </c>
      <c r="H580" t="s">
        <v>23</v>
      </c>
      <c r="I580" t="s">
        <v>22</v>
      </c>
      <c r="J580">
        <v>121316.07</v>
      </c>
      <c r="K580" t="s">
        <v>23</v>
      </c>
      <c r="L580">
        <v>0.142004437717834</v>
      </c>
      <c r="M580" t="s">
        <v>23</v>
      </c>
      <c r="N580">
        <v>0</v>
      </c>
      <c r="O580">
        <v>0</v>
      </c>
      <c r="P580" t="s">
        <v>34</v>
      </c>
      <c r="Q580" t="s">
        <v>33</v>
      </c>
      <c r="R580" t="s">
        <v>26</v>
      </c>
      <c r="S580" t="s">
        <v>27</v>
      </c>
      <c r="T580" t="s">
        <v>28</v>
      </c>
      <c r="U580">
        <f t="shared" si="9"/>
        <v>1</v>
      </c>
    </row>
    <row r="581" spans="1:21" x14ac:dyDescent="0.2">
      <c r="A581">
        <v>648</v>
      </c>
      <c r="B581" t="s">
        <v>41</v>
      </c>
      <c r="C581" t="s">
        <v>21</v>
      </c>
      <c r="D581">
        <v>41</v>
      </c>
      <c r="E581">
        <v>5</v>
      </c>
      <c r="F581">
        <v>123049.21</v>
      </c>
      <c r="G581">
        <v>1</v>
      </c>
      <c r="H581" t="s">
        <v>23</v>
      </c>
      <c r="I581" t="s">
        <v>22</v>
      </c>
      <c r="J581">
        <v>5066.76</v>
      </c>
      <c r="K581" t="s">
        <v>23</v>
      </c>
      <c r="L581">
        <v>0.17502765212656529</v>
      </c>
      <c r="M581" t="s">
        <v>23</v>
      </c>
      <c r="N581">
        <v>0</v>
      </c>
      <c r="O581">
        <v>0</v>
      </c>
      <c r="P581" t="s">
        <v>34</v>
      </c>
      <c r="Q581" t="s">
        <v>25</v>
      </c>
      <c r="R581" t="s">
        <v>26</v>
      </c>
      <c r="S581" t="s">
        <v>27</v>
      </c>
      <c r="T581" t="s">
        <v>35</v>
      </c>
      <c r="U581">
        <f t="shared" si="9"/>
        <v>1</v>
      </c>
    </row>
    <row r="582" spans="1:21" x14ac:dyDescent="0.2">
      <c r="A582">
        <v>759</v>
      </c>
      <c r="B582" t="s">
        <v>42</v>
      </c>
      <c r="C582" t="s">
        <v>32</v>
      </c>
      <c r="D582">
        <v>39</v>
      </c>
      <c r="E582">
        <v>6</v>
      </c>
      <c r="F582">
        <v>0</v>
      </c>
      <c r="G582">
        <v>2</v>
      </c>
      <c r="H582" t="s">
        <v>22</v>
      </c>
      <c r="I582" t="s">
        <v>22</v>
      </c>
      <c r="J582">
        <v>140497.67000000001</v>
      </c>
      <c r="K582" t="s">
        <v>23</v>
      </c>
      <c r="L582">
        <v>8.2040451359465999E-2</v>
      </c>
      <c r="M582" t="s">
        <v>23</v>
      </c>
      <c r="N582">
        <v>0</v>
      </c>
      <c r="O582">
        <v>0</v>
      </c>
      <c r="P582" t="s">
        <v>34</v>
      </c>
      <c r="Q582" t="s">
        <v>33</v>
      </c>
      <c r="R582" t="s">
        <v>29</v>
      </c>
      <c r="S582" t="s">
        <v>37</v>
      </c>
      <c r="T582" t="s">
        <v>28</v>
      </c>
      <c r="U582">
        <f t="shared" si="9"/>
        <v>1</v>
      </c>
    </row>
    <row r="583" spans="1:21" x14ac:dyDescent="0.2">
      <c r="A583">
        <v>787</v>
      </c>
      <c r="B583" t="s">
        <v>42</v>
      </c>
      <c r="C583" t="s">
        <v>32</v>
      </c>
      <c r="D583">
        <v>85</v>
      </c>
      <c r="E583">
        <v>10</v>
      </c>
      <c r="F583">
        <v>0</v>
      </c>
      <c r="G583">
        <v>2</v>
      </c>
      <c r="H583" t="s">
        <v>22</v>
      </c>
      <c r="I583" t="s">
        <v>22</v>
      </c>
      <c r="J583">
        <v>116537.96</v>
      </c>
      <c r="K583" t="s">
        <v>23</v>
      </c>
      <c r="L583">
        <v>0.70615912381607038</v>
      </c>
      <c r="M583" t="s">
        <v>22</v>
      </c>
      <c r="N583">
        <v>0</v>
      </c>
      <c r="O583">
        <v>1</v>
      </c>
      <c r="P583" t="s">
        <v>43</v>
      </c>
      <c r="Q583" t="s">
        <v>46</v>
      </c>
      <c r="R583" t="s">
        <v>29</v>
      </c>
      <c r="S583" t="s">
        <v>37</v>
      </c>
      <c r="T583" t="s">
        <v>28</v>
      </c>
      <c r="U583">
        <f t="shared" si="9"/>
        <v>0</v>
      </c>
    </row>
    <row r="584" spans="1:21" x14ac:dyDescent="0.2">
      <c r="A584">
        <v>659</v>
      </c>
      <c r="B584" t="s">
        <v>42</v>
      </c>
      <c r="C584" t="s">
        <v>21</v>
      </c>
      <c r="D584">
        <v>43</v>
      </c>
      <c r="E584">
        <v>1</v>
      </c>
      <c r="F584">
        <v>106086.42</v>
      </c>
      <c r="G584">
        <v>2</v>
      </c>
      <c r="H584" t="s">
        <v>22</v>
      </c>
      <c r="I584" t="s">
        <v>23</v>
      </c>
      <c r="J584">
        <v>26900.63</v>
      </c>
      <c r="K584" t="s">
        <v>23</v>
      </c>
      <c r="L584">
        <v>0.23200853894881771</v>
      </c>
      <c r="M584" t="s">
        <v>23</v>
      </c>
      <c r="N584">
        <v>0</v>
      </c>
      <c r="O584">
        <v>0</v>
      </c>
      <c r="P584" t="s">
        <v>24</v>
      </c>
      <c r="Q584" t="s">
        <v>25</v>
      </c>
      <c r="R584" t="s">
        <v>26</v>
      </c>
      <c r="S584" t="s">
        <v>27</v>
      </c>
      <c r="T584" t="s">
        <v>35</v>
      </c>
      <c r="U584">
        <f t="shared" si="9"/>
        <v>1</v>
      </c>
    </row>
    <row r="585" spans="1:21" x14ac:dyDescent="0.2">
      <c r="A585">
        <v>671</v>
      </c>
      <c r="B585" t="s">
        <v>42</v>
      </c>
      <c r="C585" t="s">
        <v>21</v>
      </c>
      <c r="D585">
        <v>34</v>
      </c>
      <c r="E585">
        <v>7</v>
      </c>
      <c r="F585">
        <v>106603.74</v>
      </c>
      <c r="G585">
        <v>2</v>
      </c>
      <c r="H585" t="s">
        <v>22</v>
      </c>
      <c r="I585" t="s">
        <v>22</v>
      </c>
      <c r="J585">
        <v>26387.71</v>
      </c>
      <c r="K585" t="s">
        <v>23</v>
      </c>
      <c r="L585">
        <v>4.3990683407031987E-2</v>
      </c>
      <c r="M585" t="s">
        <v>23</v>
      </c>
      <c r="N585">
        <v>0</v>
      </c>
      <c r="O585">
        <v>0</v>
      </c>
      <c r="P585" t="s">
        <v>34</v>
      </c>
      <c r="Q585" t="s">
        <v>33</v>
      </c>
      <c r="R585" t="s">
        <v>26</v>
      </c>
      <c r="S585" t="s">
        <v>27</v>
      </c>
      <c r="T585" t="s">
        <v>35</v>
      </c>
      <c r="U585">
        <f t="shared" si="9"/>
        <v>1</v>
      </c>
    </row>
    <row r="586" spans="1:21" x14ac:dyDescent="0.2">
      <c r="A586">
        <v>636</v>
      </c>
      <c r="B586" t="s">
        <v>42</v>
      </c>
      <c r="C586" t="s">
        <v>32</v>
      </c>
      <c r="D586">
        <v>38</v>
      </c>
      <c r="E586">
        <v>1</v>
      </c>
      <c r="F586">
        <v>0</v>
      </c>
      <c r="G586">
        <v>1</v>
      </c>
      <c r="H586" t="s">
        <v>22</v>
      </c>
      <c r="I586" t="s">
        <v>23</v>
      </c>
      <c r="J586">
        <v>45015.38</v>
      </c>
      <c r="K586" t="s">
        <v>23</v>
      </c>
      <c r="L586">
        <v>0.23779955471663949</v>
      </c>
      <c r="M586" t="s">
        <v>23</v>
      </c>
      <c r="N586">
        <v>0</v>
      </c>
      <c r="O586">
        <v>0</v>
      </c>
      <c r="P586" t="s">
        <v>24</v>
      </c>
      <c r="Q586" t="s">
        <v>33</v>
      </c>
      <c r="R586" t="s">
        <v>29</v>
      </c>
      <c r="S586" t="s">
        <v>27</v>
      </c>
      <c r="T586" t="s">
        <v>35</v>
      </c>
      <c r="U586">
        <f t="shared" si="9"/>
        <v>1</v>
      </c>
    </row>
    <row r="587" spans="1:21" x14ac:dyDescent="0.2">
      <c r="A587">
        <v>601</v>
      </c>
      <c r="B587" t="s">
        <v>42</v>
      </c>
      <c r="C587" t="s">
        <v>32</v>
      </c>
      <c r="D587">
        <v>34</v>
      </c>
      <c r="E587">
        <v>5</v>
      </c>
      <c r="F587">
        <v>0</v>
      </c>
      <c r="G587">
        <v>2</v>
      </c>
      <c r="H587" t="s">
        <v>22</v>
      </c>
      <c r="I587" t="s">
        <v>23</v>
      </c>
      <c r="J587">
        <v>27022.57</v>
      </c>
      <c r="K587" t="s">
        <v>23</v>
      </c>
      <c r="L587">
        <v>0.16391927707197429</v>
      </c>
      <c r="M587" t="s">
        <v>23</v>
      </c>
      <c r="N587">
        <v>0</v>
      </c>
      <c r="O587">
        <v>0</v>
      </c>
      <c r="P587" t="s">
        <v>34</v>
      </c>
      <c r="Q587" t="s">
        <v>33</v>
      </c>
      <c r="R587" t="s">
        <v>29</v>
      </c>
      <c r="S587" t="s">
        <v>27</v>
      </c>
      <c r="T587" t="s">
        <v>35</v>
      </c>
      <c r="U587">
        <f t="shared" si="9"/>
        <v>1</v>
      </c>
    </row>
    <row r="588" spans="1:21" x14ac:dyDescent="0.2">
      <c r="A588">
        <v>631</v>
      </c>
      <c r="B588" t="s">
        <v>42</v>
      </c>
      <c r="C588" t="s">
        <v>32</v>
      </c>
      <c r="D588">
        <v>33</v>
      </c>
      <c r="E588">
        <v>8</v>
      </c>
      <c r="F588">
        <v>0</v>
      </c>
      <c r="G588">
        <v>2</v>
      </c>
      <c r="H588" t="s">
        <v>23</v>
      </c>
      <c r="I588" t="s">
        <v>23</v>
      </c>
      <c r="J588">
        <v>117374.22</v>
      </c>
      <c r="K588" t="s">
        <v>23</v>
      </c>
      <c r="L588">
        <v>0.15437204050477249</v>
      </c>
      <c r="M588" t="s">
        <v>23</v>
      </c>
      <c r="N588">
        <v>0</v>
      </c>
      <c r="O588">
        <v>0</v>
      </c>
      <c r="P588" t="s">
        <v>34</v>
      </c>
      <c r="Q588" t="s">
        <v>33</v>
      </c>
      <c r="R588" t="s">
        <v>29</v>
      </c>
      <c r="S588" t="s">
        <v>27</v>
      </c>
      <c r="T588" t="s">
        <v>28</v>
      </c>
      <c r="U588">
        <f t="shared" si="9"/>
        <v>1</v>
      </c>
    </row>
    <row r="589" spans="1:21" x14ac:dyDescent="0.2">
      <c r="A589">
        <v>569</v>
      </c>
      <c r="B589" t="s">
        <v>42</v>
      </c>
      <c r="C589" t="s">
        <v>32</v>
      </c>
      <c r="D589">
        <v>43</v>
      </c>
      <c r="E589">
        <v>7</v>
      </c>
      <c r="F589">
        <v>0</v>
      </c>
      <c r="G589">
        <v>2</v>
      </c>
      <c r="H589" t="s">
        <v>22</v>
      </c>
      <c r="I589" t="s">
        <v>22</v>
      </c>
      <c r="J589">
        <v>77703.19</v>
      </c>
      <c r="K589" t="s">
        <v>23</v>
      </c>
      <c r="L589">
        <v>0.1148280584839356</v>
      </c>
      <c r="M589" t="s">
        <v>23</v>
      </c>
      <c r="N589">
        <v>0</v>
      </c>
      <c r="O589">
        <v>0</v>
      </c>
      <c r="P589" t="s">
        <v>34</v>
      </c>
      <c r="Q589" t="s">
        <v>25</v>
      </c>
      <c r="R589" t="s">
        <v>29</v>
      </c>
      <c r="S589" t="s">
        <v>30</v>
      </c>
      <c r="T589" t="s">
        <v>40</v>
      </c>
      <c r="U589">
        <f t="shared" si="9"/>
        <v>1</v>
      </c>
    </row>
    <row r="590" spans="1:21" x14ac:dyDescent="0.2">
      <c r="A590">
        <v>584</v>
      </c>
      <c r="B590" t="s">
        <v>41</v>
      </c>
      <c r="C590" t="s">
        <v>21</v>
      </c>
      <c r="D590">
        <v>33</v>
      </c>
      <c r="E590">
        <v>3</v>
      </c>
      <c r="F590">
        <v>88311.48</v>
      </c>
      <c r="G590">
        <v>2</v>
      </c>
      <c r="H590" t="s">
        <v>22</v>
      </c>
      <c r="I590" t="s">
        <v>22</v>
      </c>
      <c r="J590">
        <v>177651.38</v>
      </c>
      <c r="K590" t="s">
        <v>23</v>
      </c>
      <c r="L590">
        <v>0.1008543495812792</v>
      </c>
      <c r="M590" t="s">
        <v>23</v>
      </c>
      <c r="N590">
        <v>0</v>
      </c>
      <c r="O590">
        <v>0</v>
      </c>
      <c r="P590" t="s">
        <v>34</v>
      </c>
      <c r="Q590" t="s">
        <v>33</v>
      </c>
      <c r="R590" t="s">
        <v>38</v>
      </c>
      <c r="S590" t="s">
        <v>30</v>
      </c>
      <c r="T590" t="s">
        <v>31</v>
      </c>
      <c r="U590">
        <f t="shared" si="9"/>
        <v>1</v>
      </c>
    </row>
    <row r="591" spans="1:21" x14ac:dyDescent="0.2">
      <c r="A591">
        <v>506</v>
      </c>
      <c r="B591" t="s">
        <v>20</v>
      </c>
      <c r="C591" t="s">
        <v>21</v>
      </c>
      <c r="D591">
        <v>35</v>
      </c>
      <c r="E591">
        <v>6</v>
      </c>
      <c r="F591">
        <v>110046.93</v>
      </c>
      <c r="G591">
        <v>2</v>
      </c>
      <c r="H591" t="s">
        <v>22</v>
      </c>
      <c r="I591" t="s">
        <v>23</v>
      </c>
      <c r="J591">
        <v>26318.73</v>
      </c>
      <c r="K591" t="s">
        <v>23</v>
      </c>
      <c r="L591">
        <v>0.1501277719640014</v>
      </c>
      <c r="M591" t="s">
        <v>23</v>
      </c>
      <c r="N591">
        <v>0</v>
      </c>
      <c r="O591">
        <v>0</v>
      </c>
      <c r="P591" t="s">
        <v>34</v>
      </c>
      <c r="Q591" t="s">
        <v>33</v>
      </c>
      <c r="R591" t="s">
        <v>26</v>
      </c>
      <c r="S591" t="s">
        <v>30</v>
      </c>
      <c r="T591" t="s">
        <v>35</v>
      </c>
      <c r="U591">
        <f t="shared" si="9"/>
        <v>1</v>
      </c>
    </row>
    <row r="592" spans="1:21" x14ac:dyDescent="0.2">
      <c r="A592">
        <v>503</v>
      </c>
      <c r="B592" t="s">
        <v>42</v>
      </c>
      <c r="C592" t="s">
        <v>32</v>
      </c>
      <c r="D592">
        <v>28</v>
      </c>
      <c r="E592">
        <v>5</v>
      </c>
      <c r="F592">
        <v>0</v>
      </c>
      <c r="G592">
        <v>2</v>
      </c>
      <c r="H592" t="s">
        <v>22</v>
      </c>
      <c r="I592" t="s">
        <v>23</v>
      </c>
      <c r="J592">
        <v>125918.17</v>
      </c>
      <c r="K592" t="s">
        <v>23</v>
      </c>
      <c r="L592">
        <v>0.12453892648736289</v>
      </c>
      <c r="M592" t="s">
        <v>23</v>
      </c>
      <c r="N592">
        <v>0</v>
      </c>
      <c r="O592">
        <v>0</v>
      </c>
      <c r="P592" t="s">
        <v>34</v>
      </c>
      <c r="Q592" t="s">
        <v>36</v>
      </c>
      <c r="R592" t="s">
        <v>29</v>
      </c>
      <c r="S592" t="s">
        <v>30</v>
      </c>
      <c r="T592" t="s">
        <v>28</v>
      </c>
      <c r="U592">
        <f t="shared" si="9"/>
        <v>1</v>
      </c>
    </row>
    <row r="593" spans="1:21" x14ac:dyDescent="0.2">
      <c r="A593">
        <v>798</v>
      </c>
      <c r="B593" t="s">
        <v>42</v>
      </c>
      <c r="C593" t="s">
        <v>21</v>
      </c>
      <c r="D593">
        <v>32</v>
      </c>
      <c r="E593">
        <v>7</v>
      </c>
      <c r="F593">
        <v>0</v>
      </c>
      <c r="G593">
        <v>2</v>
      </c>
      <c r="H593" t="s">
        <v>23</v>
      </c>
      <c r="I593" t="s">
        <v>22</v>
      </c>
      <c r="J593">
        <v>37731.949999999997</v>
      </c>
      <c r="K593" t="s">
        <v>23</v>
      </c>
      <c r="L593">
        <v>2.7856550412847091E-2</v>
      </c>
      <c r="M593" t="s">
        <v>23</v>
      </c>
      <c r="N593">
        <v>0</v>
      </c>
      <c r="O593">
        <v>0</v>
      </c>
      <c r="P593" t="s">
        <v>34</v>
      </c>
      <c r="Q593" t="s">
        <v>33</v>
      </c>
      <c r="R593" t="s">
        <v>29</v>
      </c>
      <c r="S593" t="s">
        <v>37</v>
      </c>
      <c r="T593" t="s">
        <v>35</v>
      </c>
      <c r="U593">
        <f t="shared" si="9"/>
        <v>1</v>
      </c>
    </row>
    <row r="594" spans="1:21" x14ac:dyDescent="0.2">
      <c r="A594">
        <v>439</v>
      </c>
      <c r="B594" t="s">
        <v>42</v>
      </c>
      <c r="C594" t="s">
        <v>21</v>
      </c>
      <c r="D594">
        <v>36</v>
      </c>
      <c r="E594">
        <v>2</v>
      </c>
      <c r="F594">
        <v>165536.28</v>
      </c>
      <c r="G594">
        <v>2</v>
      </c>
      <c r="H594" t="s">
        <v>22</v>
      </c>
      <c r="I594" t="s">
        <v>22</v>
      </c>
      <c r="J594">
        <v>123956.83</v>
      </c>
      <c r="K594" t="s">
        <v>23</v>
      </c>
      <c r="L594">
        <v>7.842676268434208E-2</v>
      </c>
      <c r="M594" t="s">
        <v>23</v>
      </c>
      <c r="N594">
        <v>0</v>
      </c>
      <c r="O594">
        <v>0</v>
      </c>
      <c r="P594" t="s">
        <v>34</v>
      </c>
      <c r="Q594" t="s">
        <v>33</v>
      </c>
      <c r="R594" t="s">
        <v>47</v>
      </c>
      <c r="S594" t="s">
        <v>45</v>
      </c>
      <c r="T594" t="s">
        <v>28</v>
      </c>
      <c r="U594">
        <f t="shared" si="9"/>
        <v>1</v>
      </c>
    </row>
    <row r="595" spans="1:21" x14ac:dyDescent="0.2">
      <c r="A595">
        <v>480</v>
      </c>
      <c r="B595" t="s">
        <v>41</v>
      </c>
      <c r="C595" t="s">
        <v>32</v>
      </c>
      <c r="D595">
        <v>25</v>
      </c>
      <c r="E595">
        <v>3</v>
      </c>
      <c r="F595">
        <v>174330.35</v>
      </c>
      <c r="G595">
        <v>2</v>
      </c>
      <c r="H595" t="s">
        <v>23</v>
      </c>
      <c r="I595" t="s">
        <v>23</v>
      </c>
      <c r="J595">
        <v>181647.13</v>
      </c>
      <c r="K595" t="s">
        <v>23</v>
      </c>
      <c r="L595">
        <v>0.30725604409586171</v>
      </c>
      <c r="M595" t="s">
        <v>23</v>
      </c>
      <c r="N595">
        <v>0</v>
      </c>
      <c r="O595">
        <v>0</v>
      </c>
      <c r="P595" t="s">
        <v>24</v>
      </c>
      <c r="Q595" t="s">
        <v>36</v>
      </c>
      <c r="R595" t="s">
        <v>47</v>
      </c>
      <c r="S595" t="s">
        <v>45</v>
      </c>
      <c r="T595" t="s">
        <v>31</v>
      </c>
      <c r="U595">
        <f t="shared" si="9"/>
        <v>1</v>
      </c>
    </row>
    <row r="596" spans="1:21" x14ac:dyDescent="0.2">
      <c r="A596">
        <v>613</v>
      </c>
      <c r="B596" t="s">
        <v>41</v>
      </c>
      <c r="C596" t="s">
        <v>21</v>
      </c>
      <c r="D596">
        <v>59</v>
      </c>
      <c r="E596">
        <v>8</v>
      </c>
      <c r="F596">
        <v>91415.76</v>
      </c>
      <c r="G596">
        <v>1</v>
      </c>
      <c r="H596" t="s">
        <v>23</v>
      </c>
      <c r="I596" t="s">
        <v>23</v>
      </c>
      <c r="J596">
        <v>27965</v>
      </c>
      <c r="K596" t="s">
        <v>22</v>
      </c>
      <c r="L596">
        <v>0.68287785885920638</v>
      </c>
      <c r="M596" t="s">
        <v>22</v>
      </c>
      <c r="N596">
        <v>1</v>
      </c>
      <c r="O596">
        <v>1</v>
      </c>
      <c r="P596" t="s">
        <v>43</v>
      </c>
      <c r="Q596" t="s">
        <v>44</v>
      </c>
      <c r="R596" t="s">
        <v>38</v>
      </c>
      <c r="S596" t="s">
        <v>27</v>
      </c>
      <c r="T596" t="s">
        <v>35</v>
      </c>
      <c r="U596">
        <f t="shared" si="9"/>
        <v>1</v>
      </c>
    </row>
    <row r="597" spans="1:21" x14ac:dyDescent="0.2">
      <c r="A597">
        <v>476</v>
      </c>
      <c r="B597" t="s">
        <v>41</v>
      </c>
      <c r="C597" t="s">
        <v>21</v>
      </c>
      <c r="D597">
        <v>30</v>
      </c>
      <c r="E597">
        <v>3</v>
      </c>
      <c r="F597">
        <v>134366.42000000001</v>
      </c>
      <c r="G597">
        <v>1</v>
      </c>
      <c r="H597" t="s">
        <v>22</v>
      </c>
      <c r="I597" t="s">
        <v>23</v>
      </c>
      <c r="J597">
        <v>68343.53</v>
      </c>
      <c r="K597" t="s">
        <v>23</v>
      </c>
      <c r="L597">
        <v>0.25288421411314033</v>
      </c>
      <c r="M597" t="s">
        <v>23</v>
      </c>
      <c r="N597">
        <v>0</v>
      </c>
      <c r="O597">
        <v>0</v>
      </c>
      <c r="P597" t="s">
        <v>24</v>
      </c>
      <c r="Q597" t="s">
        <v>36</v>
      </c>
      <c r="R597" t="s">
        <v>26</v>
      </c>
      <c r="S597" t="s">
        <v>45</v>
      </c>
      <c r="T597" t="s">
        <v>40</v>
      </c>
      <c r="U597">
        <f t="shared" si="9"/>
        <v>1</v>
      </c>
    </row>
    <row r="598" spans="1:21" x14ac:dyDescent="0.2">
      <c r="A598">
        <v>539</v>
      </c>
      <c r="B598" t="s">
        <v>42</v>
      </c>
      <c r="C598" t="s">
        <v>32</v>
      </c>
      <c r="D598">
        <v>24</v>
      </c>
      <c r="E598">
        <v>3</v>
      </c>
      <c r="F598">
        <v>0</v>
      </c>
      <c r="G598">
        <v>2</v>
      </c>
      <c r="H598" t="s">
        <v>22</v>
      </c>
      <c r="I598" t="s">
        <v>22</v>
      </c>
      <c r="J598">
        <v>198161.07</v>
      </c>
      <c r="K598" t="s">
        <v>23</v>
      </c>
      <c r="L598">
        <v>3.6232216348245132E-2</v>
      </c>
      <c r="M598" t="s">
        <v>23</v>
      </c>
      <c r="N598">
        <v>0</v>
      </c>
      <c r="O598">
        <v>0</v>
      </c>
      <c r="P598" t="s">
        <v>34</v>
      </c>
      <c r="Q598" t="s">
        <v>36</v>
      </c>
      <c r="R598" t="s">
        <v>29</v>
      </c>
      <c r="S598" t="s">
        <v>30</v>
      </c>
      <c r="T598" t="s">
        <v>31</v>
      </c>
      <c r="U598">
        <f t="shared" si="9"/>
        <v>1</v>
      </c>
    </row>
    <row r="599" spans="1:21" x14ac:dyDescent="0.2">
      <c r="A599">
        <v>696</v>
      </c>
      <c r="B599" t="s">
        <v>20</v>
      </c>
      <c r="C599" t="s">
        <v>21</v>
      </c>
      <c r="D599">
        <v>60</v>
      </c>
      <c r="E599">
        <v>8</v>
      </c>
      <c r="F599">
        <v>88786.81</v>
      </c>
      <c r="G599">
        <v>1</v>
      </c>
      <c r="H599" t="s">
        <v>22</v>
      </c>
      <c r="I599" t="s">
        <v>22</v>
      </c>
      <c r="J599">
        <v>196858.4</v>
      </c>
      <c r="K599" t="s">
        <v>23</v>
      </c>
      <c r="L599">
        <v>0.26877763290461831</v>
      </c>
      <c r="M599" t="s">
        <v>23</v>
      </c>
      <c r="N599">
        <v>0</v>
      </c>
      <c r="O599">
        <v>0</v>
      </c>
      <c r="P599" t="s">
        <v>24</v>
      </c>
      <c r="Q599" t="s">
        <v>44</v>
      </c>
      <c r="R599" t="s">
        <v>38</v>
      </c>
      <c r="S599" t="s">
        <v>27</v>
      </c>
      <c r="T599" t="s">
        <v>31</v>
      </c>
      <c r="U599">
        <f t="shared" si="9"/>
        <v>1</v>
      </c>
    </row>
    <row r="600" spans="1:21" x14ac:dyDescent="0.2">
      <c r="A600">
        <v>763</v>
      </c>
      <c r="B600" t="s">
        <v>41</v>
      </c>
      <c r="C600" t="s">
        <v>21</v>
      </c>
      <c r="D600">
        <v>32</v>
      </c>
      <c r="E600">
        <v>9</v>
      </c>
      <c r="F600">
        <v>160680.41</v>
      </c>
      <c r="G600">
        <v>1</v>
      </c>
      <c r="H600" t="s">
        <v>22</v>
      </c>
      <c r="I600" t="s">
        <v>23</v>
      </c>
      <c r="J600">
        <v>30886.35</v>
      </c>
      <c r="K600" t="s">
        <v>23</v>
      </c>
      <c r="L600">
        <v>0.23050139044969581</v>
      </c>
      <c r="M600" t="s">
        <v>23</v>
      </c>
      <c r="N600">
        <v>0</v>
      </c>
      <c r="O600">
        <v>0</v>
      </c>
      <c r="P600" t="s">
        <v>24</v>
      </c>
      <c r="Q600" t="s">
        <v>33</v>
      </c>
      <c r="R600" t="s">
        <v>47</v>
      </c>
      <c r="S600" t="s">
        <v>37</v>
      </c>
      <c r="T600" t="s">
        <v>35</v>
      </c>
      <c r="U600">
        <f t="shared" si="9"/>
        <v>1</v>
      </c>
    </row>
    <row r="601" spans="1:21" x14ac:dyDescent="0.2">
      <c r="A601">
        <v>698</v>
      </c>
      <c r="B601" t="s">
        <v>42</v>
      </c>
      <c r="C601" t="s">
        <v>32</v>
      </c>
      <c r="D601">
        <v>40</v>
      </c>
      <c r="E601">
        <v>7</v>
      </c>
      <c r="F601">
        <v>105061.74</v>
      </c>
      <c r="G601">
        <v>3</v>
      </c>
      <c r="H601" t="s">
        <v>22</v>
      </c>
      <c r="I601" t="s">
        <v>23</v>
      </c>
      <c r="J601">
        <v>107815.31</v>
      </c>
      <c r="K601" t="s">
        <v>22</v>
      </c>
      <c r="L601">
        <v>0.25384015647470498</v>
      </c>
      <c r="M601" t="s">
        <v>23</v>
      </c>
      <c r="N601">
        <v>1</v>
      </c>
      <c r="O601">
        <v>0</v>
      </c>
      <c r="P601" t="s">
        <v>24</v>
      </c>
      <c r="Q601" t="s">
        <v>33</v>
      </c>
      <c r="R601" t="s">
        <v>26</v>
      </c>
      <c r="S601" t="s">
        <v>27</v>
      </c>
      <c r="T601" t="s">
        <v>28</v>
      </c>
      <c r="U601">
        <f t="shared" si="9"/>
        <v>0</v>
      </c>
    </row>
    <row r="602" spans="1:21" x14ac:dyDescent="0.2">
      <c r="A602">
        <v>619</v>
      </c>
      <c r="B602" t="s">
        <v>42</v>
      </c>
      <c r="C602" t="s">
        <v>32</v>
      </c>
      <c r="D602">
        <v>40</v>
      </c>
      <c r="E602">
        <v>10</v>
      </c>
      <c r="F602">
        <v>0</v>
      </c>
      <c r="G602">
        <v>1</v>
      </c>
      <c r="H602" t="s">
        <v>22</v>
      </c>
      <c r="I602" t="s">
        <v>22</v>
      </c>
      <c r="J602">
        <v>147093.84</v>
      </c>
      <c r="K602" t="s">
        <v>22</v>
      </c>
      <c r="L602">
        <v>9.833423351148203E-2</v>
      </c>
      <c r="M602" t="s">
        <v>23</v>
      </c>
      <c r="N602">
        <v>1</v>
      </c>
      <c r="O602">
        <v>0</v>
      </c>
      <c r="P602" t="s">
        <v>34</v>
      </c>
      <c r="Q602" t="s">
        <v>33</v>
      </c>
      <c r="R602" t="s">
        <v>29</v>
      </c>
      <c r="S602" t="s">
        <v>27</v>
      </c>
      <c r="T602" t="s">
        <v>28</v>
      </c>
      <c r="U602">
        <f t="shared" si="9"/>
        <v>0</v>
      </c>
    </row>
    <row r="603" spans="1:21" x14ac:dyDescent="0.2">
      <c r="A603">
        <v>590</v>
      </c>
      <c r="B603" t="s">
        <v>20</v>
      </c>
      <c r="C603" t="s">
        <v>32</v>
      </c>
      <c r="D603">
        <v>23</v>
      </c>
      <c r="E603">
        <v>7</v>
      </c>
      <c r="F603">
        <v>0</v>
      </c>
      <c r="G603">
        <v>2</v>
      </c>
      <c r="H603" t="s">
        <v>22</v>
      </c>
      <c r="I603" t="s">
        <v>23</v>
      </c>
      <c r="J603">
        <v>196789.9</v>
      </c>
      <c r="K603" t="s">
        <v>23</v>
      </c>
      <c r="L603">
        <v>8.7717268415252708E-2</v>
      </c>
      <c r="M603" t="s">
        <v>23</v>
      </c>
      <c r="N603">
        <v>0</v>
      </c>
      <c r="O603">
        <v>0</v>
      </c>
      <c r="P603" t="s">
        <v>34</v>
      </c>
      <c r="Q603" t="s">
        <v>36</v>
      </c>
      <c r="R603" t="s">
        <v>29</v>
      </c>
      <c r="S603" t="s">
        <v>30</v>
      </c>
      <c r="T603" t="s">
        <v>31</v>
      </c>
      <c r="U603">
        <f t="shared" si="9"/>
        <v>1</v>
      </c>
    </row>
    <row r="604" spans="1:21" x14ac:dyDescent="0.2">
      <c r="A604">
        <v>634</v>
      </c>
      <c r="B604" t="s">
        <v>41</v>
      </c>
      <c r="C604" t="s">
        <v>21</v>
      </c>
      <c r="D604">
        <v>27</v>
      </c>
      <c r="E604">
        <v>3</v>
      </c>
      <c r="F604">
        <v>107027.52</v>
      </c>
      <c r="G604">
        <v>1</v>
      </c>
      <c r="H604" t="s">
        <v>22</v>
      </c>
      <c r="I604" t="s">
        <v>23</v>
      </c>
      <c r="J604">
        <v>173425.68</v>
      </c>
      <c r="K604" t="s">
        <v>23</v>
      </c>
      <c r="L604">
        <v>0.19361006352821261</v>
      </c>
      <c r="M604" t="s">
        <v>23</v>
      </c>
      <c r="N604">
        <v>0</v>
      </c>
      <c r="O604">
        <v>0</v>
      </c>
      <c r="P604" t="s">
        <v>34</v>
      </c>
      <c r="Q604" t="s">
        <v>36</v>
      </c>
      <c r="R604" t="s">
        <v>26</v>
      </c>
      <c r="S604" t="s">
        <v>27</v>
      </c>
      <c r="T604" t="s">
        <v>31</v>
      </c>
      <c r="U604">
        <f t="shared" si="9"/>
        <v>1</v>
      </c>
    </row>
    <row r="605" spans="1:21" x14ac:dyDescent="0.2">
      <c r="A605">
        <v>648</v>
      </c>
      <c r="B605" t="s">
        <v>41</v>
      </c>
      <c r="C605" t="s">
        <v>32</v>
      </c>
      <c r="D605">
        <v>39</v>
      </c>
      <c r="E605">
        <v>3</v>
      </c>
      <c r="F605">
        <v>126935.98</v>
      </c>
      <c r="G605">
        <v>2</v>
      </c>
      <c r="H605" t="s">
        <v>23</v>
      </c>
      <c r="I605" t="s">
        <v>22</v>
      </c>
      <c r="J605">
        <v>57995.74</v>
      </c>
      <c r="K605" t="s">
        <v>23</v>
      </c>
      <c r="L605">
        <v>0.23590398545207819</v>
      </c>
      <c r="M605" t="s">
        <v>23</v>
      </c>
      <c r="N605">
        <v>0</v>
      </c>
      <c r="O605">
        <v>0</v>
      </c>
      <c r="P605" t="s">
        <v>24</v>
      </c>
      <c r="Q605" t="s">
        <v>33</v>
      </c>
      <c r="R605" t="s">
        <v>26</v>
      </c>
      <c r="S605" t="s">
        <v>27</v>
      </c>
      <c r="T605" t="s">
        <v>40</v>
      </c>
      <c r="U605">
        <f t="shared" si="9"/>
        <v>1</v>
      </c>
    </row>
    <row r="606" spans="1:21" x14ac:dyDescent="0.2">
      <c r="A606">
        <v>682</v>
      </c>
      <c r="B606" t="s">
        <v>42</v>
      </c>
      <c r="C606" t="s">
        <v>32</v>
      </c>
      <c r="D606">
        <v>27</v>
      </c>
      <c r="E606">
        <v>1</v>
      </c>
      <c r="F606">
        <v>97893.2</v>
      </c>
      <c r="G606">
        <v>1</v>
      </c>
      <c r="H606" t="s">
        <v>22</v>
      </c>
      <c r="I606" t="s">
        <v>23</v>
      </c>
      <c r="J606">
        <v>166144.98000000001</v>
      </c>
      <c r="K606" t="s">
        <v>23</v>
      </c>
      <c r="L606">
        <v>0.15589877742285821</v>
      </c>
      <c r="M606" t="s">
        <v>23</v>
      </c>
      <c r="N606">
        <v>0</v>
      </c>
      <c r="O606">
        <v>0</v>
      </c>
      <c r="P606" t="s">
        <v>34</v>
      </c>
      <c r="Q606" t="s">
        <v>36</v>
      </c>
      <c r="R606" t="s">
        <v>38</v>
      </c>
      <c r="S606" t="s">
        <v>27</v>
      </c>
      <c r="T606" t="s">
        <v>31</v>
      </c>
      <c r="U606">
        <f t="shared" si="9"/>
        <v>1</v>
      </c>
    </row>
    <row r="607" spans="1:21" x14ac:dyDescent="0.2">
      <c r="A607">
        <v>664</v>
      </c>
      <c r="B607" t="s">
        <v>42</v>
      </c>
      <c r="C607" t="s">
        <v>21</v>
      </c>
      <c r="D607">
        <v>48</v>
      </c>
      <c r="E607">
        <v>10</v>
      </c>
      <c r="F607">
        <v>0</v>
      </c>
      <c r="G607">
        <v>1</v>
      </c>
      <c r="H607" t="s">
        <v>22</v>
      </c>
      <c r="I607" t="s">
        <v>23</v>
      </c>
      <c r="J607">
        <v>140173.17000000001</v>
      </c>
      <c r="K607" t="s">
        <v>22</v>
      </c>
      <c r="L607">
        <v>0.2466499910699691</v>
      </c>
      <c r="M607" t="s">
        <v>23</v>
      </c>
      <c r="N607">
        <v>1</v>
      </c>
      <c r="O607">
        <v>0</v>
      </c>
      <c r="P607" t="s">
        <v>24</v>
      </c>
      <c r="Q607" t="s">
        <v>25</v>
      </c>
      <c r="R607" t="s">
        <v>29</v>
      </c>
      <c r="S607" t="s">
        <v>27</v>
      </c>
      <c r="T607" t="s">
        <v>28</v>
      </c>
      <c r="U607">
        <f t="shared" si="9"/>
        <v>0</v>
      </c>
    </row>
    <row r="608" spans="1:21" x14ac:dyDescent="0.2">
      <c r="A608">
        <v>653</v>
      </c>
      <c r="B608" t="s">
        <v>20</v>
      </c>
      <c r="C608" t="s">
        <v>21</v>
      </c>
      <c r="D608">
        <v>30</v>
      </c>
      <c r="E608">
        <v>4</v>
      </c>
      <c r="F608">
        <v>0</v>
      </c>
      <c r="G608">
        <v>2</v>
      </c>
      <c r="H608" t="s">
        <v>22</v>
      </c>
      <c r="I608" t="s">
        <v>23</v>
      </c>
      <c r="J608">
        <v>120736.04</v>
      </c>
      <c r="K608" t="s">
        <v>23</v>
      </c>
      <c r="L608">
        <v>8.3313437445462699E-2</v>
      </c>
      <c r="M608" t="s">
        <v>23</v>
      </c>
      <c r="N608">
        <v>0</v>
      </c>
      <c r="O608">
        <v>0</v>
      </c>
      <c r="P608" t="s">
        <v>34</v>
      </c>
      <c r="Q608" t="s">
        <v>36</v>
      </c>
      <c r="R608" t="s">
        <v>29</v>
      </c>
      <c r="S608" t="s">
        <v>27</v>
      </c>
      <c r="T608" t="s">
        <v>28</v>
      </c>
      <c r="U608">
        <f t="shared" si="9"/>
        <v>1</v>
      </c>
    </row>
    <row r="609" spans="1:21" x14ac:dyDescent="0.2">
      <c r="A609">
        <v>697</v>
      </c>
      <c r="B609" t="s">
        <v>42</v>
      </c>
      <c r="C609" t="s">
        <v>32</v>
      </c>
      <c r="D609">
        <v>76</v>
      </c>
      <c r="E609">
        <v>7</v>
      </c>
      <c r="F609">
        <v>0</v>
      </c>
      <c r="G609">
        <v>2</v>
      </c>
      <c r="H609" t="s">
        <v>23</v>
      </c>
      <c r="I609" t="s">
        <v>22</v>
      </c>
      <c r="J609">
        <v>188772.45</v>
      </c>
      <c r="K609" t="s">
        <v>23</v>
      </c>
      <c r="L609">
        <v>0.5999276803607283</v>
      </c>
      <c r="M609" t="s">
        <v>22</v>
      </c>
      <c r="N609">
        <v>0</v>
      </c>
      <c r="O609">
        <v>1</v>
      </c>
      <c r="P609" t="s">
        <v>43</v>
      </c>
      <c r="Q609" t="s">
        <v>46</v>
      </c>
      <c r="R609" t="s">
        <v>29</v>
      </c>
      <c r="S609" t="s">
        <v>27</v>
      </c>
      <c r="T609" t="s">
        <v>31</v>
      </c>
      <c r="U609">
        <f t="shared" si="9"/>
        <v>0</v>
      </c>
    </row>
    <row r="610" spans="1:21" x14ac:dyDescent="0.2">
      <c r="A610">
        <v>648</v>
      </c>
      <c r="B610" t="s">
        <v>20</v>
      </c>
      <c r="C610" t="s">
        <v>21</v>
      </c>
      <c r="D610">
        <v>55</v>
      </c>
      <c r="E610">
        <v>1</v>
      </c>
      <c r="F610">
        <v>81370.070000000007</v>
      </c>
      <c r="G610">
        <v>1</v>
      </c>
      <c r="H610" t="s">
        <v>23</v>
      </c>
      <c r="I610" t="s">
        <v>22</v>
      </c>
      <c r="J610">
        <v>181534.04</v>
      </c>
      <c r="K610" t="s">
        <v>23</v>
      </c>
      <c r="L610">
        <v>0.23243092491909831</v>
      </c>
      <c r="M610" t="s">
        <v>23</v>
      </c>
      <c r="N610">
        <v>0</v>
      </c>
      <c r="O610">
        <v>0</v>
      </c>
      <c r="P610" t="s">
        <v>24</v>
      </c>
      <c r="Q610" t="s">
        <v>44</v>
      </c>
      <c r="R610" t="s">
        <v>38</v>
      </c>
      <c r="S610" t="s">
        <v>27</v>
      </c>
      <c r="T610" t="s">
        <v>31</v>
      </c>
      <c r="U610">
        <f t="shared" si="9"/>
        <v>1</v>
      </c>
    </row>
    <row r="611" spans="1:21" x14ac:dyDescent="0.2">
      <c r="A611">
        <v>644</v>
      </c>
      <c r="B611" t="s">
        <v>42</v>
      </c>
      <c r="C611" t="s">
        <v>32</v>
      </c>
      <c r="D611">
        <v>40</v>
      </c>
      <c r="E611">
        <v>9</v>
      </c>
      <c r="F611">
        <v>137285.26</v>
      </c>
      <c r="G611">
        <v>4</v>
      </c>
      <c r="H611" t="s">
        <v>22</v>
      </c>
      <c r="I611" t="s">
        <v>23</v>
      </c>
      <c r="J611">
        <v>77063.63</v>
      </c>
      <c r="K611" t="s">
        <v>22</v>
      </c>
      <c r="L611">
        <v>0.24643366963070129</v>
      </c>
      <c r="M611" t="s">
        <v>23</v>
      </c>
      <c r="N611">
        <v>1</v>
      </c>
      <c r="O611">
        <v>0</v>
      </c>
      <c r="P611" t="s">
        <v>24</v>
      </c>
      <c r="Q611" t="s">
        <v>33</v>
      </c>
      <c r="R611" t="s">
        <v>26</v>
      </c>
      <c r="S611" t="s">
        <v>27</v>
      </c>
      <c r="T611" t="s">
        <v>40</v>
      </c>
      <c r="U611">
        <f t="shared" si="9"/>
        <v>0</v>
      </c>
    </row>
    <row r="612" spans="1:21" x14ac:dyDescent="0.2">
      <c r="A612">
        <v>834</v>
      </c>
      <c r="B612" t="s">
        <v>42</v>
      </c>
      <c r="C612" t="s">
        <v>21</v>
      </c>
      <c r="D612">
        <v>23</v>
      </c>
      <c r="E612">
        <v>4</v>
      </c>
      <c r="F612">
        <v>131254.81</v>
      </c>
      <c r="G612">
        <v>1</v>
      </c>
      <c r="H612" t="s">
        <v>22</v>
      </c>
      <c r="I612" t="s">
        <v>23</v>
      </c>
      <c r="J612">
        <v>20199.3</v>
      </c>
      <c r="K612" t="s">
        <v>23</v>
      </c>
      <c r="L612">
        <v>6.3429578528932218E-2</v>
      </c>
      <c r="M612" t="s">
        <v>23</v>
      </c>
      <c r="N612">
        <v>0</v>
      </c>
      <c r="O612">
        <v>0</v>
      </c>
      <c r="P612" t="s">
        <v>34</v>
      </c>
      <c r="Q612" t="s">
        <v>36</v>
      </c>
      <c r="R612" t="s">
        <v>26</v>
      </c>
      <c r="S612" t="s">
        <v>39</v>
      </c>
      <c r="T612" t="s">
        <v>35</v>
      </c>
      <c r="U612">
        <f t="shared" si="9"/>
        <v>1</v>
      </c>
    </row>
    <row r="613" spans="1:21" x14ac:dyDescent="0.2">
      <c r="A613">
        <v>608</v>
      </c>
      <c r="B613" t="s">
        <v>20</v>
      </c>
      <c r="C613" t="s">
        <v>21</v>
      </c>
      <c r="D613">
        <v>34</v>
      </c>
      <c r="E613">
        <v>7</v>
      </c>
      <c r="F613">
        <v>86656.13</v>
      </c>
      <c r="G613">
        <v>1</v>
      </c>
      <c r="H613" t="s">
        <v>23</v>
      </c>
      <c r="I613" t="s">
        <v>22</v>
      </c>
      <c r="J613">
        <v>59890.29</v>
      </c>
      <c r="K613" t="s">
        <v>23</v>
      </c>
      <c r="L613">
        <v>5.2456888615058518E-2</v>
      </c>
      <c r="M613" t="s">
        <v>23</v>
      </c>
      <c r="N613">
        <v>0</v>
      </c>
      <c r="O613">
        <v>0</v>
      </c>
      <c r="P613" t="s">
        <v>34</v>
      </c>
      <c r="Q613" t="s">
        <v>33</v>
      </c>
      <c r="R613" t="s">
        <v>38</v>
      </c>
      <c r="S613" t="s">
        <v>27</v>
      </c>
      <c r="T613" t="s">
        <v>40</v>
      </c>
      <c r="U613">
        <f t="shared" si="9"/>
        <v>1</v>
      </c>
    </row>
    <row r="614" spans="1:21" x14ac:dyDescent="0.2">
      <c r="A614">
        <v>651</v>
      </c>
      <c r="B614" t="s">
        <v>42</v>
      </c>
      <c r="C614" t="s">
        <v>32</v>
      </c>
      <c r="D614">
        <v>39</v>
      </c>
      <c r="E614">
        <v>6</v>
      </c>
      <c r="F614">
        <v>0</v>
      </c>
      <c r="G614">
        <v>1</v>
      </c>
      <c r="H614" t="s">
        <v>22</v>
      </c>
      <c r="I614" t="s">
        <v>23</v>
      </c>
      <c r="J614">
        <v>24176.44</v>
      </c>
      <c r="K614" t="s">
        <v>23</v>
      </c>
      <c r="L614">
        <v>0.22938787978540029</v>
      </c>
      <c r="M614" t="s">
        <v>23</v>
      </c>
      <c r="N614">
        <v>0</v>
      </c>
      <c r="O614">
        <v>0</v>
      </c>
      <c r="P614" t="s">
        <v>24</v>
      </c>
      <c r="Q614" t="s">
        <v>33</v>
      </c>
      <c r="R614" t="s">
        <v>29</v>
      </c>
      <c r="S614" t="s">
        <v>27</v>
      </c>
      <c r="T614" t="s">
        <v>35</v>
      </c>
      <c r="U614">
        <f t="shared" si="9"/>
        <v>1</v>
      </c>
    </row>
    <row r="615" spans="1:21" x14ac:dyDescent="0.2">
      <c r="A615">
        <v>815</v>
      </c>
      <c r="B615" t="s">
        <v>42</v>
      </c>
      <c r="C615" t="s">
        <v>32</v>
      </c>
      <c r="D615">
        <v>56</v>
      </c>
      <c r="E615">
        <v>3</v>
      </c>
      <c r="F615">
        <v>0</v>
      </c>
      <c r="G615">
        <v>3</v>
      </c>
      <c r="H615" t="s">
        <v>22</v>
      </c>
      <c r="I615" t="s">
        <v>22</v>
      </c>
      <c r="J615">
        <v>94248.16</v>
      </c>
      <c r="K615" t="s">
        <v>22</v>
      </c>
      <c r="L615">
        <v>0.2199511441453485</v>
      </c>
      <c r="M615" t="s">
        <v>23</v>
      </c>
      <c r="N615">
        <v>1</v>
      </c>
      <c r="O615">
        <v>0</v>
      </c>
      <c r="P615" t="s">
        <v>24</v>
      </c>
      <c r="Q615" t="s">
        <v>44</v>
      </c>
      <c r="R615" t="s">
        <v>29</v>
      </c>
      <c r="S615" t="s">
        <v>39</v>
      </c>
      <c r="T615" t="s">
        <v>40</v>
      </c>
      <c r="U615">
        <f t="shared" si="9"/>
        <v>0</v>
      </c>
    </row>
    <row r="616" spans="1:21" x14ac:dyDescent="0.2">
      <c r="A616">
        <v>722</v>
      </c>
      <c r="B616" t="s">
        <v>41</v>
      </c>
      <c r="C616" t="s">
        <v>21</v>
      </c>
      <c r="D616">
        <v>29</v>
      </c>
      <c r="E616">
        <v>1</v>
      </c>
      <c r="F616">
        <v>107233.85</v>
      </c>
      <c r="G616">
        <v>2</v>
      </c>
      <c r="H616" t="s">
        <v>22</v>
      </c>
      <c r="I616" t="s">
        <v>23</v>
      </c>
      <c r="J616">
        <v>24924.92</v>
      </c>
      <c r="K616" t="s">
        <v>23</v>
      </c>
      <c r="L616">
        <v>0.18448633058543759</v>
      </c>
      <c r="M616" t="s">
        <v>23</v>
      </c>
      <c r="N616">
        <v>0</v>
      </c>
      <c r="O616">
        <v>0</v>
      </c>
      <c r="P616" t="s">
        <v>34</v>
      </c>
      <c r="Q616" t="s">
        <v>36</v>
      </c>
      <c r="R616" t="s">
        <v>26</v>
      </c>
      <c r="S616" t="s">
        <v>37</v>
      </c>
      <c r="T616" t="s">
        <v>35</v>
      </c>
      <c r="U616">
        <f t="shared" si="9"/>
        <v>1</v>
      </c>
    </row>
    <row r="617" spans="1:21" x14ac:dyDescent="0.2">
      <c r="A617">
        <v>542</v>
      </c>
      <c r="B617" t="s">
        <v>42</v>
      </c>
      <c r="C617" t="s">
        <v>32</v>
      </c>
      <c r="D617">
        <v>39</v>
      </c>
      <c r="E617">
        <v>4</v>
      </c>
      <c r="F617">
        <v>109949.39</v>
      </c>
      <c r="G617">
        <v>2</v>
      </c>
      <c r="H617" t="s">
        <v>22</v>
      </c>
      <c r="I617" t="s">
        <v>22</v>
      </c>
      <c r="J617">
        <v>41268.65</v>
      </c>
      <c r="K617" t="s">
        <v>23</v>
      </c>
      <c r="L617">
        <v>0.1196571257683515</v>
      </c>
      <c r="M617" t="s">
        <v>23</v>
      </c>
      <c r="N617">
        <v>0</v>
      </c>
      <c r="O617">
        <v>0</v>
      </c>
      <c r="P617" t="s">
        <v>34</v>
      </c>
      <c r="Q617" t="s">
        <v>33</v>
      </c>
      <c r="R617" t="s">
        <v>26</v>
      </c>
      <c r="S617" t="s">
        <v>30</v>
      </c>
      <c r="T617" t="s">
        <v>35</v>
      </c>
      <c r="U617">
        <f t="shared" si="9"/>
        <v>1</v>
      </c>
    </row>
    <row r="618" spans="1:21" x14ac:dyDescent="0.2">
      <c r="A618">
        <v>850</v>
      </c>
      <c r="B618" t="s">
        <v>42</v>
      </c>
      <c r="C618" t="s">
        <v>32</v>
      </c>
      <c r="D618">
        <v>42</v>
      </c>
      <c r="E618">
        <v>8</v>
      </c>
      <c r="F618">
        <v>0</v>
      </c>
      <c r="G618">
        <v>1</v>
      </c>
      <c r="H618" t="s">
        <v>22</v>
      </c>
      <c r="I618" t="s">
        <v>23</v>
      </c>
      <c r="J618">
        <v>19632.64</v>
      </c>
      <c r="K618" t="s">
        <v>22</v>
      </c>
      <c r="L618">
        <v>0.2369124837750714</v>
      </c>
      <c r="M618" t="s">
        <v>23</v>
      </c>
      <c r="N618">
        <v>1</v>
      </c>
      <c r="O618">
        <v>0</v>
      </c>
      <c r="P618" t="s">
        <v>24</v>
      </c>
      <c r="Q618" t="s">
        <v>25</v>
      </c>
      <c r="R618" t="s">
        <v>29</v>
      </c>
      <c r="S618" t="s">
        <v>39</v>
      </c>
      <c r="T618" t="s">
        <v>35</v>
      </c>
      <c r="U618">
        <f t="shared" si="9"/>
        <v>0</v>
      </c>
    </row>
    <row r="619" spans="1:21" x14ac:dyDescent="0.2">
      <c r="A619">
        <v>607</v>
      </c>
      <c r="B619" t="s">
        <v>41</v>
      </c>
      <c r="C619" t="s">
        <v>21</v>
      </c>
      <c r="D619">
        <v>36</v>
      </c>
      <c r="E619">
        <v>8</v>
      </c>
      <c r="F619">
        <v>143421.74</v>
      </c>
      <c r="G619">
        <v>1</v>
      </c>
      <c r="H619" t="s">
        <v>22</v>
      </c>
      <c r="I619" t="s">
        <v>23</v>
      </c>
      <c r="J619">
        <v>97879.02</v>
      </c>
      <c r="K619" t="s">
        <v>23</v>
      </c>
      <c r="L619">
        <v>0.31239003109352609</v>
      </c>
      <c r="M619" t="s">
        <v>23</v>
      </c>
      <c r="N619">
        <v>0</v>
      </c>
      <c r="O619">
        <v>0</v>
      </c>
      <c r="P619" t="s">
        <v>24</v>
      </c>
      <c r="Q619" t="s">
        <v>33</v>
      </c>
      <c r="R619" t="s">
        <v>26</v>
      </c>
      <c r="S619" t="s">
        <v>27</v>
      </c>
      <c r="T619" t="s">
        <v>40</v>
      </c>
      <c r="U619">
        <f t="shared" si="9"/>
        <v>1</v>
      </c>
    </row>
    <row r="620" spans="1:21" x14ac:dyDescent="0.2">
      <c r="A620">
        <v>525</v>
      </c>
      <c r="B620" t="s">
        <v>42</v>
      </c>
      <c r="C620" t="s">
        <v>21</v>
      </c>
      <c r="D620">
        <v>26</v>
      </c>
      <c r="E620">
        <v>7</v>
      </c>
      <c r="F620">
        <v>153644.39000000001</v>
      </c>
      <c r="G620">
        <v>1</v>
      </c>
      <c r="H620" t="s">
        <v>22</v>
      </c>
      <c r="I620" t="s">
        <v>22</v>
      </c>
      <c r="J620">
        <v>63197.88</v>
      </c>
      <c r="K620" t="s">
        <v>23</v>
      </c>
      <c r="L620">
        <v>3.4772719758161791E-2</v>
      </c>
      <c r="M620" t="s">
        <v>23</v>
      </c>
      <c r="N620">
        <v>0</v>
      </c>
      <c r="O620">
        <v>0</v>
      </c>
      <c r="P620" t="s">
        <v>34</v>
      </c>
      <c r="Q620" t="s">
        <v>36</v>
      </c>
      <c r="R620" t="s">
        <v>47</v>
      </c>
      <c r="S620" t="s">
        <v>30</v>
      </c>
      <c r="T620" t="s">
        <v>40</v>
      </c>
      <c r="U620">
        <f t="shared" si="9"/>
        <v>1</v>
      </c>
    </row>
    <row r="621" spans="1:21" x14ac:dyDescent="0.2">
      <c r="A621">
        <v>726</v>
      </c>
      <c r="B621" t="s">
        <v>42</v>
      </c>
      <c r="C621" t="s">
        <v>32</v>
      </c>
      <c r="D621">
        <v>32</v>
      </c>
      <c r="E621">
        <v>8</v>
      </c>
      <c r="F621">
        <v>0</v>
      </c>
      <c r="G621">
        <v>2</v>
      </c>
      <c r="H621" t="s">
        <v>23</v>
      </c>
      <c r="I621" t="s">
        <v>23</v>
      </c>
      <c r="J621">
        <v>185075.63</v>
      </c>
      <c r="K621" t="s">
        <v>23</v>
      </c>
      <c r="L621">
        <v>0.14153475683095679</v>
      </c>
      <c r="M621" t="s">
        <v>23</v>
      </c>
      <c r="N621">
        <v>0</v>
      </c>
      <c r="O621">
        <v>0</v>
      </c>
      <c r="P621" t="s">
        <v>34</v>
      </c>
      <c r="Q621" t="s">
        <v>33</v>
      </c>
      <c r="R621" t="s">
        <v>29</v>
      </c>
      <c r="S621" t="s">
        <v>37</v>
      </c>
      <c r="T621" t="s">
        <v>31</v>
      </c>
      <c r="U621">
        <f t="shared" si="9"/>
        <v>1</v>
      </c>
    </row>
    <row r="622" spans="1:21" x14ac:dyDescent="0.2">
      <c r="A622">
        <v>603</v>
      </c>
      <c r="B622" t="s">
        <v>41</v>
      </c>
      <c r="C622" t="s">
        <v>21</v>
      </c>
      <c r="D622">
        <v>35</v>
      </c>
      <c r="E622">
        <v>1</v>
      </c>
      <c r="F622">
        <v>105346.03</v>
      </c>
      <c r="G622">
        <v>2</v>
      </c>
      <c r="H622" t="s">
        <v>22</v>
      </c>
      <c r="I622" t="s">
        <v>22</v>
      </c>
      <c r="J622">
        <v>130379.5</v>
      </c>
      <c r="K622" t="s">
        <v>23</v>
      </c>
      <c r="L622">
        <v>0.1196596081716706</v>
      </c>
      <c r="M622" t="s">
        <v>23</v>
      </c>
      <c r="N622">
        <v>0</v>
      </c>
      <c r="O622">
        <v>0</v>
      </c>
      <c r="P622" t="s">
        <v>34</v>
      </c>
      <c r="Q622" t="s">
        <v>33</v>
      </c>
      <c r="R622" t="s">
        <v>26</v>
      </c>
      <c r="S622" t="s">
        <v>27</v>
      </c>
      <c r="T622" t="s">
        <v>28</v>
      </c>
      <c r="U622">
        <f t="shared" si="9"/>
        <v>1</v>
      </c>
    </row>
    <row r="623" spans="1:21" x14ac:dyDescent="0.2">
      <c r="A623">
        <v>646</v>
      </c>
      <c r="B623" t="s">
        <v>42</v>
      </c>
      <c r="C623" t="s">
        <v>21</v>
      </c>
      <c r="D623">
        <v>36</v>
      </c>
      <c r="E623">
        <v>6</v>
      </c>
      <c r="F623">
        <v>124445.52</v>
      </c>
      <c r="G623">
        <v>1</v>
      </c>
      <c r="H623" t="s">
        <v>22</v>
      </c>
      <c r="I623" t="s">
        <v>23</v>
      </c>
      <c r="J623">
        <v>88481.32</v>
      </c>
      <c r="K623" t="s">
        <v>23</v>
      </c>
      <c r="L623">
        <v>0.16530859220043609</v>
      </c>
      <c r="M623" t="s">
        <v>23</v>
      </c>
      <c r="N623">
        <v>0</v>
      </c>
      <c r="O623">
        <v>0</v>
      </c>
      <c r="P623" t="s">
        <v>34</v>
      </c>
      <c r="Q623" t="s">
        <v>33</v>
      </c>
      <c r="R623" t="s">
        <v>26</v>
      </c>
      <c r="S623" t="s">
        <v>27</v>
      </c>
      <c r="T623" t="s">
        <v>40</v>
      </c>
      <c r="U623">
        <f t="shared" si="9"/>
        <v>1</v>
      </c>
    </row>
    <row r="624" spans="1:21" x14ac:dyDescent="0.2">
      <c r="A624">
        <v>527</v>
      </c>
      <c r="B624" t="s">
        <v>42</v>
      </c>
      <c r="C624" t="s">
        <v>21</v>
      </c>
      <c r="D624">
        <v>47</v>
      </c>
      <c r="E624">
        <v>1</v>
      </c>
      <c r="F624">
        <v>0</v>
      </c>
      <c r="G624">
        <v>1</v>
      </c>
      <c r="H624" t="s">
        <v>22</v>
      </c>
      <c r="I624" t="s">
        <v>23</v>
      </c>
      <c r="J624">
        <v>21312.16</v>
      </c>
      <c r="K624" t="s">
        <v>22</v>
      </c>
      <c r="L624">
        <v>0.27207622206840198</v>
      </c>
      <c r="M624" t="s">
        <v>23</v>
      </c>
      <c r="N624">
        <v>1</v>
      </c>
      <c r="O624">
        <v>0</v>
      </c>
      <c r="P624" t="s">
        <v>24</v>
      </c>
      <c r="Q624" t="s">
        <v>25</v>
      </c>
      <c r="R624" t="s">
        <v>29</v>
      </c>
      <c r="S624" t="s">
        <v>30</v>
      </c>
      <c r="T624" t="s">
        <v>35</v>
      </c>
      <c r="U624">
        <f t="shared" si="9"/>
        <v>0</v>
      </c>
    </row>
    <row r="625" spans="1:21" x14ac:dyDescent="0.2">
      <c r="A625">
        <v>411</v>
      </c>
      <c r="B625" t="s">
        <v>42</v>
      </c>
      <c r="C625" t="s">
        <v>32</v>
      </c>
      <c r="D625">
        <v>36</v>
      </c>
      <c r="E625">
        <v>10</v>
      </c>
      <c r="F625">
        <v>0</v>
      </c>
      <c r="G625">
        <v>1</v>
      </c>
      <c r="H625" t="s">
        <v>23</v>
      </c>
      <c r="I625" t="s">
        <v>23</v>
      </c>
      <c r="J625">
        <v>120694.35</v>
      </c>
      <c r="K625" t="s">
        <v>23</v>
      </c>
      <c r="L625">
        <v>0.2208827078621875</v>
      </c>
      <c r="M625" t="s">
        <v>23</v>
      </c>
      <c r="N625">
        <v>0</v>
      </c>
      <c r="O625">
        <v>0</v>
      </c>
      <c r="P625" t="s">
        <v>24</v>
      </c>
      <c r="Q625" t="s">
        <v>33</v>
      </c>
      <c r="R625" t="s">
        <v>29</v>
      </c>
      <c r="S625" t="s">
        <v>45</v>
      </c>
      <c r="T625" t="s">
        <v>28</v>
      </c>
      <c r="U625">
        <f t="shared" si="9"/>
        <v>1</v>
      </c>
    </row>
    <row r="626" spans="1:21" x14ac:dyDescent="0.2">
      <c r="A626">
        <v>614</v>
      </c>
      <c r="B626" t="s">
        <v>42</v>
      </c>
      <c r="C626" t="s">
        <v>21</v>
      </c>
      <c r="D626">
        <v>51</v>
      </c>
      <c r="E626">
        <v>3</v>
      </c>
      <c r="F626">
        <v>0</v>
      </c>
      <c r="G626">
        <v>2</v>
      </c>
      <c r="H626" t="s">
        <v>22</v>
      </c>
      <c r="I626" t="s">
        <v>22</v>
      </c>
      <c r="J626">
        <v>5552.37</v>
      </c>
      <c r="K626" t="s">
        <v>23</v>
      </c>
      <c r="L626">
        <v>0.120231026163491</v>
      </c>
      <c r="M626" t="s">
        <v>23</v>
      </c>
      <c r="N626">
        <v>0</v>
      </c>
      <c r="O626">
        <v>0</v>
      </c>
      <c r="P626" t="s">
        <v>34</v>
      </c>
      <c r="Q626" t="s">
        <v>44</v>
      </c>
      <c r="R626" t="s">
        <v>29</v>
      </c>
      <c r="S626" t="s">
        <v>27</v>
      </c>
      <c r="T626" t="s">
        <v>35</v>
      </c>
      <c r="U626">
        <f t="shared" si="9"/>
        <v>1</v>
      </c>
    </row>
    <row r="627" spans="1:21" x14ac:dyDescent="0.2">
      <c r="A627">
        <v>447</v>
      </c>
      <c r="B627" t="s">
        <v>42</v>
      </c>
      <c r="C627" t="s">
        <v>21</v>
      </c>
      <c r="D627">
        <v>43</v>
      </c>
      <c r="E627">
        <v>2</v>
      </c>
      <c r="F627">
        <v>0</v>
      </c>
      <c r="G627">
        <v>2</v>
      </c>
      <c r="H627" t="s">
        <v>22</v>
      </c>
      <c r="I627" t="s">
        <v>23</v>
      </c>
      <c r="J627">
        <v>33879.26</v>
      </c>
      <c r="K627" t="s">
        <v>22</v>
      </c>
      <c r="L627">
        <v>0.20733443045599109</v>
      </c>
      <c r="M627" t="s">
        <v>23</v>
      </c>
      <c r="N627">
        <v>1</v>
      </c>
      <c r="O627">
        <v>0</v>
      </c>
      <c r="P627" t="s">
        <v>24</v>
      </c>
      <c r="Q627" t="s">
        <v>25</v>
      </c>
      <c r="R627" t="s">
        <v>29</v>
      </c>
      <c r="S627" t="s">
        <v>45</v>
      </c>
      <c r="T627" t="s">
        <v>35</v>
      </c>
      <c r="U627">
        <f t="shared" si="9"/>
        <v>0</v>
      </c>
    </row>
    <row r="628" spans="1:21" x14ac:dyDescent="0.2">
      <c r="A628">
        <v>537</v>
      </c>
      <c r="B628" t="s">
        <v>20</v>
      </c>
      <c r="C628" t="s">
        <v>21</v>
      </c>
      <c r="D628">
        <v>30</v>
      </c>
      <c r="E628">
        <v>1</v>
      </c>
      <c r="F628">
        <v>103138.17</v>
      </c>
      <c r="G628">
        <v>1</v>
      </c>
      <c r="H628" t="s">
        <v>22</v>
      </c>
      <c r="I628" t="s">
        <v>22</v>
      </c>
      <c r="J628">
        <v>96555.42</v>
      </c>
      <c r="K628" t="s">
        <v>23</v>
      </c>
      <c r="L628">
        <v>4.7836202630262177E-2</v>
      </c>
      <c r="M628" t="s">
        <v>23</v>
      </c>
      <c r="N628">
        <v>0</v>
      </c>
      <c r="O628">
        <v>0</v>
      </c>
      <c r="P628" t="s">
        <v>34</v>
      </c>
      <c r="Q628" t="s">
        <v>36</v>
      </c>
      <c r="R628" t="s">
        <v>26</v>
      </c>
      <c r="S628" t="s">
        <v>30</v>
      </c>
      <c r="T628" t="s">
        <v>40</v>
      </c>
      <c r="U628">
        <f t="shared" si="9"/>
        <v>1</v>
      </c>
    </row>
    <row r="629" spans="1:21" x14ac:dyDescent="0.2">
      <c r="A629">
        <v>690</v>
      </c>
      <c r="B629" t="s">
        <v>42</v>
      </c>
      <c r="C629" t="s">
        <v>21</v>
      </c>
      <c r="D629">
        <v>54</v>
      </c>
      <c r="E629">
        <v>5</v>
      </c>
      <c r="F629">
        <v>0</v>
      </c>
      <c r="G629">
        <v>1</v>
      </c>
      <c r="H629" t="s">
        <v>22</v>
      </c>
      <c r="I629" t="s">
        <v>23</v>
      </c>
      <c r="J629">
        <v>12847.61</v>
      </c>
      <c r="K629" t="s">
        <v>22</v>
      </c>
      <c r="L629">
        <v>0.34008891809038277</v>
      </c>
      <c r="M629" t="s">
        <v>23</v>
      </c>
      <c r="N629">
        <v>1</v>
      </c>
      <c r="O629">
        <v>0</v>
      </c>
      <c r="P629" t="s">
        <v>24</v>
      </c>
      <c r="Q629" t="s">
        <v>44</v>
      </c>
      <c r="R629" t="s">
        <v>29</v>
      </c>
      <c r="S629" t="s">
        <v>27</v>
      </c>
      <c r="T629" t="s">
        <v>35</v>
      </c>
      <c r="U629">
        <f t="shared" si="9"/>
        <v>0</v>
      </c>
    </row>
    <row r="630" spans="1:21" x14ac:dyDescent="0.2">
      <c r="A630">
        <v>629</v>
      </c>
      <c r="B630" t="s">
        <v>42</v>
      </c>
      <c r="C630" t="s">
        <v>32</v>
      </c>
      <c r="D630">
        <v>31</v>
      </c>
      <c r="E630">
        <v>6</v>
      </c>
      <c r="F630">
        <v>0</v>
      </c>
      <c r="G630">
        <v>1</v>
      </c>
      <c r="H630" t="s">
        <v>22</v>
      </c>
      <c r="I630" t="s">
        <v>22</v>
      </c>
      <c r="J630">
        <v>16447.599999999999</v>
      </c>
      <c r="K630" t="s">
        <v>22</v>
      </c>
      <c r="L630">
        <v>5.3016656592631377E-2</v>
      </c>
      <c r="M630" t="s">
        <v>23</v>
      </c>
      <c r="N630">
        <v>1</v>
      </c>
      <c r="O630">
        <v>0</v>
      </c>
      <c r="P630" t="s">
        <v>34</v>
      </c>
      <c r="Q630" t="s">
        <v>33</v>
      </c>
      <c r="R630" t="s">
        <v>29</v>
      </c>
      <c r="S630" t="s">
        <v>27</v>
      </c>
      <c r="T630" t="s">
        <v>35</v>
      </c>
      <c r="U630">
        <f t="shared" si="9"/>
        <v>0</v>
      </c>
    </row>
    <row r="631" spans="1:21" x14ac:dyDescent="0.2">
      <c r="A631">
        <v>640</v>
      </c>
      <c r="B631" t="s">
        <v>42</v>
      </c>
      <c r="C631" t="s">
        <v>21</v>
      </c>
      <c r="D631">
        <v>44</v>
      </c>
      <c r="E631">
        <v>7</v>
      </c>
      <c r="F631">
        <v>111833.47</v>
      </c>
      <c r="G631">
        <v>1</v>
      </c>
      <c r="H631" t="s">
        <v>22</v>
      </c>
      <c r="I631" t="s">
        <v>23</v>
      </c>
      <c r="J631">
        <v>67202.740000000005</v>
      </c>
      <c r="K631" t="s">
        <v>23</v>
      </c>
      <c r="L631">
        <v>0.25208378856826452</v>
      </c>
      <c r="M631" t="s">
        <v>23</v>
      </c>
      <c r="N631">
        <v>0</v>
      </c>
      <c r="O631">
        <v>0</v>
      </c>
      <c r="P631" t="s">
        <v>24</v>
      </c>
      <c r="Q631" t="s">
        <v>25</v>
      </c>
      <c r="R631" t="s">
        <v>26</v>
      </c>
      <c r="S631" t="s">
        <v>27</v>
      </c>
      <c r="T631" t="s">
        <v>40</v>
      </c>
      <c r="U631">
        <f t="shared" si="9"/>
        <v>1</v>
      </c>
    </row>
    <row r="632" spans="1:21" x14ac:dyDescent="0.2">
      <c r="A632">
        <v>735</v>
      </c>
      <c r="B632" t="s">
        <v>41</v>
      </c>
      <c r="C632" t="s">
        <v>32</v>
      </c>
      <c r="D632">
        <v>43</v>
      </c>
      <c r="E632">
        <v>9</v>
      </c>
      <c r="F632">
        <v>98807.45</v>
      </c>
      <c r="G632">
        <v>1</v>
      </c>
      <c r="H632" t="s">
        <v>23</v>
      </c>
      <c r="I632" t="s">
        <v>23</v>
      </c>
      <c r="J632">
        <v>184570.04</v>
      </c>
      <c r="K632" t="s">
        <v>22</v>
      </c>
      <c r="L632">
        <v>0.53323457084549231</v>
      </c>
      <c r="M632" t="s">
        <v>22</v>
      </c>
      <c r="N632">
        <v>1</v>
      </c>
      <c r="O632">
        <v>1</v>
      </c>
      <c r="P632" t="s">
        <v>43</v>
      </c>
      <c r="Q632" t="s">
        <v>25</v>
      </c>
      <c r="R632" t="s">
        <v>38</v>
      </c>
      <c r="S632" t="s">
        <v>37</v>
      </c>
      <c r="T632" t="s">
        <v>31</v>
      </c>
      <c r="U632">
        <f t="shared" si="9"/>
        <v>1</v>
      </c>
    </row>
    <row r="633" spans="1:21" x14ac:dyDescent="0.2">
      <c r="A633">
        <v>678</v>
      </c>
      <c r="B633" t="s">
        <v>42</v>
      </c>
      <c r="C633" t="s">
        <v>32</v>
      </c>
      <c r="D633">
        <v>31</v>
      </c>
      <c r="E633">
        <v>1</v>
      </c>
      <c r="F633">
        <v>0</v>
      </c>
      <c r="G633">
        <v>2</v>
      </c>
      <c r="H633" t="s">
        <v>23</v>
      </c>
      <c r="I633" t="s">
        <v>22</v>
      </c>
      <c r="J633">
        <v>130446.65</v>
      </c>
      <c r="K633" t="s">
        <v>23</v>
      </c>
      <c r="L633">
        <v>5.5973373670547742E-2</v>
      </c>
      <c r="M633" t="s">
        <v>23</v>
      </c>
      <c r="N633">
        <v>0</v>
      </c>
      <c r="O633">
        <v>0</v>
      </c>
      <c r="P633" t="s">
        <v>34</v>
      </c>
      <c r="Q633" t="s">
        <v>33</v>
      </c>
      <c r="R633" t="s">
        <v>29</v>
      </c>
      <c r="S633" t="s">
        <v>27</v>
      </c>
      <c r="T633" t="s">
        <v>28</v>
      </c>
      <c r="U633">
        <f t="shared" si="9"/>
        <v>1</v>
      </c>
    </row>
    <row r="634" spans="1:21" x14ac:dyDescent="0.2">
      <c r="A634">
        <v>640</v>
      </c>
      <c r="B634" t="s">
        <v>42</v>
      </c>
      <c r="C634" t="s">
        <v>32</v>
      </c>
      <c r="D634">
        <v>30</v>
      </c>
      <c r="E634">
        <v>6</v>
      </c>
      <c r="F634">
        <v>107499.7</v>
      </c>
      <c r="G634">
        <v>1</v>
      </c>
      <c r="H634" t="s">
        <v>22</v>
      </c>
      <c r="I634" t="s">
        <v>22</v>
      </c>
      <c r="J634">
        <v>187632.22</v>
      </c>
      <c r="K634" t="s">
        <v>23</v>
      </c>
      <c r="L634">
        <v>6.9791655037820546E-2</v>
      </c>
      <c r="M634" t="s">
        <v>23</v>
      </c>
      <c r="N634">
        <v>0</v>
      </c>
      <c r="O634">
        <v>0</v>
      </c>
      <c r="P634" t="s">
        <v>34</v>
      </c>
      <c r="Q634" t="s">
        <v>36</v>
      </c>
      <c r="R634" t="s">
        <v>26</v>
      </c>
      <c r="S634" t="s">
        <v>27</v>
      </c>
      <c r="T634" t="s">
        <v>31</v>
      </c>
      <c r="U634">
        <f t="shared" si="9"/>
        <v>1</v>
      </c>
    </row>
    <row r="635" spans="1:21" x14ac:dyDescent="0.2">
      <c r="A635">
        <v>736</v>
      </c>
      <c r="B635" t="s">
        <v>42</v>
      </c>
      <c r="C635" t="s">
        <v>32</v>
      </c>
      <c r="D635">
        <v>30</v>
      </c>
      <c r="E635">
        <v>9</v>
      </c>
      <c r="F635">
        <v>0</v>
      </c>
      <c r="G635">
        <v>2</v>
      </c>
      <c r="H635" t="s">
        <v>22</v>
      </c>
      <c r="I635" t="s">
        <v>23</v>
      </c>
      <c r="J635">
        <v>34180.33</v>
      </c>
      <c r="K635" t="s">
        <v>23</v>
      </c>
      <c r="L635">
        <v>0.1096878021555095</v>
      </c>
      <c r="M635" t="s">
        <v>23</v>
      </c>
      <c r="N635">
        <v>0</v>
      </c>
      <c r="O635">
        <v>0</v>
      </c>
      <c r="P635" t="s">
        <v>34</v>
      </c>
      <c r="Q635" t="s">
        <v>36</v>
      </c>
      <c r="R635" t="s">
        <v>29</v>
      </c>
      <c r="S635" t="s">
        <v>37</v>
      </c>
      <c r="T635" t="s">
        <v>35</v>
      </c>
      <c r="U635">
        <f t="shared" si="9"/>
        <v>1</v>
      </c>
    </row>
    <row r="636" spans="1:21" x14ac:dyDescent="0.2">
      <c r="A636">
        <v>496</v>
      </c>
      <c r="B636" t="s">
        <v>42</v>
      </c>
      <c r="C636" t="s">
        <v>32</v>
      </c>
      <c r="D636">
        <v>41</v>
      </c>
      <c r="E636">
        <v>1</v>
      </c>
      <c r="F636">
        <v>176024.05</v>
      </c>
      <c r="G636">
        <v>2</v>
      </c>
      <c r="H636" t="s">
        <v>22</v>
      </c>
      <c r="I636" t="s">
        <v>23</v>
      </c>
      <c r="J636">
        <v>182337.98</v>
      </c>
      <c r="K636" t="s">
        <v>23</v>
      </c>
      <c r="L636">
        <v>0.39736852209899431</v>
      </c>
      <c r="M636" t="s">
        <v>23</v>
      </c>
      <c r="N636">
        <v>0</v>
      </c>
      <c r="O636">
        <v>0</v>
      </c>
      <c r="P636" t="s">
        <v>24</v>
      </c>
      <c r="Q636" t="s">
        <v>25</v>
      </c>
      <c r="R636" t="s">
        <v>47</v>
      </c>
      <c r="S636" t="s">
        <v>45</v>
      </c>
      <c r="T636" t="s">
        <v>31</v>
      </c>
      <c r="U636">
        <f t="shared" si="9"/>
        <v>1</v>
      </c>
    </row>
    <row r="637" spans="1:21" x14ac:dyDescent="0.2">
      <c r="A637">
        <v>786</v>
      </c>
      <c r="B637" t="s">
        <v>42</v>
      </c>
      <c r="C637" t="s">
        <v>32</v>
      </c>
      <c r="D637">
        <v>62</v>
      </c>
      <c r="E637">
        <v>8</v>
      </c>
      <c r="F637">
        <v>0</v>
      </c>
      <c r="G637">
        <v>1</v>
      </c>
      <c r="H637" t="s">
        <v>22</v>
      </c>
      <c r="I637" t="s">
        <v>22</v>
      </c>
      <c r="J637">
        <v>165702.64000000001</v>
      </c>
      <c r="K637" t="s">
        <v>23</v>
      </c>
      <c r="L637">
        <v>0.34216645181194572</v>
      </c>
      <c r="M637" t="s">
        <v>23</v>
      </c>
      <c r="N637">
        <v>0</v>
      </c>
      <c r="O637">
        <v>0</v>
      </c>
      <c r="P637" t="s">
        <v>24</v>
      </c>
      <c r="Q637" t="s">
        <v>46</v>
      </c>
      <c r="R637" t="s">
        <v>29</v>
      </c>
      <c r="S637" t="s">
        <v>37</v>
      </c>
      <c r="T637" t="s">
        <v>31</v>
      </c>
      <c r="U637">
        <f t="shared" si="9"/>
        <v>1</v>
      </c>
    </row>
    <row r="638" spans="1:21" x14ac:dyDescent="0.2">
      <c r="A638">
        <v>572</v>
      </c>
      <c r="B638" t="s">
        <v>42</v>
      </c>
      <c r="C638" t="s">
        <v>32</v>
      </c>
      <c r="D638">
        <v>38</v>
      </c>
      <c r="E638">
        <v>7</v>
      </c>
      <c r="F638">
        <v>0</v>
      </c>
      <c r="G638">
        <v>2</v>
      </c>
      <c r="H638" t="s">
        <v>22</v>
      </c>
      <c r="I638" t="s">
        <v>22</v>
      </c>
      <c r="J638">
        <v>133122.62</v>
      </c>
      <c r="K638" t="s">
        <v>23</v>
      </c>
      <c r="L638">
        <v>8.4448639182928678E-2</v>
      </c>
      <c r="M638" t="s">
        <v>23</v>
      </c>
      <c r="N638">
        <v>0</v>
      </c>
      <c r="O638">
        <v>0</v>
      </c>
      <c r="P638" t="s">
        <v>34</v>
      </c>
      <c r="Q638" t="s">
        <v>33</v>
      </c>
      <c r="R638" t="s">
        <v>29</v>
      </c>
      <c r="S638" t="s">
        <v>30</v>
      </c>
      <c r="T638" t="s">
        <v>28</v>
      </c>
      <c r="U638">
        <f t="shared" si="9"/>
        <v>1</v>
      </c>
    </row>
    <row r="639" spans="1:21" x14ac:dyDescent="0.2">
      <c r="A639">
        <v>666</v>
      </c>
      <c r="B639" t="s">
        <v>42</v>
      </c>
      <c r="C639" t="s">
        <v>21</v>
      </c>
      <c r="D639">
        <v>53</v>
      </c>
      <c r="E639">
        <v>5</v>
      </c>
      <c r="F639">
        <v>64646.7</v>
      </c>
      <c r="G639">
        <v>1</v>
      </c>
      <c r="H639" t="s">
        <v>22</v>
      </c>
      <c r="I639" t="s">
        <v>23</v>
      </c>
      <c r="J639">
        <v>128019.48</v>
      </c>
      <c r="K639" t="s">
        <v>22</v>
      </c>
      <c r="L639">
        <v>0.38029672116530561</v>
      </c>
      <c r="M639" t="s">
        <v>23</v>
      </c>
      <c r="N639">
        <v>1</v>
      </c>
      <c r="O639">
        <v>0</v>
      </c>
      <c r="P639" t="s">
        <v>24</v>
      </c>
      <c r="Q639" t="s">
        <v>44</v>
      </c>
      <c r="R639" t="s">
        <v>38</v>
      </c>
      <c r="S639" t="s">
        <v>27</v>
      </c>
      <c r="T639" t="s">
        <v>28</v>
      </c>
      <c r="U639">
        <f t="shared" si="9"/>
        <v>0</v>
      </c>
    </row>
    <row r="640" spans="1:21" x14ac:dyDescent="0.2">
      <c r="A640">
        <v>430</v>
      </c>
      <c r="B640" t="s">
        <v>42</v>
      </c>
      <c r="C640" t="s">
        <v>21</v>
      </c>
      <c r="D640">
        <v>35</v>
      </c>
      <c r="E640">
        <v>1</v>
      </c>
      <c r="F640">
        <v>118894.22</v>
      </c>
      <c r="G640">
        <v>1</v>
      </c>
      <c r="H640" t="s">
        <v>23</v>
      </c>
      <c r="I640" t="s">
        <v>23</v>
      </c>
      <c r="J640">
        <v>2923.61</v>
      </c>
      <c r="K640" t="s">
        <v>23</v>
      </c>
      <c r="L640">
        <v>0.18621392442038831</v>
      </c>
      <c r="M640" t="s">
        <v>23</v>
      </c>
      <c r="N640">
        <v>0</v>
      </c>
      <c r="O640">
        <v>0</v>
      </c>
      <c r="P640" t="s">
        <v>34</v>
      </c>
      <c r="Q640" t="s">
        <v>33</v>
      </c>
      <c r="R640" t="s">
        <v>26</v>
      </c>
      <c r="S640" t="s">
        <v>45</v>
      </c>
      <c r="T640" t="s">
        <v>35</v>
      </c>
      <c r="U640">
        <f t="shared" si="9"/>
        <v>1</v>
      </c>
    </row>
    <row r="641" spans="1:21" x14ac:dyDescent="0.2">
      <c r="A641">
        <v>487</v>
      </c>
      <c r="B641" t="s">
        <v>20</v>
      </c>
      <c r="C641" t="s">
        <v>32</v>
      </c>
      <c r="D641">
        <v>31</v>
      </c>
      <c r="E641">
        <v>1</v>
      </c>
      <c r="F641">
        <v>0</v>
      </c>
      <c r="G641">
        <v>2</v>
      </c>
      <c r="H641" t="s">
        <v>22</v>
      </c>
      <c r="I641" t="s">
        <v>23</v>
      </c>
      <c r="J641">
        <v>158750.13</v>
      </c>
      <c r="K641" t="s">
        <v>23</v>
      </c>
      <c r="L641">
        <v>0.17063517491295491</v>
      </c>
      <c r="M641" t="s">
        <v>23</v>
      </c>
      <c r="N641">
        <v>0</v>
      </c>
      <c r="O641">
        <v>0</v>
      </c>
      <c r="P641" t="s">
        <v>34</v>
      </c>
      <c r="Q641" t="s">
        <v>33</v>
      </c>
      <c r="R641" t="s">
        <v>29</v>
      </c>
      <c r="S641" t="s">
        <v>45</v>
      </c>
      <c r="T641" t="s">
        <v>31</v>
      </c>
      <c r="U641">
        <f t="shared" si="9"/>
        <v>1</v>
      </c>
    </row>
    <row r="642" spans="1:21" x14ac:dyDescent="0.2">
      <c r="A642">
        <v>850</v>
      </c>
      <c r="B642" t="s">
        <v>42</v>
      </c>
      <c r="C642" t="s">
        <v>32</v>
      </c>
      <c r="D642">
        <v>43</v>
      </c>
      <c r="E642">
        <v>3</v>
      </c>
      <c r="F642">
        <v>0</v>
      </c>
      <c r="G642">
        <v>2</v>
      </c>
      <c r="H642" t="s">
        <v>23</v>
      </c>
      <c r="I642" t="s">
        <v>23</v>
      </c>
      <c r="J642">
        <v>2465.8000000000002</v>
      </c>
      <c r="K642" t="s">
        <v>23</v>
      </c>
      <c r="L642">
        <v>0.25393173170965072</v>
      </c>
      <c r="M642" t="s">
        <v>23</v>
      </c>
      <c r="N642">
        <v>0</v>
      </c>
      <c r="O642">
        <v>0</v>
      </c>
      <c r="P642" t="s">
        <v>24</v>
      </c>
      <c r="Q642" t="s">
        <v>25</v>
      </c>
      <c r="R642" t="s">
        <v>29</v>
      </c>
      <c r="S642" t="s">
        <v>39</v>
      </c>
      <c r="T642" t="s">
        <v>35</v>
      </c>
      <c r="U642">
        <f t="shared" ref="U642:U705" si="10">IF(K642=M642,1,0)</f>
        <v>1</v>
      </c>
    </row>
    <row r="643" spans="1:21" x14ac:dyDescent="0.2">
      <c r="A643">
        <v>714</v>
      </c>
      <c r="B643" t="s">
        <v>42</v>
      </c>
      <c r="C643" t="s">
        <v>21</v>
      </c>
      <c r="D643">
        <v>63</v>
      </c>
      <c r="E643">
        <v>4</v>
      </c>
      <c r="F643">
        <v>138082.16</v>
      </c>
      <c r="G643">
        <v>1</v>
      </c>
      <c r="H643" t="s">
        <v>23</v>
      </c>
      <c r="I643" t="s">
        <v>22</v>
      </c>
      <c r="J643">
        <v>166677.54</v>
      </c>
      <c r="K643" t="s">
        <v>23</v>
      </c>
      <c r="L643">
        <v>0.35263039067958801</v>
      </c>
      <c r="M643" t="s">
        <v>23</v>
      </c>
      <c r="N643">
        <v>0</v>
      </c>
      <c r="O643">
        <v>0</v>
      </c>
      <c r="P643" t="s">
        <v>24</v>
      </c>
      <c r="Q643" t="s">
        <v>46</v>
      </c>
      <c r="R643" t="s">
        <v>26</v>
      </c>
      <c r="S643" t="s">
        <v>37</v>
      </c>
      <c r="T643" t="s">
        <v>31</v>
      </c>
      <c r="U643">
        <f t="shared" si="10"/>
        <v>1</v>
      </c>
    </row>
    <row r="644" spans="1:21" x14ac:dyDescent="0.2">
      <c r="A644">
        <v>670</v>
      </c>
      <c r="B644" t="s">
        <v>20</v>
      </c>
      <c r="C644" t="s">
        <v>21</v>
      </c>
      <c r="D644">
        <v>35</v>
      </c>
      <c r="E644">
        <v>2</v>
      </c>
      <c r="F644">
        <v>124268.64</v>
      </c>
      <c r="G644">
        <v>2</v>
      </c>
      <c r="H644" t="s">
        <v>23</v>
      </c>
      <c r="I644" t="s">
        <v>22</v>
      </c>
      <c r="J644">
        <v>84321.03</v>
      </c>
      <c r="K644" t="s">
        <v>23</v>
      </c>
      <c r="L644">
        <v>5.9730032305798937E-2</v>
      </c>
      <c r="M644" t="s">
        <v>23</v>
      </c>
      <c r="N644">
        <v>0</v>
      </c>
      <c r="O644">
        <v>0</v>
      </c>
      <c r="P644" t="s">
        <v>34</v>
      </c>
      <c r="Q644" t="s">
        <v>33</v>
      </c>
      <c r="R644" t="s">
        <v>26</v>
      </c>
      <c r="S644" t="s">
        <v>27</v>
      </c>
      <c r="T644" t="s">
        <v>40</v>
      </c>
      <c r="U644">
        <f t="shared" si="10"/>
        <v>1</v>
      </c>
    </row>
    <row r="645" spans="1:21" x14ac:dyDescent="0.2">
      <c r="A645">
        <v>660</v>
      </c>
      <c r="B645" t="s">
        <v>41</v>
      </c>
      <c r="C645" t="s">
        <v>21</v>
      </c>
      <c r="D645">
        <v>24</v>
      </c>
      <c r="E645">
        <v>5</v>
      </c>
      <c r="F645">
        <v>85089.3</v>
      </c>
      <c r="G645">
        <v>1</v>
      </c>
      <c r="H645" t="s">
        <v>22</v>
      </c>
      <c r="I645" t="s">
        <v>22</v>
      </c>
      <c r="J645">
        <v>71638</v>
      </c>
      <c r="K645" t="s">
        <v>23</v>
      </c>
      <c r="L645">
        <v>5.1663882160908788E-2</v>
      </c>
      <c r="M645" t="s">
        <v>23</v>
      </c>
      <c r="N645">
        <v>0</v>
      </c>
      <c r="O645">
        <v>0</v>
      </c>
      <c r="P645" t="s">
        <v>34</v>
      </c>
      <c r="Q645" t="s">
        <v>36</v>
      </c>
      <c r="R645" t="s">
        <v>38</v>
      </c>
      <c r="S645" t="s">
        <v>27</v>
      </c>
      <c r="T645" t="s">
        <v>40</v>
      </c>
      <c r="U645">
        <f t="shared" si="10"/>
        <v>1</v>
      </c>
    </row>
    <row r="646" spans="1:21" x14ac:dyDescent="0.2">
      <c r="A646">
        <v>844</v>
      </c>
      <c r="B646" t="s">
        <v>42</v>
      </c>
      <c r="C646" t="s">
        <v>21</v>
      </c>
      <c r="D646">
        <v>38</v>
      </c>
      <c r="E646">
        <v>7</v>
      </c>
      <c r="F646">
        <v>111501.66</v>
      </c>
      <c r="G646">
        <v>1</v>
      </c>
      <c r="H646" t="s">
        <v>22</v>
      </c>
      <c r="I646" t="s">
        <v>22</v>
      </c>
      <c r="J646">
        <v>119333.38</v>
      </c>
      <c r="K646" t="s">
        <v>23</v>
      </c>
      <c r="L646">
        <v>6.098041554299316E-2</v>
      </c>
      <c r="M646" t="s">
        <v>23</v>
      </c>
      <c r="N646">
        <v>0</v>
      </c>
      <c r="O646">
        <v>0</v>
      </c>
      <c r="P646" t="s">
        <v>34</v>
      </c>
      <c r="Q646" t="s">
        <v>33</v>
      </c>
      <c r="R646" t="s">
        <v>26</v>
      </c>
      <c r="S646" t="s">
        <v>39</v>
      </c>
      <c r="T646" t="s">
        <v>28</v>
      </c>
      <c r="U646">
        <f t="shared" si="10"/>
        <v>1</v>
      </c>
    </row>
    <row r="647" spans="1:21" x14ac:dyDescent="0.2">
      <c r="A647">
        <v>747</v>
      </c>
      <c r="B647" t="s">
        <v>41</v>
      </c>
      <c r="C647" t="s">
        <v>21</v>
      </c>
      <c r="D647">
        <v>38</v>
      </c>
      <c r="E647">
        <v>2</v>
      </c>
      <c r="F647">
        <v>129728.6</v>
      </c>
      <c r="G647">
        <v>1</v>
      </c>
      <c r="H647" t="s">
        <v>22</v>
      </c>
      <c r="I647" t="s">
        <v>23</v>
      </c>
      <c r="J647">
        <v>89289.54</v>
      </c>
      <c r="K647" t="s">
        <v>23</v>
      </c>
      <c r="L647">
        <v>0.34085698986495472</v>
      </c>
      <c r="M647" t="s">
        <v>23</v>
      </c>
      <c r="N647">
        <v>0</v>
      </c>
      <c r="O647">
        <v>0</v>
      </c>
      <c r="P647" t="s">
        <v>24</v>
      </c>
      <c r="Q647" t="s">
        <v>33</v>
      </c>
      <c r="R647" t="s">
        <v>26</v>
      </c>
      <c r="S647" t="s">
        <v>37</v>
      </c>
      <c r="T647" t="s">
        <v>40</v>
      </c>
      <c r="U647">
        <f t="shared" si="10"/>
        <v>1</v>
      </c>
    </row>
    <row r="648" spans="1:21" x14ac:dyDescent="0.2">
      <c r="A648">
        <v>644</v>
      </c>
      <c r="B648" t="s">
        <v>41</v>
      </c>
      <c r="C648" t="s">
        <v>32</v>
      </c>
      <c r="D648">
        <v>40</v>
      </c>
      <c r="E648">
        <v>4</v>
      </c>
      <c r="F648">
        <v>77270.080000000002</v>
      </c>
      <c r="G648">
        <v>2</v>
      </c>
      <c r="H648" t="s">
        <v>22</v>
      </c>
      <c r="I648" t="s">
        <v>22</v>
      </c>
      <c r="J648">
        <v>115800.1</v>
      </c>
      <c r="K648" t="s">
        <v>22</v>
      </c>
      <c r="L648">
        <v>0.22323875117078851</v>
      </c>
      <c r="M648" t="s">
        <v>23</v>
      </c>
      <c r="N648">
        <v>1</v>
      </c>
      <c r="O648">
        <v>0</v>
      </c>
      <c r="P648" t="s">
        <v>24</v>
      </c>
      <c r="Q648" t="s">
        <v>33</v>
      </c>
      <c r="R648" t="s">
        <v>38</v>
      </c>
      <c r="S648" t="s">
        <v>27</v>
      </c>
      <c r="T648" t="s">
        <v>28</v>
      </c>
      <c r="U648">
        <f t="shared" si="10"/>
        <v>0</v>
      </c>
    </row>
    <row r="649" spans="1:21" x14ac:dyDescent="0.2">
      <c r="A649">
        <v>738</v>
      </c>
      <c r="B649" t="s">
        <v>42</v>
      </c>
      <c r="C649" t="s">
        <v>21</v>
      </c>
      <c r="D649">
        <v>49</v>
      </c>
      <c r="E649">
        <v>6</v>
      </c>
      <c r="F649">
        <v>106770.82</v>
      </c>
      <c r="G649">
        <v>1</v>
      </c>
      <c r="H649" t="s">
        <v>22</v>
      </c>
      <c r="I649" t="s">
        <v>23</v>
      </c>
      <c r="J649">
        <v>123499.27</v>
      </c>
      <c r="K649" t="s">
        <v>23</v>
      </c>
      <c r="L649">
        <v>0.32142105909088642</v>
      </c>
      <c r="M649" t="s">
        <v>23</v>
      </c>
      <c r="N649">
        <v>0</v>
      </c>
      <c r="O649">
        <v>0</v>
      </c>
      <c r="P649" t="s">
        <v>24</v>
      </c>
      <c r="Q649" t="s">
        <v>25</v>
      </c>
      <c r="R649" t="s">
        <v>26</v>
      </c>
      <c r="S649" t="s">
        <v>37</v>
      </c>
      <c r="T649" t="s">
        <v>28</v>
      </c>
      <c r="U649">
        <f t="shared" si="10"/>
        <v>1</v>
      </c>
    </row>
    <row r="650" spans="1:21" x14ac:dyDescent="0.2">
      <c r="A650">
        <v>710</v>
      </c>
      <c r="B650" t="s">
        <v>42</v>
      </c>
      <c r="C650" t="s">
        <v>21</v>
      </c>
      <c r="D650">
        <v>30</v>
      </c>
      <c r="E650">
        <v>6</v>
      </c>
      <c r="F650">
        <v>0</v>
      </c>
      <c r="G650">
        <v>2</v>
      </c>
      <c r="H650" t="s">
        <v>22</v>
      </c>
      <c r="I650" t="s">
        <v>22</v>
      </c>
      <c r="J650">
        <v>8991.17</v>
      </c>
      <c r="K650" t="s">
        <v>23</v>
      </c>
      <c r="L650">
        <v>2.4891979421982239E-2</v>
      </c>
      <c r="M650" t="s">
        <v>23</v>
      </c>
      <c r="N650">
        <v>0</v>
      </c>
      <c r="O650">
        <v>0</v>
      </c>
      <c r="P650" t="s">
        <v>34</v>
      </c>
      <c r="Q650" t="s">
        <v>36</v>
      </c>
      <c r="R650" t="s">
        <v>29</v>
      </c>
      <c r="S650" t="s">
        <v>37</v>
      </c>
      <c r="T650" t="s">
        <v>35</v>
      </c>
      <c r="U650">
        <f t="shared" si="10"/>
        <v>1</v>
      </c>
    </row>
    <row r="651" spans="1:21" x14ac:dyDescent="0.2">
      <c r="A651">
        <v>820</v>
      </c>
      <c r="B651" t="s">
        <v>42</v>
      </c>
      <c r="C651" t="s">
        <v>21</v>
      </c>
      <c r="D651">
        <v>33</v>
      </c>
      <c r="E651">
        <v>2</v>
      </c>
      <c r="F651">
        <v>132150.26</v>
      </c>
      <c r="G651">
        <v>2</v>
      </c>
      <c r="H651" t="s">
        <v>22</v>
      </c>
      <c r="I651" t="s">
        <v>23</v>
      </c>
      <c r="J651">
        <v>23067.97</v>
      </c>
      <c r="K651" t="s">
        <v>23</v>
      </c>
      <c r="L651">
        <v>0.11891131730147279</v>
      </c>
      <c r="M651" t="s">
        <v>23</v>
      </c>
      <c r="N651">
        <v>0</v>
      </c>
      <c r="O651">
        <v>0</v>
      </c>
      <c r="P651" t="s">
        <v>34</v>
      </c>
      <c r="Q651" t="s">
        <v>33</v>
      </c>
      <c r="R651" t="s">
        <v>26</v>
      </c>
      <c r="S651" t="s">
        <v>39</v>
      </c>
      <c r="T651" t="s">
        <v>35</v>
      </c>
      <c r="U651">
        <f t="shared" si="10"/>
        <v>1</v>
      </c>
    </row>
    <row r="652" spans="1:21" x14ac:dyDescent="0.2">
      <c r="A652">
        <v>690</v>
      </c>
      <c r="B652" t="s">
        <v>42</v>
      </c>
      <c r="C652" t="s">
        <v>32</v>
      </c>
      <c r="D652">
        <v>26</v>
      </c>
      <c r="E652">
        <v>5</v>
      </c>
      <c r="F652">
        <v>157624.84</v>
      </c>
      <c r="G652">
        <v>1</v>
      </c>
      <c r="H652" t="s">
        <v>22</v>
      </c>
      <c r="I652" t="s">
        <v>22</v>
      </c>
      <c r="J652">
        <v>49599.27</v>
      </c>
      <c r="K652" t="s">
        <v>23</v>
      </c>
      <c r="L652">
        <v>5.4784412604178677E-2</v>
      </c>
      <c r="M652" t="s">
        <v>23</v>
      </c>
      <c r="N652">
        <v>0</v>
      </c>
      <c r="O652">
        <v>0</v>
      </c>
      <c r="P652" t="s">
        <v>34</v>
      </c>
      <c r="Q652" t="s">
        <v>36</v>
      </c>
      <c r="R652" t="s">
        <v>47</v>
      </c>
      <c r="S652" t="s">
        <v>27</v>
      </c>
      <c r="T652" t="s">
        <v>35</v>
      </c>
      <c r="U652">
        <f t="shared" si="10"/>
        <v>1</v>
      </c>
    </row>
    <row r="653" spans="1:21" x14ac:dyDescent="0.2">
      <c r="A653">
        <v>624</v>
      </c>
      <c r="B653" t="s">
        <v>42</v>
      </c>
      <c r="C653" t="s">
        <v>32</v>
      </c>
      <c r="D653">
        <v>62</v>
      </c>
      <c r="E653">
        <v>7</v>
      </c>
      <c r="F653">
        <v>125163.62</v>
      </c>
      <c r="G653">
        <v>2</v>
      </c>
      <c r="H653" t="s">
        <v>22</v>
      </c>
      <c r="I653" t="s">
        <v>22</v>
      </c>
      <c r="J653">
        <v>151411.5</v>
      </c>
      <c r="K653" t="s">
        <v>23</v>
      </c>
      <c r="L653">
        <v>0.42337865220727389</v>
      </c>
      <c r="M653" t="s">
        <v>23</v>
      </c>
      <c r="N653">
        <v>0</v>
      </c>
      <c r="O653">
        <v>0</v>
      </c>
      <c r="P653" t="s">
        <v>24</v>
      </c>
      <c r="Q653" t="s">
        <v>46</v>
      </c>
      <c r="R653" t="s">
        <v>26</v>
      </c>
      <c r="S653" t="s">
        <v>27</v>
      </c>
      <c r="T653" t="s">
        <v>31</v>
      </c>
      <c r="U653">
        <f t="shared" si="10"/>
        <v>1</v>
      </c>
    </row>
    <row r="654" spans="1:21" x14ac:dyDescent="0.2">
      <c r="A654">
        <v>694</v>
      </c>
      <c r="B654" t="s">
        <v>42</v>
      </c>
      <c r="C654" t="s">
        <v>21</v>
      </c>
      <c r="D654">
        <v>60</v>
      </c>
      <c r="E654">
        <v>9</v>
      </c>
      <c r="F654">
        <v>0</v>
      </c>
      <c r="G654">
        <v>1</v>
      </c>
      <c r="H654" t="s">
        <v>22</v>
      </c>
      <c r="I654" t="s">
        <v>22</v>
      </c>
      <c r="J654">
        <v>57088.97</v>
      </c>
      <c r="K654" t="s">
        <v>23</v>
      </c>
      <c r="L654">
        <v>0.20327105560632711</v>
      </c>
      <c r="M654" t="s">
        <v>23</v>
      </c>
      <c r="N654">
        <v>0</v>
      </c>
      <c r="O654">
        <v>0</v>
      </c>
      <c r="P654" t="s">
        <v>24</v>
      </c>
      <c r="Q654" t="s">
        <v>44</v>
      </c>
      <c r="R654" t="s">
        <v>29</v>
      </c>
      <c r="S654" t="s">
        <v>27</v>
      </c>
      <c r="T654" t="s">
        <v>40</v>
      </c>
      <c r="U654">
        <f t="shared" si="10"/>
        <v>1</v>
      </c>
    </row>
    <row r="655" spans="1:21" x14ac:dyDescent="0.2">
      <c r="A655">
        <v>430</v>
      </c>
      <c r="B655" t="s">
        <v>41</v>
      </c>
      <c r="C655" t="s">
        <v>21</v>
      </c>
      <c r="D655">
        <v>36</v>
      </c>
      <c r="E655">
        <v>1</v>
      </c>
      <c r="F655">
        <v>138992.48000000001</v>
      </c>
      <c r="G655">
        <v>2</v>
      </c>
      <c r="H655" t="s">
        <v>23</v>
      </c>
      <c r="I655" t="s">
        <v>23</v>
      </c>
      <c r="J655">
        <v>122373.42</v>
      </c>
      <c r="K655" t="s">
        <v>23</v>
      </c>
      <c r="L655">
        <v>0.35501059993654938</v>
      </c>
      <c r="M655" t="s">
        <v>23</v>
      </c>
      <c r="N655">
        <v>0</v>
      </c>
      <c r="O655">
        <v>0</v>
      </c>
      <c r="P655" t="s">
        <v>24</v>
      </c>
      <c r="Q655" t="s">
        <v>33</v>
      </c>
      <c r="R655" t="s">
        <v>26</v>
      </c>
      <c r="S655" t="s">
        <v>45</v>
      </c>
      <c r="T655" t="s">
        <v>28</v>
      </c>
      <c r="U655">
        <f t="shared" si="10"/>
        <v>1</v>
      </c>
    </row>
    <row r="656" spans="1:21" x14ac:dyDescent="0.2">
      <c r="A656">
        <v>711</v>
      </c>
      <c r="B656" t="s">
        <v>42</v>
      </c>
      <c r="C656" t="s">
        <v>32</v>
      </c>
      <c r="D656">
        <v>37</v>
      </c>
      <c r="E656">
        <v>8</v>
      </c>
      <c r="F656">
        <v>113899.92</v>
      </c>
      <c r="G656">
        <v>1</v>
      </c>
      <c r="H656" t="s">
        <v>23</v>
      </c>
      <c r="I656" t="s">
        <v>23</v>
      </c>
      <c r="J656">
        <v>80215.199999999997</v>
      </c>
      <c r="K656" t="s">
        <v>23</v>
      </c>
      <c r="L656">
        <v>0.2531085406139269</v>
      </c>
      <c r="M656" t="s">
        <v>23</v>
      </c>
      <c r="N656">
        <v>0</v>
      </c>
      <c r="O656">
        <v>0</v>
      </c>
      <c r="P656" t="s">
        <v>24</v>
      </c>
      <c r="Q656" t="s">
        <v>33</v>
      </c>
      <c r="R656" t="s">
        <v>26</v>
      </c>
      <c r="S656" t="s">
        <v>37</v>
      </c>
      <c r="T656" t="s">
        <v>40</v>
      </c>
      <c r="U656">
        <f t="shared" si="10"/>
        <v>1</v>
      </c>
    </row>
    <row r="657" spans="1:21" x14ac:dyDescent="0.2">
      <c r="A657">
        <v>612</v>
      </c>
      <c r="B657" t="s">
        <v>42</v>
      </c>
      <c r="C657" t="s">
        <v>32</v>
      </c>
      <c r="D657">
        <v>42</v>
      </c>
      <c r="E657">
        <v>10</v>
      </c>
      <c r="F657">
        <v>75497.509999999995</v>
      </c>
      <c r="G657">
        <v>1</v>
      </c>
      <c r="H657" t="s">
        <v>23</v>
      </c>
      <c r="I657" t="s">
        <v>23</v>
      </c>
      <c r="J657">
        <v>149682.78</v>
      </c>
      <c r="K657" t="s">
        <v>23</v>
      </c>
      <c r="L657">
        <v>0.32216574901570888</v>
      </c>
      <c r="M657" t="s">
        <v>23</v>
      </c>
      <c r="N657">
        <v>0</v>
      </c>
      <c r="O657">
        <v>0</v>
      </c>
      <c r="P657" t="s">
        <v>24</v>
      </c>
      <c r="Q657" t="s">
        <v>25</v>
      </c>
      <c r="R657" t="s">
        <v>38</v>
      </c>
      <c r="S657" t="s">
        <v>27</v>
      </c>
      <c r="T657" t="s">
        <v>28</v>
      </c>
      <c r="U657">
        <f t="shared" si="10"/>
        <v>1</v>
      </c>
    </row>
    <row r="658" spans="1:21" x14ac:dyDescent="0.2">
      <c r="A658">
        <v>593</v>
      </c>
      <c r="B658" t="s">
        <v>42</v>
      </c>
      <c r="C658" t="s">
        <v>32</v>
      </c>
      <c r="D658">
        <v>39</v>
      </c>
      <c r="E658">
        <v>0</v>
      </c>
      <c r="F658">
        <v>117704.73</v>
      </c>
      <c r="G658">
        <v>1</v>
      </c>
      <c r="H658" t="s">
        <v>22</v>
      </c>
      <c r="I658" t="s">
        <v>23</v>
      </c>
      <c r="J658">
        <v>197933.5</v>
      </c>
      <c r="K658" t="s">
        <v>23</v>
      </c>
      <c r="L658">
        <v>0.34285186947207491</v>
      </c>
      <c r="M658" t="s">
        <v>23</v>
      </c>
      <c r="N658">
        <v>0</v>
      </c>
      <c r="O658">
        <v>0</v>
      </c>
      <c r="P658" t="s">
        <v>24</v>
      </c>
      <c r="Q658" t="s">
        <v>33</v>
      </c>
      <c r="R658" t="s">
        <v>26</v>
      </c>
      <c r="S658" t="s">
        <v>30</v>
      </c>
      <c r="T658" t="s">
        <v>31</v>
      </c>
      <c r="U658">
        <f t="shared" si="10"/>
        <v>1</v>
      </c>
    </row>
    <row r="659" spans="1:21" x14ac:dyDescent="0.2">
      <c r="A659">
        <v>731</v>
      </c>
      <c r="B659" t="s">
        <v>41</v>
      </c>
      <c r="C659" t="s">
        <v>32</v>
      </c>
      <c r="D659">
        <v>43</v>
      </c>
      <c r="E659">
        <v>9</v>
      </c>
      <c r="F659">
        <v>79120.27</v>
      </c>
      <c r="G659">
        <v>1</v>
      </c>
      <c r="H659" t="s">
        <v>23</v>
      </c>
      <c r="I659" t="s">
        <v>23</v>
      </c>
      <c r="J659">
        <v>548.52</v>
      </c>
      <c r="K659" t="s">
        <v>22</v>
      </c>
      <c r="L659">
        <v>0.49548101338046169</v>
      </c>
      <c r="M659" t="s">
        <v>23</v>
      </c>
      <c r="N659">
        <v>1</v>
      </c>
      <c r="O659">
        <v>0</v>
      </c>
      <c r="P659" t="s">
        <v>24</v>
      </c>
      <c r="Q659" t="s">
        <v>25</v>
      </c>
      <c r="R659" t="s">
        <v>38</v>
      </c>
      <c r="S659" t="s">
        <v>37</v>
      </c>
      <c r="T659" t="s">
        <v>35</v>
      </c>
      <c r="U659">
        <f t="shared" si="10"/>
        <v>0</v>
      </c>
    </row>
    <row r="660" spans="1:21" x14ac:dyDescent="0.2">
      <c r="A660">
        <v>587</v>
      </c>
      <c r="B660" t="s">
        <v>41</v>
      </c>
      <c r="C660" t="s">
        <v>32</v>
      </c>
      <c r="D660">
        <v>37</v>
      </c>
      <c r="E660">
        <v>6</v>
      </c>
      <c r="F660">
        <v>104414.03</v>
      </c>
      <c r="G660">
        <v>1</v>
      </c>
      <c r="H660" t="s">
        <v>22</v>
      </c>
      <c r="I660" t="s">
        <v>23</v>
      </c>
      <c r="J660">
        <v>192026.02</v>
      </c>
      <c r="K660" t="s">
        <v>23</v>
      </c>
      <c r="L660">
        <v>0.45946216383126942</v>
      </c>
      <c r="M660" t="s">
        <v>23</v>
      </c>
      <c r="N660">
        <v>0</v>
      </c>
      <c r="O660">
        <v>0</v>
      </c>
      <c r="P660" t="s">
        <v>24</v>
      </c>
      <c r="Q660" t="s">
        <v>33</v>
      </c>
      <c r="R660" t="s">
        <v>26</v>
      </c>
      <c r="S660" t="s">
        <v>30</v>
      </c>
      <c r="T660" t="s">
        <v>31</v>
      </c>
      <c r="U660">
        <f t="shared" si="10"/>
        <v>1</v>
      </c>
    </row>
    <row r="661" spans="1:21" x14ac:dyDescent="0.2">
      <c r="A661">
        <v>571</v>
      </c>
      <c r="B661" t="s">
        <v>42</v>
      </c>
      <c r="C661" t="s">
        <v>21</v>
      </c>
      <c r="D661">
        <v>41</v>
      </c>
      <c r="E661">
        <v>8</v>
      </c>
      <c r="F661">
        <v>0</v>
      </c>
      <c r="G661">
        <v>1</v>
      </c>
      <c r="H661" t="s">
        <v>22</v>
      </c>
      <c r="I661" t="s">
        <v>22</v>
      </c>
      <c r="J661">
        <v>63736.17</v>
      </c>
      <c r="K661" t="s">
        <v>23</v>
      </c>
      <c r="L661">
        <v>6.5181244662080084E-2</v>
      </c>
      <c r="M661" t="s">
        <v>23</v>
      </c>
      <c r="N661">
        <v>0</v>
      </c>
      <c r="O661">
        <v>0</v>
      </c>
      <c r="P661" t="s">
        <v>34</v>
      </c>
      <c r="Q661" t="s">
        <v>25</v>
      </c>
      <c r="R661" t="s">
        <v>29</v>
      </c>
      <c r="S661" t="s">
        <v>30</v>
      </c>
      <c r="T661" t="s">
        <v>40</v>
      </c>
      <c r="U661">
        <f t="shared" si="10"/>
        <v>1</v>
      </c>
    </row>
    <row r="662" spans="1:21" x14ac:dyDescent="0.2">
      <c r="A662">
        <v>700</v>
      </c>
      <c r="B662" t="s">
        <v>42</v>
      </c>
      <c r="C662" t="s">
        <v>32</v>
      </c>
      <c r="D662">
        <v>32</v>
      </c>
      <c r="E662">
        <v>3</v>
      </c>
      <c r="F662">
        <v>0</v>
      </c>
      <c r="G662">
        <v>1</v>
      </c>
      <c r="H662" t="s">
        <v>23</v>
      </c>
      <c r="I662" t="s">
        <v>23</v>
      </c>
      <c r="J662">
        <v>95740.37</v>
      </c>
      <c r="K662" t="s">
        <v>23</v>
      </c>
      <c r="L662">
        <v>0.16355226305719839</v>
      </c>
      <c r="M662" t="s">
        <v>23</v>
      </c>
      <c r="N662">
        <v>0</v>
      </c>
      <c r="O662">
        <v>0</v>
      </c>
      <c r="P662" t="s">
        <v>34</v>
      </c>
      <c r="Q662" t="s">
        <v>33</v>
      </c>
      <c r="R662" t="s">
        <v>29</v>
      </c>
      <c r="S662" t="s">
        <v>27</v>
      </c>
      <c r="T662" t="s">
        <v>40</v>
      </c>
      <c r="U662">
        <f t="shared" si="10"/>
        <v>1</v>
      </c>
    </row>
    <row r="663" spans="1:21" x14ac:dyDescent="0.2">
      <c r="A663">
        <v>596</v>
      </c>
      <c r="B663" t="s">
        <v>42</v>
      </c>
      <c r="C663" t="s">
        <v>21</v>
      </c>
      <c r="D663">
        <v>36</v>
      </c>
      <c r="E663">
        <v>2</v>
      </c>
      <c r="F663">
        <v>0</v>
      </c>
      <c r="G663">
        <v>2</v>
      </c>
      <c r="H663" t="s">
        <v>22</v>
      </c>
      <c r="I663" t="s">
        <v>22</v>
      </c>
      <c r="J663">
        <v>12067.39</v>
      </c>
      <c r="K663" t="s">
        <v>23</v>
      </c>
      <c r="L663">
        <v>4.460637647144728E-2</v>
      </c>
      <c r="M663" t="s">
        <v>23</v>
      </c>
      <c r="N663">
        <v>0</v>
      </c>
      <c r="O663">
        <v>0</v>
      </c>
      <c r="P663" t="s">
        <v>34</v>
      </c>
      <c r="Q663" t="s">
        <v>33</v>
      </c>
      <c r="R663" t="s">
        <v>29</v>
      </c>
      <c r="S663" t="s">
        <v>30</v>
      </c>
      <c r="T663" t="s">
        <v>35</v>
      </c>
      <c r="U663">
        <f t="shared" si="10"/>
        <v>1</v>
      </c>
    </row>
    <row r="664" spans="1:21" x14ac:dyDescent="0.2">
      <c r="A664">
        <v>850</v>
      </c>
      <c r="B664" t="s">
        <v>41</v>
      </c>
      <c r="C664" t="s">
        <v>32</v>
      </c>
      <c r="D664">
        <v>30</v>
      </c>
      <c r="E664">
        <v>8</v>
      </c>
      <c r="F664">
        <v>154870.28</v>
      </c>
      <c r="G664">
        <v>1</v>
      </c>
      <c r="H664" t="s">
        <v>22</v>
      </c>
      <c r="I664" t="s">
        <v>22</v>
      </c>
      <c r="J664">
        <v>54191.38</v>
      </c>
      <c r="K664" t="s">
        <v>23</v>
      </c>
      <c r="L664">
        <v>0.1258317900155225</v>
      </c>
      <c r="M664" t="s">
        <v>23</v>
      </c>
      <c r="N664">
        <v>0</v>
      </c>
      <c r="O664">
        <v>0</v>
      </c>
      <c r="P664" t="s">
        <v>34</v>
      </c>
      <c r="Q664" t="s">
        <v>36</v>
      </c>
      <c r="R664" t="s">
        <v>47</v>
      </c>
      <c r="S664" t="s">
        <v>39</v>
      </c>
      <c r="T664" t="s">
        <v>40</v>
      </c>
      <c r="U664">
        <f t="shared" si="10"/>
        <v>1</v>
      </c>
    </row>
    <row r="665" spans="1:21" x14ac:dyDescent="0.2">
      <c r="A665">
        <v>713</v>
      </c>
      <c r="B665" t="s">
        <v>42</v>
      </c>
      <c r="C665" t="s">
        <v>21</v>
      </c>
      <c r="D665">
        <v>33</v>
      </c>
      <c r="E665">
        <v>6</v>
      </c>
      <c r="F665">
        <v>94598.48</v>
      </c>
      <c r="G665">
        <v>1</v>
      </c>
      <c r="H665" t="s">
        <v>23</v>
      </c>
      <c r="I665" t="s">
        <v>23</v>
      </c>
      <c r="J665">
        <v>197519.66</v>
      </c>
      <c r="K665" t="s">
        <v>22</v>
      </c>
      <c r="L665">
        <v>0.1333390624851116</v>
      </c>
      <c r="M665" t="s">
        <v>23</v>
      </c>
      <c r="N665">
        <v>1</v>
      </c>
      <c r="O665">
        <v>0</v>
      </c>
      <c r="P665" t="s">
        <v>34</v>
      </c>
      <c r="Q665" t="s">
        <v>33</v>
      </c>
      <c r="R665" t="s">
        <v>38</v>
      </c>
      <c r="S665" t="s">
        <v>37</v>
      </c>
      <c r="T665" t="s">
        <v>31</v>
      </c>
      <c r="U665">
        <f t="shared" si="10"/>
        <v>0</v>
      </c>
    </row>
    <row r="666" spans="1:21" x14ac:dyDescent="0.2">
      <c r="A666">
        <v>773</v>
      </c>
      <c r="B666" t="s">
        <v>42</v>
      </c>
      <c r="C666" t="s">
        <v>32</v>
      </c>
      <c r="D666">
        <v>40</v>
      </c>
      <c r="E666">
        <v>10</v>
      </c>
      <c r="F666">
        <v>0</v>
      </c>
      <c r="G666">
        <v>2</v>
      </c>
      <c r="H666" t="s">
        <v>23</v>
      </c>
      <c r="I666" t="s">
        <v>22</v>
      </c>
      <c r="J666">
        <v>69303.149999999994</v>
      </c>
      <c r="K666" t="s">
        <v>23</v>
      </c>
      <c r="L666">
        <v>8.0364196155138568E-2</v>
      </c>
      <c r="M666" t="s">
        <v>23</v>
      </c>
      <c r="N666">
        <v>0</v>
      </c>
      <c r="O666">
        <v>0</v>
      </c>
      <c r="P666" t="s">
        <v>34</v>
      </c>
      <c r="Q666" t="s">
        <v>33</v>
      </c>
      <c r="R666" t="s">
        <v>29</v>
      </c>
      <c r="S666" t="s">
        <v>37</v>
      </c>
      <c r="T666" t="s">
        <v>40</v>
      </c>
      <c r="U666">
        <f t="shared" si="10"/>
        <v>1</v>
      </c>
    </row>
    <row r="667" spans="1:21" x14ac:dyDescent="0.2">
      <c r="A667">
        <v>697</v>
      </c>
      <c r="B667" t="s">
        <v>20</v>
      </c>
      <c r="C667" t="s">
        <v>32</v>
      </c>
      <c r="D667">
        <v>37</v>
      </c>
      <c r="E667">
        <v>7</v>
      </c>
      <c r="F667">
        <v>168066.87</v>
      </c>
      <c r="G667">
        <v>1</v>
      </c>
      <c r="H667" t="s">
        <v>22</v>
      </c>
      <c r="I667" t="s">
        <v>23</v>
      </c>
      <c r="J667">
        <v>35450.53</v>
      </c>
      <c r="K667" t="s">
        <v>23</v>
      </c>
      <c r="L667">
        <v>0.28270838220907868</v>
      </c>
      <c r="M667" t="s">
        <v>23</v>
      </c>
      <c r="N667">
        <v>0</v>
      </c>
      <c r="O667">
        <v>0</v>
      </c>
      <c r="P667" t="s">
        <v>24</v>
      </c>
      <c r="Q667" t="s">
        <v>33</v>
      </c>
      <c r="R667" t="s">
        <v>47</v>
      </c>
      <c r="S667" t="s">
        <v>27</v>
      </c>
      <c r="T667" t="s">
        <v>35</v>
      </c>
      <c r="U667">
        <f t="shared" si="10"/>
        <v>1</v>
      </c>
    </row>
    <row r="668" spans="1:21" x14ac:dyDescent="0.2">
      <c r="A668">
        <v>820</v>
      </c>
      <c r="B668" t="s">
        <v>42</v>
      </c>
      <c r="C668" t="s">
        <v>32</v>
      </c>
      <c r="D668">
        <v>49</v>
      </c>
      <c r="E668">
        <v>1</v>
      </c>
      <c r="F668">
        <v>0</v>
      </c>
      <c r="G668">
        <v>2</v>
      </c>
      <c r="H668" t="s">
        <v>22</v>
      </c>
      <c r="I668" t="s">
        <v>22</v>
      </c>
      <c r="J668">
        <v>119087.25</v>
      </c>
      <c r="K668" t="s">
        <v>23</v>
      </c>
      <c r="L668">
        <v>0.16379182598204919</v>
      </c>
      <c r="M668" t="s">
        <v>23</v>
      </c>
      <c r="N668">
        <v>0</v>
      </c>
      <c r="O668">
        <v>0</v>
      </c>
      <c r="P668" t="s">
        <v>34</v>
      </c>
      <c r="Q668" t="s">
        <v>25</v>
      </c>
      <c r="R668" t="s">
        <v>29</v>
      </c>
      <c r="S668" t="s">
        <v>39</v>
      </c>
      <c r="T668" t="s">
        <v>28</v>
      </c>
      <c r="U668">
        <f t="shared" si="10"/>
        <v>1</v>
      </c>
    </row>
    <row r="669" spans="1:21" x14ac:dyDescent="0.2">
      <c r="A669">
        <v>720</v>
      </c>
      <c r="B669" t="s">
        <v>20</v>
      </c>
      <c r="C669" t="s">
        <v>21</v>
      </c>
      <c r="D669">
        <v>33</v>
      </c>
      <c r="E669">
        <v>6</v>
      </c>
      <c r="F669">
        <v>97188.62</v>
      </c>
      <c r="G669">
        <v>1</v>
      </c>
      <c r="H669" t="s">
        <v>23</v>
      </c>
      <c r="I669" t="s">
        <v>23</v>
      </c>
      <c r="J669">
        <v>91881.29</v>
      </c>
      <c r="K669" t="s">
        <v>23</v>
      </c>
      <c r="L669">
        <v>0.13118018242084539</v>
      </c>
      <c r="M669" t="s">
        <v>23</v>
      </c>
      <c r="N669">
        <v>0</v>
      </c>
      <c r="O669">
        <v>0</v>
      </c>
      <c r="P669" t="s">
        <v>34</v>
      </c>
      <c r="Q669" t="s">
        <v>33</v>
      </c>
      <c r="R669" t="s">
        <v>38</v>
      </c>
      <c r="S669" t="s">
        <v>37</v>
      </c>
      <c r="T669" t="s">
        <v>40</v>
      </c>
      <c r="U669">
        <f t="shared" si="10"/>
        <v>1</v>
      </c>
    </row>
    <row r="670" spans="1:21" x14ac:dyDescent="0.2">
      <c r="A670">
        <v>593</v>
      </c>
      <c r="B670" t="s">
        <v>20</v>
      </c>
      <c r="C670" t="s">
        <v>21</v>
      </c>
      <c r="D670">
        <v>43</v>
      </c>
      <c r="E670">
        <v>10</v>
      </c>
      <c r="F670">
        <v>0</v>
      </c>
      <c r="G670">
        <v>2</v>
      </c>
      <c r="H670" t="s">
        <v>23</v>
      </c>
      <c r="I670" t="s">
        <v>23</v>
      </c>
      <c r="J670">
        <v>53478.02</v>
      </c>
      <c r="K670" t="s">
        <v>23</v>
      </c>
      <c r="L670">
        <v>0.1796313314880586</v>
      </c>
      <c r="M670" t="s">
        <v>23</v>
      </c>
      <c r="N670">
        <v>0</v>
      </c>
      <c r="O670">
        <v>0</v>
      </c>
      <c r="P670" t="s">
        <v>34</v>
      </c>
      <c r="Q670" t="s">
        <v>25</v>
      </c>
      <c r="R670" t="s">
        <v>29</v>
      </c>
      <c r="S670" t="s">
        <v>30</v>
      </c>
      <c r="T670" t="s">
        <v>40</v>
      </c>
      <c r="U670">
        <f t="shared" si="10"/>
        <v>1</v>
      </c>
    </row>
    <row r="671" spans="1:21" x14ac:dyDescent="0.2">
      <c r="A671">
        <v>570</v>
      </c>
      <c r="B671" t="s">
        <v>41</v>
      </c>
      <c r="C671" t="s">
        <v>21</v>
      </c>
      <c r="D671">
        <v>35</v>
      </c>
      <c r="E671">
        <v>6</v>
      </c>
      <c r="F671">
        <v>85668.59</v>
      </c>
      <c r="G671">
        <v>1</v>
      </c>
      <c r="H671" t="s">
        <v>22</v>
      </c>
      <c r="I671" t="s">
        <v>23</v>
      </c>
      <c r="J671">
        <v>105525.36</v>
      </c>
      <c r="K671" t="s">
        <v>23</v>
      </c>
      <c r="L671">
        <v>0.28025907130410099</v>
      </c>
      <c r="M671" t="s">
        <v>23</v>
      </c>
      <c r="N671">
        <v>0</v>
      </c>
      <c r="O671">
        <v>0</v>
      </c>
      <c r="P671" t="s">
        <v>24</v>
      </c>
      <c r="Q671" t="s">
        <v>33</v>
      </c>
      <c r="R671" t="s">
        <v>38</v>
      </c>
      <c r="S671" t="s">
        <v>30</v>
      </c>
      <c r="T671" t="s">
        <v>28</v>
      </c>
      <c r="U671">
        <f t="shared" si="10"/>
        <v>1</v>
      </c>
    </row>
    <row r="672" spans="1:21" x14ac:dyDescent="0.2">
      <c r="A672">
        <v>686</v>
      </c>
      <c r="B672" t="s">
        <v>42</v>
      </c>
      <c r="C672" t="s">
        <v>32</v>
      </c>
      <c r="D672">
        <v>41</v>
      </c>
      <c r="E672">
        <v>7</v>
      </c>
      <c r="F672">
        <v>152105.57</v>
      </c>
      <c r="G672">
        <v>2</v>
      </c>
      <c r="H672" t="s">
        <v>23</v>
      </c>
      <c r="I672" t="s">
        <v>22</v>
      </c>
      <c r="J672">
        <v>132374.41</v>
      </c>
      <c r="K672" t="s">
        <v>23</v>
      </c>
      <c r="L672">
        <v>0.14011827883549441</v>
      </c>
      <c r="M672" t="s">
        <v>23</v>
      </c>
      <c r="N672">
        <v>0</v>
      </c>
      <c r="O672">
        <v>0</v>
      </c>
      <c r="P672" t="s">
        <v>34</v>
      </c>
      <c r="Q672" t="s">
        <v>25</v>
      </c>
      <c r="R672" t="s">
        <v>47</v>
      </c>
      <c r="S672" t="s">
        <v>27</v>
      </c>
      <c r="T672" t="s">
        <v>28</v>
      </c>
      <c r="U672">
        <f t="shared" si="10"/>
        <v>1</v>
      </c>
    </row>
    <row r="673" spans="1:21" x14ac:dyDescent="0.2">
      <c r="A673">
        <v>646</v>
      </c>
      <c r="B673" t="s">
        <v>41</v>
      </c>
      <c r="C673" t="s">
        <v>32</v>
      </c>
      <c r="D673">
        <v>30</v>
      </c>
      <c r="E673">
        <v>10</v>
      </c>
      <c r="F673">
        <v>100548.67</v>
      </c>
      <c r="G673">
        <v>2</v>
      </c>
      <c r="H673" t="s">
        <v>23</v>
      </c>
      <c r="I673" t="s">
        <v>23</v>
      </c>
      <c r="J673">
        <v>136983.76999999999</v>
      </c>
      <c r="K673" t="s">
        <v>23</v>
      </c>
      <c r="L673">
        <v>0.28645413584314211</v>
      </c>
      <c r="M673" t="s">
        <v>23</v>
      </c>
      <c r="N673">
        <v>0</v>
      </c>
      <c r="O673">
        <v>0</v>
      </c>
      <c r="P673" t="s">
        <v>24</v>
      </c>
      <c r="Q673" t="s">
        <v>36</v>
      </c>
      <c r="R673" t="s">
        <v>26</v>
      </c>
      <c r="S673" t="s">
        <v>27</v>
      </c>
      <c r="T673" t="s">
        <v>28</v>
      </c>
      <c r="U673">
        <f t="shared" si="10"/>
        <v>1</v>
      </c>
    </row>
    <row r="674" spans="1:21" x14ac:dyDescent="0.2">
      <c r="A674">
        <v>661</v>
      </c>
      <c r="B674" t="s">
        <v>20</v>
      </c>
      <c r="C674" t="s">
        <v>32</v>
      </c>
      <c r="D674">
        <v>41</v>
      </c>
      <c r="E674">
        <v>5</v>
      </c>
      <c r="F674">
        <v>28082.95</v>
      </c>
      <c r="G674">
        <v>1</v>
      </c>
      <c r="H674" t="s">
        <v>22</v>
      </c>
      <c r="I674" t="s">
        <v>23</v>
      </c>
      <c r="J674">
        <v>69586.27</v>
      </c>
      <c r="K674" t="s">
        <v>22</v>
      </c>
      <c r="L674">
        <v>0.28611960008718051</v>
      </c>
      <c r="M674" t="s">
        <v>23</v>
      </c>
      <c r="N674">
        <v>1</v>
      </c>
      <c r="O674">
        <v>0</v>
      </c>
      <c r="P674" t="s">
        <v>24</v>
      </c>
      <c r="Q674" t="s">
        <v>25</v>
      </c>
      <c r="R674" t="s">
        <v>48</v>
      </c>
      <c r="S674" t="s">
        <v>27</v>
      </c>
      <c r="T674" t="s">
        <v>40</v>
      </c>
      <c r="U674">
        <f t="shared" si="10"/>
        <v>0</v>
      </c>
    </row>
    <row r="675" spans="1:21" x14ac:dyDescent="0.2">
      <c r="A675">
        <v>835</v>
      </c>
      <c r="B675" t="s">
        <v>42</v>
      </c>
      <c r="C675" t="s">
        <v>21</v>
      </c>
      <c r="D675">
        <v>35</v>
      </c>
      <c r="E675">
        <v>6</v>
      </c>
      <c r="F675">
        <v>127120.07</v>
      </c>
      <c r="G675">
        <v>1</v>
      </c>
      <c r="H675" t="s">
        <v>22</v>
      </c>
      <c r="I675" t="s">
        <v>23</v>
      </c>
      <c r="J675">
        <v>28707.69</v>
      </c>
      <c r="K675" t="s">
        <v>23</v>
      </c>
      <c r="L675">
        <v>0.13580237076593579</v>
      </c>
      <c r="M675" t="s">
        <v>23</v>
      </c>
      <c r="N675">
        <v>0</v>
      </c>
      <c r="O675">
        <v>0</v>
      </c>
      <c r="P675" t="s">
        <v>34</v>
      </c>
      <c r="Q675" t="s">
        <v>33</v>
      </c>
      <c r="R675" t="s">
        <v>26</v>
      </c>
      <c r="S675" t="s">
        <v>39</v>
      </c>
      <c r="T675" t="s">
        <v>35</v>
      </c>
      <c r="U675">
        <f t="shared" si="10"/>
        <v>1</v>
      </c>
    </row>
    <row r="676" spans="1:21" x14ac:dyDescent="0.2">
      <c r="A676">
        <v>408</v>
      </c>
      <c r="B676" t="s">
        <v>42</v>
      </c>
      <c r="C676" t="s">
        <v>32</v>
      </c>
      <c r="D676">
        <v>84</v>
      </c>
      <c r="E676">
        <v>8</v>
      </c>
      <c r="F676">
        <v>87873.39</v>
      </c>
      <c r="G676">
        <v>1</v>
      </c>
      <c r="H676" t="s">
        <v>23</v>
      </c>
      <c r="I676" t="s">
        <v>23</v>
      </c>
      <c r="J676">
        <v>188484.52</v>
      </c>
      <c r="K676" t="s">
        <v>22</v>
      </c>
      <c r="L676">
        <v>0.9307629923629509</v>
      </c>
      <c r="M676" t="s">
        <v>22</v>
      </c>
      <c r="N676">
        <v>1</v>
      </c>
      <c r="O676">
        <v>1</v>
      </c>
      <c r="P676" t="s">
        <v>43</v>
      </c>
      <c r="Q676" t="s">
        <v>46</v>
      </c>
      <c r="R676" t="s">
        <v>38</v>
      </c>
      <c r="S676" t="s">
        <v>45</v>
      </c>
      <c r="T676" t="s">
        <v>31</v>
      </c>
      <c r="U676">
        <f t="shared" si="10"/>
        <v>1</v>
      </c>
    </row>
    <row r="677" spans="1:21" x14ac:dyDescent="0.2">
      <c r="A677">
        <v>695</v>
      </c>
      <c r="B677" t="s">
        <v>42</v>
      </c>
      <c r="C677" t="s">
        <v>32</v>
      </c>
      <c r="D677">
        <v>42</v>
      </c>
      <c r="E677">
        <v>5</v>
      </c>
      <c r="F677">
        <v>0</v>
      </c>
      <c r="G677">
        <v>1</v>
      </c>
      <c r="H677" t="s">
        <v>23</v>
      </c>
      <c r="I677" t="s">
        <v>22</v>
      </c>
      <c r="J677">
        <v>72172.13</v>
      </c>
      <c r="K677" t="s">
        <v>22</v>
      </c>
      <c r="L677">
        <v>0.1159590348020425</v>
      </c>
      <c r="M677" t="s">
        <v>23</v>
      </c>
      <c r="N677">
        <v>1</v>
      </c>
      <c r="O677">
        <v>0</v>
      </c>
      <c r="P677" t="s">
        <v>34</v>
      </c>
      <c r="Q677" t="s">
        <v>25</v>
      </c>
      <c r="R677" t="s">
        <v>29</v>
      </c>
      <c r="S677" t="s">
        <v>27</v>
      </c>
      <c r="T677" t="s">
        <v>40</v>
      </c>
      <c r="U677">
        <f t="shared" si="10"/>
        <v>0</v>
      </c>
    </row>
    <row r="678" spans="1:21" x14ac:dyDescent="0.2">
      <c r="A678">
        <v>677</v>
      </c>
      <c r="B678" t="s">
        <v>41</v>
      </c>
      <c r="C678" t="s">
        <v>32</v>
      </c>
      <c r="D678">
        <v>44</v>
      </c>
      <c r="E678">
        <v>4</v>
      </c>
      <c r="F678">
        <v>148770.60999999999</v>
      </c>
      <c r="G678">
        <v>2</v>
      </c>
      <c r="H678" t="s">
        <v>22</v>
      </c>
      <c r="I678" t="s">
        <v>22</v>
      </c>
      <c r="J678">
        <v>191057.76</v>
      </c>
      <c r="K678" t="s">
        <v>23</v>
      </c>
      <c r="L678">
        <v>0.32161791952306479</v>
      </c>
      <c r="M678" t="s">
        <v>23</v>
      </c>
      <c r="N678">
        <v>0</v>
      </c>
      <c r="O678">
        <v>0</v>
      </c>
      <c r="P678" t="s">
        <v>24</v>
      </c>
      <c r="Q678" t="s">
        <v>25</v>
      </c>
      <c r="R678" t="s">
        <v>26</v>
      </c>
      <c r="S678" t="s">
        <v>27</v>
      </c>
      <c r="T678" t="s">
        <v>31</v>
      </c>
      <c r="U678">
        <f t="shared" si="10"/>
        <v>1</v>
      </c>
    </row>
    <row r="679" spans="1:21" x14ac:dyDescent="0.2">
      <c r="A679">
        <v>602</v>
      </c>
      <c r="B679" t="s">
        <v>42</v>
      </c>
      <c r="C679" t="s">
        <v>21</v>
      </c>
      <c r="D679">
        <v>59</v>
      </c>
      <c r="E679">
        <v>7</v>
      </c>
      <c r="F679">
        <v>0</v>
      </c>
      <c r="G679">
        <v>2</v>
      </c>
      <c r="H679" t="s">
        <v>22</v>
      </c>
      <c r="I679" t="s">
        <v>22</v>
      </c>
      <c r="J679">
        <v>162347.04999999999</v>
      </c>
      <c r="K679" t="s">
        <v>23</v>
      </c>
      <c r="L679">
        <v>0.2007810944501279</v>
      </c>
      <c r="M679" t="s">
        <v>23</v>
      </c>
      <c r="N679">
        <v>0</v>
      </c>
      <c r="O679">
        <v>0</v>
      </c>
      <c r="P679" t="s">
        <v>24</v>
      </c>
      <c r="Q679" t="s">
        <v>44</v>
      </c>
      <c r="R679" t="s">
        <v>29</v>
      </c>
      <c r="S679" t="s">
        <v>27</v>
      </c>
      <c r="T679" t="s">
        <v>31</v>
      </c>
      <c r="U679">
        <f t="shared" si="10"/>
        <v>1</v>
      </c>
    </row>
    <row r="680" spans="1:21" x14ac:dyDescent="0.2">
      <c r="A680">
        <v>672</v>
      </c>
      <c r="B680" t="s">
        <v>42</v>
      </c>
      <c r="C680" t="s">
        <v>21</v>
      </c>
      <c r="D680">
        <v>43</v>
      </c>
      <c r="E680">
        <v>5</v>
      </c>
      <c r="F680">
        <v>0</v>
      </c>
      <c r="G680">
        <v>1</v>
      </c>
      <c r="H680" t="s">
        <v>23</v>
      </c>
      <c r="I680" t="s">
        <v>23</v>
      </c>
      <c r="J680">
        <v>63833.09</v>
      </c>
      <c r="K680" t="s">
        <v>23</v>
      </c>
      <c r="L680">
        <v>0.19724203523281511</v>
      </c>
      <c r="M680" t="s">
        <v>23</v>
      </c>
      <c r="N680">
        <v>0</v>
      </c>
      <c r="O680">
        <v>0</v>
      </c>
      <c r="P680" t="s">
        <v>34</v>
      </c>
      <c r="Q680" t="s">
        <v>25</v>
      </c>
      <c r="R680" t="s">
        <v>29</v>
      </c>
      <c r="S680" t="s">
        <v>27</v>
      </c>
      <c r="T680" t="s">
        <v>40</v>
      </c>
      <c r="U680">
        <f t="shared" si="10"/>
        <v>1</v>
      </c>
    </row>
    <row r="681" spans="1:21" x14ac:dyDescent="0.2">
      <c r="A681">
        <v>590</v>
      </c>
      <c r="B681" t="s">
        <v>42</v>
      </c>
      <c r="C681" t="s">
        <v>32</v>
      </c>
      <c r="D681">
        <v>60</v>
      </c>
      <c r="E681">
        <v>6</v>
      </c>
      <c r="F681">
        <v>147751.75</v>
      </c>
      <c r="G681">
        <v>1</v>
      </c>
      <c r="H681" t="s">
        <v>22</v>
      </c>
      <c r="I681" t="s">
        <v>23</v>
      </c>
      <c r="J681">
        <v>88206.04</v>
      </c>
      <c r="K681" t="s">
        <v>22</v>
      </c>
      <c r="L681">
        <v>0.69063318361912518</v>
      </c>
      <c r="M681" t="s">
        <v>22</v>
      </c>
      <c r="N681">
        <v>1</v>
      </c>
      <c r="O681">
        <v>1</v>
      </c>
      <c r="P681" t="s">
        <v>43</v>
      </c>
      <c r="Q681" t="s">
        <v>44</v>
      </c>
      <c r="R681" t="s">
        <v>26</v>
      </c>
      <c r="S681" t="s">
        <v>30</v>
      </c>
      <c r="T681" t="s">
        <v>40</v>
      </c>
      <c r="U681">
        <f t="shared" si="10"/>
        <v>1</v>
      </c>
    </row>
    <row r="682" spans="1:21" x14ac:dyDescent="0.2">
      <c r="A682">
        <v>765</v>
      </c>
      <c r="B682" t="s">
        <v>42</v>
      </c>
      <c r="C682" t="s">
        <v>21</v>
      </c>
      <c r="D682">
        <v>41</v>
      </c>
      <c r="E682">
        <v>4</v>
      </c>
      <c r="F682">
        <v>124182.21</v>
      </c>
      <c r="G682">
        <v>1</v>
      </c>
      <c r="H682" t="s">
        <v>23</v>
      </c>
      <c r="I682" t="s">
        <v>23</v>
      </c>
      <c r="J682">
        <v>100153.43</v>
      </c>
      <c r="K682" t="s">
        <v>23</v>
      </c>
      <c r="L682">
        <v>0.22200293847077451</v>
      </c>
      <c r="M682" t="s">
        <v>23</v>
      </c>
      <c r="N682">
        <v>0</v>
      </c>
      <c r="O682">
        <v>0</v>
      </c>
      <c r="P682" t="s">
        <v>24</v>
      </c>
      <c r="Q682" t="s">
        <v>25</v>
      </c>
      <c r="R682" t="s">
        <v>26</v>
      </c>
      <c r="S682" t="s">
        <v>37</v>
      </c>
      <c r="T682" t="s">
        <v>28</v>
      </c>
      <c r="U682">
        <f t="shared" si="10"/>
        <v>1</v>
      </c>
    </row>
    <row r="683" spans="1:21" x14ac:dyDescent="0.2">
      <c r="A683">
        <v>817</v>
      </c>
      <c r="B683" t="s">
        <v>42</v>
      </c>
      <c r="C683" t="s">
        <v>21</v>
      </c>
      <c r="D683">
        <v>44</v>
      </c>
      <c r="E683">
        <v>8</v>
      </c>
      <c r="F683">
        <v>0</v>
      </c>
      <c r="G683">
        <v>1</v>
      </c>
      <c r="H683" t="s">
        <v>23</v>
      </c>
      <c r="I683" t="s">
        <v>23</v>
      </c>
      <c r="J683">
        <v>65501.91</v>
      </c>
      <c r="K683" t="s">
        <v>22</v>
      </c>
      <c r="L683">
        <v>0.18415517927166791</v>
      </c>
      <c r="M683" t="s">
        <v>23</v>
      </c>
      <c r="N683">
        <v>1</v>
      </c>
      <c r="O683">
        <v>0</v>
      </c>
      <c r="P683" t="s">
        <v>34</v>
      </c>
      <c r="Q683" t="s">
        <v>25</v>
      </c>
      <c r="R683" t="s">
        <v>29</v>
      </c>
      <c r="S683" t="s">
        <v>39</v>
      </c>
      <c r="T683" t="s">
        <v>40</v>
      </c>
      <c r="U683">
        <f t="shared" si="10"/>
        <v>0</v>
      </c>
    </row>
    <row r="684" spans="1:21" x14ac:dyDescent="0.2">
      <c r="A684">
        <v>714</v>
      </c>
      <c r="B684" t="s">
        <v>20</v>
      </c>
      <c r="C684" t="s">
        <v>21</v>
      </c>
      <c r="D684">
        <v>20</v>
      </c>
      <c r="E684">
        <v>3</v>
      </c>
      <c r="F684">
        <v>0</v>
      </c>
      <c r="G684">
        <v>2</v>
      </c>
      <c r="H684" t="s">
        <v>23</v>
      </c>
      <c r="I684" t="s">
        <v>22</v>
      </c>
      <c r="J684">
        <v>150465.93</v>
      </c>
      <c r="K684" t="s">
        <v>23</v>
      </c>
      <c r="L684">
        <v>1.4751474332607919E-2</v>
      </c>
      <c r="M684" t="s">
        <v>23</v>
      </c>
      <c r="N684">
        <v>0</v>
      </c>
      <c r="O684">
        <v>0</v>
      </c>
      <c r="P684" t="s">
        <v>34</v>
      </c>
      <c r="Q684" t="s">
        <v>36</v>
      </c>
      <c r="R684" t="s">
        <v>29</v>
      </c>
      <c r="S684" t="s">
        <v>37</v>
      </c>
      <c r="T684" t="s">
        <v>31</v>
      </c>
      <c r="U684">
        <f t="shared" si="10"/>
        <v>1</v>
      </c>
    </row>
    <row r="685" spans="1:21" x14ac:dyDescent="0.2">
      <c r="A685">
        <v>664</v>
      </c>
      <c r="B685" t="s">
        <v>41</v>
      </c>
      <c r="C685" t="s">
        <v>21</v>
      </c>
      <c r="D685">
        <v>36</v>
      </c>
      <c r="E685">
        <v>6</v>
      </c>
      <c r="F685">
        <v>71142.77</v>
      </c>
      <c r="G685">
        <v>2</v>
      </c>
      <c r="H685" t="s">
        <v>22</v>
      </c>
      <c r="I685" t="s">
        <v>23</v>
      </c>
      <c r="J685">
        <v>122433.09</v>
      </c>
      <c r="K685" t="s">
        <v>23</v>
      </c>
      <c r="L685">
        <v>0.25615273269412109</v>
      </c>
      <c r="M685" t="s">
        <v>23</v>
      </c>
      <c r="N685">
        <v>0</v>
      </c>
      <c r="O685">
        <v>0</v>
      </c>
      <c r="P685" t="s">
        <v>24</v>
      </c>
      <c r="Q685" t="s">
        <v>33</v>
      </c>
      <c r="R685" t="s">
        <v>38</v>
      </c>
      <c r="S685" t="s">
        <v>27</v>
      </c>
      <c r="T685" t="s">
        <v>28</v>
      </c>
      <c r="U685">
        <f t="shared" si="10"/>
        <v>1</v>
      </c>
    </row>
    <row r="686" spans="1:21" x14ac:dyDescent="0.2">
      <c r="A686">
        <v>697</v>
      </c>
      <c r="B686" t="s">
        <v>41</v>
      </c>
      <c r="C686" t="s">
        <v>21</v>
      </c>
      <c r="D686">
        <v>31</v>
      </c>
      <c r="E686">
        <v>3</v>
      </c>
      <c r="F686">
        <v>108805.42</v>
      </c>
      <c r="G686">
        <v>2</v>
      </c>
      <c r="H686" t="s">
        <v>23</v>
      </c>
      <c r="I686" t="s">
        <v>22</v>
      </c>
      <c r="J686">
        <v>123825.83</v>
      </c>
      <c r="K686" t="s">
        <v>23</v>
      </c>
      <c r="L686">
        <v>8.6371129800755883E-2</v>
      </c>
      <c r="M686" t="s">
        <v>23</v>
      </c>
      <c r="N686">
        <v>0</v>
      </c>
      <c r="O686">
        <v>0</v>
      </c>
      <c r="P686" t="s">
        <v>34</v>
      </c>
      <c r="Q686" t="s">
        <v>33</v>
      </c>
      <c r="R686" t="s">
        <v>26</v>
      </c>
      <c r="S686" t="s">
        <v>27</v>
      </c>
      <c r="T686" t="s">
        <v>28</v>
      </c>
      <c r="U686">
        <f t="shared" si="10"/>
        <v>1</v>
      </c>
    </row>
    <row r="687" spans="1:21" x14ac:dyDescent="0.2">
      <c r="A687">
        <v>704</v>
      </c>
      <c r="B687" t="s">
        <v>41</v>
      </c>
      <c r="C687" t="s">
        <v>32</v>
      </c>
      <c r="D687">
        <v>39</v>
      </c>
      <c r="E687">
        <v>1</v>
      </c>
      <c r="F687">
        <v>124640.51</v>
      </c>
      <c r="G687">
        <v>1</v>
      </c>
      <c r="H687" t="s">
        <v>22</v>
      </c>
      <c r="I687" t="s">
        <v>23</v>
      </c>
      <c r="J687">
        <v>116511.12</v>
      </c>
      <c r="K687" t="s">
        <v>22</v>
      </c>
      <c r="L687">
        <v>0.50339717597553202</v>
      </c>
      <c r="M687" t="s">
        <v>22</v>
      </c>
      <c r="N687">
        <v>1</v>
      </c>
      <c r="O687">
        <v>1</v>
      </c>
      <c r="P687" t="s">
        <v>43</v>
      </c>
      <c r="Q687" t="s">
        <v>33</v>
      </c>
      <c r="R687" t="s">
        <v>26</v>
      </c>
      <c r="S687" t="s">
        <v>37</v>
      </c>
      <c r="T687" t="s">
        <v>28</v>
      </c>
      <c r="U687">
        <f t="shared" si="10"/>
        <v>1</v>
      </c>
    </row>
    <row r="688" spans="1:21" x14ac:dyDescent="0.2">
      <c r="A688">
        <v>778</v>
      </c>
      <c r="B688" t="s">
        <v>41</v>
      </c>
      <c r="C688" t="s">
        <v>21</v>
      </c>
      <c r="D688">
        <v>31</v>
      </c>
      <c r="E688">
        <v>9</v>
      </c>
      <c r="F688">
        <v>182275.23</v>
      </c>
      <c r="G688">
        <v>2</v>
      </c>
      <c r="H688" t="s">
        <v>22</v>
      </c>
      <c r="I688" t="s">
        <v>23</v>
      </c>
      <c r="J688">
        <v>190631.23</v>
      </c>
      <c r="K688" t="s">
        <v>23</v>
      </c>
      <c r="L688">
        <v>0.22302420112828811</v>
      </c>
      <c r="M688" t="s">
        <v>23</v>
      </c>
      <c r="N688">
        <v>0</v>
      </c>
      <c r="O688">
        <v>0</v>
      </c>
      <c r="P688" t="s">
        <v>24</v>
      </c>
      <c r="Q688" t="s">
        <v>33</v>
      </c>
      <c r="R688" t="s">
        <v>47</v>
      </c>
      <c r="S688" t="s">
        <v>37</v>
      </c>
      <c r="T688" t="s">
        <v>31</v>
      </c>
      <c r="U688">
        <f t="shared" si="10"/>
        <v>1</v>
      </c>
    </row>
    <row r="689" spans="1:21" x14ac:dyDescent="0.2">
      <c r="A689">
        <v>686</v>
      </c>
      <c r="B689" t="s">
        <v>42</v>
      </c>
      <c r="C689" t="s">
        <v>21</v>
      </c>
      <c r="D689">
        <v>35</v>
      </c>
      <c r="E689">
        <v>4</v>
      </c>
      <c r="F689">
        <v>0</v>
      </c>
      <c r="G689">
        <v>1</v>
      </c>
      <c r="H689" t="s">
        <v>22</v>
      </c>
      <c r="I689" t="s">
        <v>23</v>
      </c>
      <c r="J689">
        <v>8816.3700000000008</v>
      </c>
      <c r="K689" t="s">
        <v>23</v>
      </c>
      <c r="L689">
        <v>0.11420749323044881</v>
      </c>
      <c r="M689" t="s">
        <v>23</v>
      </c>
      <c r="N689">
        <v>0</v>
      </c>
      <c r="O689">
        <v>0</v>
      </c>
      <c r="P689" t="s">
        <v>34</v>
      </c>
      <c r="Q689" t="s">
        <v>33</v>
      </c>
      <c r="R689" t="s">
        <v>29</v>
      </c>
      <c r="S689" t="s">
        <v>27</v>
      </c>
      <c r="T689" t="s">
        <v>35</v>
      </c>
      <c r="U689">
        <f t="shared" si="10"/>
        <v>1</v>
      </c>
    </row>
    <row r="690" spans="1:21" x14ac:dyDescent="0.2">
      <c r="A690">
        <v>721</v>
      </c>
      <c r="B690" t="s">
        <v>42</v>
      </c>
      <c r="C690" t="s">
        <v>21</v>
      </c>
      <c r="D690">
        <v>41</v>
      </c>
      <c r="E690">
        <v>2</v>
      </c>
      <c r="F690">
        <v>0</v>
      </c>
      <c r="G690">
        <v>2</v>
      </c>
      <c r="H690" t="s">
        <v>22</v>
      </c>
      <c r="I690" t="s">
        <v>23</v>
      </c>
      <c r="J690">
        <v>168219.75</v>
      </c>
      <c r="K690" t="s">
        <v>23</v>
      </c>
      <c r="L690">
        <v>0.167480199316765</v>
      </c>
      <c r="M690" t="s">
        <v>23</v>
      </c>
      <c r="N690">
        <v>0</v>
      </c>
      <c r="O690">
        <v>0</v>
      </c>
      <c r="P690" t="s">
        <v>34</v>
      </c>
      <c r="Q690" t="s">
        <v>25</v>
      </c>
      <c r="R690" t="s">
        <v>29</v>
      </c>
      <c r="S690" t="s">
        <v>37</v>
      </c>
      <c r="T690" t="s">
        <v>31</v>
      </c>
      <c r="U690">
        <f t="shared" si="10"/>
        <v>1</v>
      </c>
    </row>
    <row r="691" spans="1:21" x14ac:dyDescent="0.2">
      <c r="A691">
        <v>489</v>
      </c>
      <c r="B691" t="s">
        <v>20</v>
      </c>
      <c r="C691" t="s">
        <v>21</v>
      </c>
      <c r="D691">
        <v>40</v>
      </c>
      <c r="E691">
        <v>3</v>
      </c>
      <c r="F691">
        <v>221532.79999999999</v>
      </c>
      <c r="G691">
        <v>1</v>
      </c>
      <c r="H691" t="s">
        <v>22</v>
      </c>
      <c r="I691" t="s">
        <v>23</v>
      </c>
      <c r="J691">
        <v>171867.08</v>
      </c>
      <c r="K691" t="s">
        <v>23</v>
      </c>
      <c r="L691">
        <v>0.30607973762151169</v>
      </c>
      <c r="M691" t="s">
        <v>23</v>
      </c>
      <c r="N691">
        <v>0</v>
      </c>
      <c r="O691">
        <v>0</v>
      </c>
      <c r="P691" t="s">
        <v>24</v>
      </c>
      <c r="Q691" t="s">
        <v>33</v>
      </c>
      <c r="R691" t="s">
        <v>47</v>
      </c>
      <c r="S691" t="s">
        <v>45</v>
      </c>
      <c r="T691" t="s">
        <v>31</v>
      </c>
      <c r="U691">
        <f t="shared" si="10"/>
        <v>1</v>
      </c>
    </row>
    <row r="692" spans="1:21" x14ac:dyDescent="0.2">
      <c r="A692">
        <v>677</v>
      </c>
      <c r="B692" t="s">
        <v>42</v>
      </c>
      <c r="C692" t="s">
        <v>21</v>
      </c>
      <c r="D692">
        <v>37</v>
      </c>
      <c r="E692">
        <v>3</v>
      </c>
      <c r="F692">
        <v>88363.03</v>
      </c>
      <c r="G692">
        <v>1</v>
      </c>
      <c r="H692" t="s">
        <v>23</v>
      </c>
      <c r="I692" t="s">
        <v>22</v>
      </c>
      <c r="J692">
        <v>117946.3</v>
      </c>
      <c r="K692" t="s">
        <v>23</v>
      </c>
      <c r="L692">
        <v>6.6481322442686466E-2</v>
      </c>
      <c r="M692" t="s">
        <v>23</v>
      </c>
      <c r="N692">
        <v>0</v>
      </c>
      <c r="O692">
        <v>0</v>
      </c>
      <c r="P692" t="s">
        <v>34</v>
      </c>
      <c r="Q692" t="s">
        <v>33</v>
      </c>
      <c r="R692" t="s">
        <v>38</v>
      </c>
      <c r="S692" t="s">
        <v>27</v>
      </c>
      <c r="T692" t="s">
        <v>28</v>
      </c>
      <c r="U692">
        <f t="shared" si="10"/>
        <v>1</v>
      </c>
    </row>
    <row r="693" spans="1:21" x14ac:dyDescent="0.2">
      <c r="A693">
        <v>613</v>
      </c>
      <c r="B693" t="s">
        <v>42</v>
      </c>
      <c r="C693" t="s">
        <v>21</v>
      </c>
      <c r="D693">
        <v>41</v>
      </c>
      <c r="E693">
        <v>7</v>
      </c>
      <c r="F693">
        <v>0</v>
      </c>
      <c r="G693">
        <v>2</v>
      </c>
      <c r="H693" t="s">
        <v>22</v>
      </c>
      <c r="I693" t="s">
        <v>23</v>
      </c>
      <c r="J693">
        <v>60297.72</v>
      </c>
      <c r="K693" t="s">
        <v>23</v>
      </c>
      <c r="L693">
        <v>0.15602073969806779</v>
      </c>
      <c r="M693" t="s">
        <v>23</v>
      </c>
      <c r="N693">
        <v>0</v>
      </c>
      <c r="O693">
        <v>0</v>
      </c>
      <c r="P693" t="s">
        <v>34</v>
      </c>
      <c r="Q693" t="s">
        <v>25</v>
      </c>
      <c r="R693" t="s">
        <v>29</v>
      </c>
      <c r="S693" t="s">
        <v>27</v>
      </c>
      <c r="T693" t="s">
        <v>40</v>
      </c>
      <c r="U693">
        <f t="shared" si="10"/>
        <v>1</v>
      </c>
    </row>
    <row r="694" spans="1:21" x14ac:dyDescent="0.2">
      <c r="A694">
        <v>506</v>
      </c>
      <c r="B694" t="s">
        <v>42</v>
      </c>
      <c r="C694" t="s">
        <v>32</v>
      </c>
      <c r="D694">
        <v>57</v>
      </c>
      <c r="E694">
        <v>6</v>
      </c>
      <c r="F694">
        <v>0</v>
      </c>
      <c r="G694">
        <v>2</v>
      </c>
      <c r="H694" t="s">
        <v>23</v>
      </c>
      <c r="I694" t="s">
        <v>22</v>
      </c>
      <c r="J694">
        <v>194421.12</v>
      </c>
      <c r="K694" t="s">
        <v>22</v>
      </c>
      <c r="L694">
        <v>0.30037276890684811</v>
      </c>
      <c r="M694" t="s">
        <v>23</v>
      </c>
      <c r="N694">
        <v>1</v>
      </c>
      <c r="O694">
        <v>0</v>
      </c>
      <c r="P694" t="s">
        <v>24</v>
      </c>
      <c r="Q694" t="s">
        <v>44</v>
      </c>
      <c r="R694" t="s">
        <v>29</v>
      </c>
      <c r="S694" t="s">
        <v>30</v>
      </c>
      <c r="T694" t="s">
        <v>31</v>
      </c>
      <c r="U694">
        <f t="shared" si="10"/>
        <v>0</v>
      </c>
    </row>
    <row r="695" spans="1:21" x14ac:dyDescent="0.2">
      <c r="A695">
        <v>682</v>
      </c>
      <c r="B695" t="s">
        <v>42</v>
      </c>
      <c r="C695" t="s">
        <v>21</v>
      </c>
      <c r="D695">
        <v>37</v>
      </c>
      <c r="E695">
        <v>5</v>
      </c>
      <c r="F695">
        <v>0</v>
      </c>
      <c r="G695">
        <v>2</v>
      </c>
      <c r="H695" t="s">
        <v>23</v>
      </c>
      <c r="I695" t="s">
        <v>22</v>
      </c>
      <c r="J695">
        <v>112554.68</v>
      </c>
      <c r="K695" t="s">
        <v>23</v>
      </c>
      <c r="L695">
        <v>4.6498414815992713E-2</v>
      </c>
      <c r="M695" t="s">
        <v>23</v>
      </c>
      <c r="N695">
        <v>0</v>
      </c>
      <c r="O695">
        <v>0</v>
      </c>
      <c r="P695" t="s">
        <v>34</v>
      </c>
      <c r="Q695" t="s">
        <v>33</v>
      </c>
      <c r="R695" t="s">
        <v>29</v>
      </c>
      <c r="S695" t="s">
        <v>27</v>
      </c>
      <c r="T695" t="s">
        <v>28</v>
      </c>
      <c r="U695">
        <f t="shared" si="10"/>
        <v>1</v>
      </c>
    </row>
    <row r="696" spans="1:21" x14ac:dyDescent="0.2">
      <c r="A696">
        <v>635</v>
      </c>
      <c r="B696" t="s">
        <v>20</v>
      </c>
      <c r="C696" t="s">
        <v>32</v>
      </c>
      <c r="D696">
        <v>37</v>
      </c>
      <c r="E696">
        <v>3</v>
      </c>
      <c r="F696">
        <v>0</v>
      </c>
      <c r="G696">
        <v>2</v>
      </c>
      <c r="H696" t="s">
        <v>22</v>
      </c>
      <c r="I696" t="s">
        <v>23</v>
      </c>
      <c r="J696">
        <v>91086.73</v>
      </c>
      <c r="K696" t="s">
        <v>23</v>
      </c>
      <c r="L696">
        <v>0.21130630985606871</v>
      </c>
      <c r="M696" t="s">
        <v>23</v>
      </c>
      <c r="N696">
        <v>0</v>
      </c>
      <c r="O696">
        <v>0</v>
      </c>
      <c r="P696" t="s">
        <v>24</v>
      </c>
      <c r="Q696" t="s">
        <v>33</v>
      </c>
      <c r="R696" t="s">
        <v>29</v>
      </c>
      <c r="S696" t="s">
        <v>27</v>
      </c>
      <c r="T696" t="s">
        <v>40</v>
      </c>
      <c r="U696">
        <f t="shared" si="10"/>
        <v>1</v>
      </c>
    </row>
    <row r="697" spans="1:21" x14ac:dyDescent="0.2">
      <c r="A697">
        <v>664</v>
      </c>
      <c r="B697" t="s">
        <v>41</v>
      </c>
      <c r="C697" t="s">
        <v>21</v>
      </c>
      <c r="D697">
        <v>25</v>
      </c>
      <c r="E697">
        <v>6</v>
      </c>
      <c r="F697">
        <v>172812.72</v>
      </c>
      <c r="G697">
        <v>2</v>
      </c>
      <c r="H697" t="s">
        <v>22</v>
      </c>
      <c r="I697" t="s">
        <v>22</v>
      </c>
      <c r="J697">
        <v>108008.65</v>
      </c>
      <c r="K697" t="s">
        <v>23</v>
      </c>
      <c r="L697">
        <v>6.2128044590310162E-2</v>
      </c>
      <c r="M697" t="s">
        <v>23</v>
      </c>
      <c r="N697">
        <v>0</v>
      </c>
      <c r="O697">
        <v>0</v>
      </c>
      <c r="P697" t="s">
        <v>34</v>
      </c>
      <c r="Q697" t="s">
        <v>36</v>
      </c>
      <c r="R697" t="s">
        <v>47</v>
      </c>
      <c r="S697" t="s">
        <v>27</v>
      </c>
      <c r="T697" t="s">
        <v>28</v>
      </c>
      <c r="U697">
        <f t="shared" si="10"/>
        <v>1</v>
      </c>
    </row>
    <row r="698" spans="1:21" x14ac:dyDescent="0.2">
      <c r="A698">
        <v>592</v>
      </c>
      <c r="B698" t="s">
        <v>20</v>
      </c>
      <c r="C698" t="s">
        <v>21</v>
      </c>
      <c r="D698">
        <v>55</v>
      </c>
      <c r="E698">
        <v>8</v>
      </c>
      <c r="F698">
        <v>85845.43</v>
      </c>
      <c r="G698">
        <v>2</v>
      </c>
      <c r="H698" t="s">
        <v>22</v>
      </c>
      <c r="I698" t="s">
        <v>22</v>
      </c>
      <c r="J698">
        <v>128918.42</v>
      </c>
      <c r="K698" t="s">
        <v>23</v>
      </c>
      <c r="L698">
        <v>0.19030307530437171</v>
      </c>
      <c r="M698" t="s">
        <v>23</v>
      </c>
      <c r="N698">
        <v>0</v>
      </c>
      <c r="O698">
        <v>0</v>
      </c>
      <c r="P698" t="s">
        <v>34</v>
      </c>
      <c r="Q698" t="s">
        <v>44</v>
      </c>
      <c r="R698" t="s">
        <v>38</v>
      </c>
      <c r="S698" t="s">
        <v>30</v>
      </c>
      <c r="T698" t="s">
        <v>28</v>
      </c>
      <c r="U698">
        <f t="shared" si="10"/>
        <v>1</v>
      </c>
    </row>
    <row r="699" spans="1:21" x14ac:dyDescent="0.2">
      <c r="A699">
        <v>671</v>
      </c>
      <c r="B699" t="s">
        <v>42</v>
      </c>
      <c r="C699" t="s">
        <v>32</v>
      </c>
      <c r="D699">
        <v>48</v>
      </c>
      <c r="E699">
        <v>8</v>
      </c>
      <c r="F699">
        <v>115713.84</v>
      </c>
      <c r="G699">
        <v>2</v>
      </c>
      <c r="H699" t="s">
        <v>23</v>
      </c>
      <c r="I699" t="s">
        <v>23</v>
      </c>
      <c r="J699">
        <v>83210.84</v>
      </c>
      <c r="K699" t="s">
        <v>23</v>
      </c>
      <c r="L699">
        <v>0.41636398201526359</v>
      </c>
      <c r="M699" t="s">
        <v>23</v>
      </c>
      <c r="N699">
        <v>0</v>
      </c>
      <c r="O699">
        <v>0</v>
      </c>
      <c r="P699" t="s">
        <v>24</v>
      </c>
      <c r="Q699" t="s">
        <v>25</v>
      </c>
      <c r="R699" t="s">
        <v>26</v>
      </c>
      <c r="S699" t="s">
        <v>27</v>
      </c>
      <c r="T699" t="s">
        <v>40</v>
      </c>
      <c r="U699">
        <f t="shared" si="10"/>
        <v>1</v>
      </c>
    </row>
    <row r="700" spans="1:21" x14ac:dyDescent="0.2">
      <c r="A700">
        <v>560</v>
      </c>
      <c r="B700" t="s">
        <v>20</v>
      </c>
      <c r="C700" t="s">
        <v>32</v>
      </c>
      <c r="D700">
        <v>26</v>
      </c>
      <c r="E700">
        <v>3</v>
      </c>
      <c r="F700">
        <v>116576.45</v>
      </c>
      <c r="G700">
        <v>1</v>
      </c>
      <c r="H700" t="s">
        <v>22</v>
      </c>
      <c r="I700" t="s">
        <v>23</v>
      </c>
      <c r="J700">
        <v>157567.37</v>
      </c>
      <c r="K700" t="s">
        <v>23</v>
      </c>
      <c r="L700">
        <v>0.16299337433765279</v>
      </c>
      <c r="M700" t="s">
        <v>23</v>
      </c>
      <c r="N700">
        <v>0</v>
      </c>
      <c r="O700">
        <v>0</v>
      </c>
      <c r="P700" t="s">
        <v>34</v>
      </c>
      <c r="Q700" t="s">
        <v>36</v>
      </c>
      <c r="R700" t="s">
        <v>26</v>
      </c>
      <c r="S700" t="s">
        <v>30</v>
      </c>
      <c r="T700" t="s">
        <v>31</v>
      </c>
      <c r="U700">
        <f t="shared" si="10"/>
        <v>1</v>
      </c>
    </row>
    <row r="701" spans="1:21" x14ac:dyDescent="0.2">
      <c r="A701">
        <v>827</v>
      </c>
      <c r="B701" t="s">
        <v>41</v>
      </c>
      <c r="C701" t="s">
        <v>32</v>
      </c>
      <c r="D701">
        <v>47</v>
      </c>
      <c r="E701">
        <v>8</v>
      </c>
      <c r="F701">
        <v>143001.5</v>
      </c>
      <c r="G701">
        <v>2</v>
      </c>
      <c r="H701" t="s">
        <v>22</v>
      </c>
      <c r="I701" t="s">
        <v>23</v>
      </c>
      <c r="J701">
        <v>108977.5</v>
      </c>
      <c r="K701" t="s">
        <v>23</v>
      </c>
      <c r="L701">
        <v>0.57972036854837017</v>
      </c>
      <c r="M701" t="s">
        <v>22</v>
      </c>
      <c r="N701">
        <v>0</v>
      </c>
      <c r="O701">
        <v>1</v>
      </c>
      <c r="P701" t="s">
        <v>43</v>
      </c>
      <c r="Q701" t="s">
        <v>25</v>
      </c>
      <c r="R701" t="s">
        <v>26</v>
      </c>
      <c r="S701" t="s">
        <v>39</v>
      </c>
      <c r="T701" t="s">
        <v>28</v>
      </c>
      <c r="U701">
        <f t="shared" si="10"/>
        <v>0</v>
      </c>
    </row>
    <row r="702" spans="1:21" x14ac:dyDescent="0.2">
      <c r="A702">
        <v>740</v>
      </c>
      <c r="B702" t="s">
        <v>42</v>
      </c>
      <c r="C702" t="s">
        <v>32</v>
      </c>
      <c r="D702">
        <v>37</v>
      </c>
      <c r="E702">
        <v>5</v>
      </c>
      <c r="F702">
        <v>0</v>
      </c>
      <c r="G702">
        <v>2</v>
      </c>
      <c r="H702" t="s">
        <v>22</v>
      </c>
      <c r="I702" t="s">
        <v>22</v>
      </c>
      <c r="J702">
        <v>27528.400000000001</v>
      </c>
      <c r="K702" t="s">
        <v>23</v>
      </c>
      <c r="L702">
        <v>6.9578078055884077E-2</v>
      </c>
      <c r="M702" t="s">
        <v>23</v>
      </c>
      <c r="N702">
        <v>0</v>
      </c>
      <c r="O702">
        <v>0</v>
      </c>
      <c r="P702" t="s">
        <v>34</v>
      </c>
      <c r="Q702" t="s">
        <v>33</v>
      </c>
      <c r="R702" t="s">
        <v>29</v>
      </c>
      <c r="S702" t="s">
        <v>37</v>
      </c>
      <c r="T702" t="s">
        <v>35</v>
      </c>
      <c r="U702">
        <f t="shared" si="10"/>
        <v>1</v>
      </c>
    </row>
    <row r="703" spans="1:21" x14ac:dyDescent="0.2">
      <c r="A703">
        <v>663</v>
      </c>
      <c r="B703" t="s">
        <v>20</v>
      </c>
      <c r="C703" t="s">
        <v>21</v>
      </c>
      <c r="D703">
        <v>31</v>
      </c>
      <c r="E703">
        <v>4</v>
      </c>
      <c r="F703">
        <v>103430.11</v>
      </c>
      <c r="G703">
        <v>2</v>
      </c>
      <c r="H703" t="s">
        <v>23</v>
      </c>
      <c r="I703" t="s">
        <v>22</v>
      </c>
      <c r="J703">
        <v>36479.269999999997</v>
      </c>
      <c r="K703" t="s">
        <v>23</v>
      </c>
      <c r="L703">
        <v>4.039525582095977E-2</v>
      </c>
      <c r="M703" t="s">
        <v>23</v>
      </c>
      <c r="N703">
        <v>0</v>
      </c>
      <c r="O703">
        <v>0</v>
      </c>
      <c r="P703" t="s">
        <v>34</v>
      </c>
      <c r="Q703" t="s">
        <v>33</v>
      </c>
      <c r="R703" t="s">
        <v>26</v>
      </c>
      <c r="S703" t="s">
        <v>27</v>
      </c>
      <c r="T703" t="s">
        <v>35</v>
      </c>
      <c r="U703">
        <f t="shared" si="10"/>
        <v>1</v>
      </c>
    </row>
    <row r="704" spans="1:21" x14ac:dyDescent="0.2">
      <c r="A704">
        <v>597</v>
      </c>
      <c r="B704" t="s">
        <v>42</v>
      </c>
      <c r="C704" t="s">
        <v>21</v>
      </c>
      <c r="D704">
        <v>41</v>
      </c>
      <c r="E704">
        <v>4</v>
      </c>
      <c r="F704">
        <v>153198.23000000001</v>
      </c>
      <c r="G704">
        <v>1</v>
      </c>
      <c r="H704" t="s">
        <v>22</v>
      </c>
      <c r="I704" t="s">
        <v>22</v>
      </c>
      <c r="J704">
        <v>92090.36</v>
      </c>
      <c r="K704" t="s">
        <v>23</v>
      </c>
      <c r="L704">
        <v>0.1007327351015474</v>
      </c>
      <c r="M704" t="s">
        <v>23</v>
      </c>
      <c r="N704">
        <v>0</v>
      </c>
      <c r="O704">
        <v>0</v>
      </c>
      <c r="P704" t="s">
        <v>34</v>
      </c>
      <c r="Q704" t="s">
        <v>25</v>
      </c>
      <c r="R704" t="s">
        <v>47</v>
      </c>
      <c r="S704" t="s">
        <v>30</v>
      </c>
      <c r="T704" t="s">
        <v>40</v>
      </c>
      <c r="U704">
        <f t="shared" si="10"/>
        <v>1</v>
      </c>
    </row>
    <row r="705" spans="1:21" x14ac:dyDescent="0.2">
      <c r="A705">
        <v>542</v>
      </c>
      <c r="B705" t="s">
        <v>41</v>
      </c>
      <c r="C705" t="s">
        <v>21</v>
      </c>
      <c r="D705">
        <v>33</v>
      </c>
      <c r="E705">
        <v>8</v>
      </c>
      <c r="F705">
        <v>142871.26999999999</v>
      </c>
      <c r="G705">
        <v>2</v>
      </c>
      <c r="H705" t="s">
        <v>23</v>
      </c>
      <c r="I705" t="s">
        <v>23</v>
      </c>
      <c r="J705">
        <v>77737.86</v>
      </c>
      <c r="K705" t="s">
        <v>23</v>
      </c>
      <c r="L705">
        <v>0.25921745757534909</v>
      </c>
      <c r="M705" t="s">
        <v>23</v>
      </c>
      <c r="N705">
        <v>0</v>
      </c>
      <c r="O705">
        <v>0</v>
      </c>
      <c r="P705" t="s">
        <v>24</v>
      </c>
      <c r="Q705" t="s">
        <v>33</v>
      </c>
      <c r="R705" t="s">
        <v>26</v>
      </c>
      <c r="S705" t="s">
        <v>30</v>
      </c>
      <c r="T705" t="s">
        <v>40</v>
      </c>
      <c r="U705">
        <f t="shared" si="10"/>
        <v>1</v>
      </c>
    </row>
    <row r="706" spans="1:21" x14ac:dyDescent="0.2">
      <c r="A706">
        <v>754</v>
      </c>
      <c r="B706" t="s">
        <v>41</v>
      </c>
      <c r="C706" t="s">
        <v>21</v>
      </c>
      <c r="D706">
        <v>35</v>
      </c>
      <c r="E706">
        <v>6</v>
      </c>
      <c r="F706">
        <v>98585.94</v>
      </c>
      <c r="G706">
        <v>2</v>
      </c>
      <c r="H706" t="s">
        <v>23</v>
      </c>
      <c r="I706" t="s">
        <v>22</v>
      </c>
      <c r="J706">
        <v>106116.84</v>
      </c>
      <c r="K706" t="s">
        <v>23</v>
      </c>
      <c r="L706">
        <v>9.9928549927377056E-2</v>
      </c>
      <c r="M706" t="s">
        <v>23</v>
      </c>
      <c r="N706">
        <v>0</v>
      </c>
      <c r="O706">
        <v>0</v>
      </c>
      <c r="P706" t="s">
        <v>34</v>
      </c>
      <c r="Q706" t="s">
        <v>33</v>
      </c>
      <c r="R706" t="s">
        <v>38</v>
      </c>
      <c r="S706" t="s">
        <v>37</v>
      </c>
      <c r="T706" t="s">
        <v>28</v>
      </c>
      <c r="U706">
        <f t="shared" ref="U706:U769" si="11">IF(K706=M706,1,0)</f>
        <v>1</v>
      </c>
    </row>
    <row r="707" spans="1:21" x14ac:dyDescent="0.2">
      <c r="A707">
        <v>750</v>
      </c>
      <c r="B707" t="s">
        <v>42</v>
      </c>
      <c r="C707" t="s">
        <v>32</v>
      </c>
      <c r="D707">
        <v>37</v>
      </c>
      <c r="E707">
        <v>6</v>
      </c>
      <c r="F707">
        <v>0</v>
      </c>
      <c r="G707">
        <v>1</v>
      </c>
      <c r="H707" t="s">
        <v>22</v>
      </c>
      <c r="I707" t="s">
        <v>22</v>
      </c>
      <c r="J707">
        <v>117948</v>
      </c>
      <c r="K707" t="s">
        <v>22</v>
      </c>
      <c r="L707">
        <v>7.8297908449908041E-2</v>
      </c>
      <c r="M707" t="s">
        <v>23</v>
      </c>
      <c r="N707">
        <v>1</v>
      </c>
      <c r="O707">
        <v>0</v>
      </c>
      <c r="P707" t="s">
        <v>34</v>
      </c>
      <c r="Q707" t="s">
        <v>33</v>
      </c>
      <c r="R707" t="s">
        <v>29</v>
      </c>
      <c r="S707" t="s">
        <v>37</v>
      </c>
      <c r="T707" t="s">
        <v>28</v>
      </c>
      <c r="U707">
        <f t="shared" si="11"/>
        <v>0</v>
      </c>
    </row>
    <row r="708" spans="1:21" x14ac:dyDescent="0.2">
      <c r="A708">
        <v>699</v>
      </c>
      <c r="B708" t="s">
        <v>42</v>
      </c>
      <c r="C708" t="s">
        <v>32</v>
      </c>
      <c r="D708">
        <v>43</v>
      </c>
      <c r="E708">
        <v>3</v>
      </c>
      <c r="F708">
        <v>80764.03</v>
      </c>
      <c r="G708">
        <v>1</v>
      </c>
      <c r="H708" t="s">
        <v>22</v>
      </c>
      <c r="I708" t="s">
        <v>23</v>
      </c>
      <c r="J708">
        <v>199378.58</v>
      </c>
      <c r="K708" t="s">
        <v>22</v>
      </c>
      <c r="L708">
        <v>0.35839841643557813</v>
      </c>
      <c r="M708" t="s">
        <v>23</v>
      </c>
      <c r="N708">
        <v>1</v>
      </c>
      <c r="O708">
        <v>0</v>
      </c>
      <c r="P708" t="s">
        <v>24</v>
      </c>
      <c r="Q708" t="s">
        <v>25</v>
      </c>
      <c r="R708" t="s">
        <v>38</v>
      </c>
      <c r="S708" t="s">
        <v>27</v>
      </c>
      <c r="T708" t="s">
        <v>31</v>
      </c>
      <c r="U708">
        <f t="shared" si="11"/>
        <v>0</v>
      </c>
    </row>
    <row r="709" spans="1:21" x14ac:dyDescent="0.2">
      <c r="A709">
        <v>497</v>
      </c>
      <c r="B709" t="s">
        <v>41</v>
      </c>
      <c r="C709" t="s">
        <v>21</v>
      </c>
      <c r="D709">
        <v>35</v>
      </c>
      <c r="E709">
        <v>7</v>
      </c>
      <c r="F709">
        <v>110053.62</v>
      </c>
      <c r="G709">
        <v>2</v>
      </c>
      <c r="H709" t="s">
        <v>22</v>
      </c>
      <c r="I709" t="s">
        <v>22</v>
      </c>
      <c r="J709">
        <v>92887.06</v>
      </c>
      <c r="K709" t="s">
        <v>23</v>
      </c>
      <c r="L709">
        <v>0.11407538100375569</v>
      </c>
      <c r="M709" t="s">
        <v>23</v>
      </c>
      <c r="N709">
        <v>0</v>
      </c>
      <c r="O709">
        <v>0</v>
      </c>
      <c r="P709" t="s">
        <v>34</v>
      </c>
      <c r="Q709" t="s">
        <v>33</v>
      </c>
      <c r="R709" t="s">
        <v>26</v>
      </c>
      <c r="S709" t="s">
        <v>45</v>
      </c>
      <c r="T709" t="s">
        <v>40</v>
      </c>
      <c r="U709">
        <f t="shared" si="11"/>
        <v>1</v>
      </c>
    </row>
    <row r="710" spans="1:21" x14ac:dyDescent="0.2">
      <c r="A710">
        <v>701</v>
      </c>
      <c r="B710" t="s">
        <v>20</v>
      </c>
      <c r="C710" t="s">
        <v>32</v>
      </c>
      <c r="D710">
        <v>21</v>
      </c>
      <c r="E710">
        <v>9</v>
      </c>
      <c r="F710">
        <v>0</v>
      </c>
      <c r="G710">
        <v>2</v>
      </c>
      <c r="H710" t="s">
        <v>22</v>
      </c>
      <c r="I710" t="s">
        <v>22</v>
      </c>
      <c r="J710">
        <v>26327.42</v>
      </c>
      <c r="K710" t="s">
        <v>23</v>
      </c>
      <c r="L710">
        <v>2.206442733457754E-2</v>
      </c>
      <c r="M710" t="s">
        <v>23</v>
      </c>
      <c r="N710">
        <v>0</v>
      </c>
      <c r="O710">
        <v>0</v>
      </c>
      <c r="P710" t="s">
        <v>34</v>
      </c>
      <c r="Q710" t="s">
        <v>36</v>
      </c>
      <c r="R710" t="s">
        <v>29</v>
      </c>
      <c r="S710" t="s">
        <v>37</v>
      </c>
      <c r="T710" t="s">
        <v>35</v>
      </c>
      <c r="U710">
        <f t="shared" si="11"/>
        <v>1</v>
      </c>
    </row>
    <row r="711" spans="1:21" x14ac:dyDescent="0.2">
      <c r="A711">
        <v>727</v>
      </c>
      <c r="B711" t="s">
        <v>42</v>
      </c>
      <c r="C711" t="s">
        <v>21</v>
      </c>
      <c r="D711">
        <v>32</v>
      </c>
      <c r="E711">
        <v>1</v>
      </c>
      <c r="F711">
        <v>59271.82</v>
      </c>
      <c r="G711">
        <v>1</v>
      </c>
      <c r="H711" t="s">
        <v>22</v>
      </c>
      <c r="I711" t="s">
        <v>22</v>
      </c>
      <c r="J711">
        <v>46019.43</v>
      </c>
      <c r="K711" t="s">
        <v>23</v>
      </c>
      <c r="L711">
        <v>4.0898647879663033E-2</v>
      </c>
      <c r="M711" t="s">
        <v>23</v>
      </c>
      <c r="N711">
        <v>0</v>
      </c>
      <c r="O711">
        <v>0</v>
      </c>
      <c r="P711" t="s">
        <v>34</v>
      </c>
      <c r="Q711" t="s">
        <v>33</v>
      </c>
      <c r="R711" t="s">
        <v>38</v>
      </c>
      <c r="S711" t="s">
        <v>37</v>
      </c>
      <c r="T711" t="s">
        <v>35</v>
      </c>
      <c r="U711">
        <f t="shared" si="11"/>
        <v>1</v>
      </c>
    </row>
    <row r="712" spans="1:21" x14ac:dyDescent="0.2">
      <c r="A712">
        <v>745</v>
      </c>
      <c r="B712" t="s">
        <v>41</v>
      </c>
      <c r="C712" t="s">
        <v>21</v>
      </c>
      <c r="D712">
        <v>48</v>
      </c>
      <c r="E712">
        <v>10</v>
      </c>
      <c r="F712">
        <v>96048.55</v>
      </c>
      <c r="G712">
        <v>1</v>
      </c>
      <c r="H712" t="s">
        <v>22</v>
      </c>
      <c r="I712" t="s">
        <v>23</v>
      </c>
      <c r="J712">
        <v>74510.649999999994</v>
      </c>
      <c r="K712" t="s">
        <v>23</v>
      </c>
      <c r="L712">
        <v>0.45709986622044207</v>
      </c>
      <c r="M712" t="s">
        <v>23</v>
      </c>
      <c r="N712">
        <v>0</v>
      </c>
      <c r="O712">
        <v>0</v>
      </c>
      <c r="P712" t="s">
        <v>24</v>
      </c>
      <c r="Q712" t="s">
        <v>25</v>
      </c>
      <c r="R712" t="s">
        <v>38</v>
      </c>
      <c r="S712" t="s">
        <v>37</v>
      </c>
      <c r="T712" t="s">
        <v>40</v>
      </c>
      <c r="U712">
        <f t="shared" si="11"/>
        <v>1</v>
      </c>
    </row>
    <row r="713" spans="1:21" x14ac:dyDescent="0.2">
      <c r="A713">
        <v>678</v>
      </c>
      <c r="B713" t="s">
        <v>42</v>
      </c>
      <c r="C713" t="s">
        <v>32</v>
      </c>
      <c r="D713">
        <v>22</v>
      </c>
      <c r="E713">
        <v>6</v>
      </c>
      <c r="F713">
        <v>118064.93</v>
      </c>
      <c r="G713">
        <v>2</v>
      </c>
      <c r="H713" t="s">
        <v>22</v>
      </c>
      <c r="I713" t="s">
        <v>22</v>
      </c>
      <c r="J713">
        <v>195424.01</v>
      </c>
      <c r="K713" t="s">
        <v>23</v>
      </c>
      <c r="L713">
        <v>3.6263141784980399E-2</v>
      </c>
      <c r="M713" t="s">
        <v>23</v>
      </c>
      <c r="N713">
        <v>0</v>
      </c>
      <c r="O713">
        <v>0</v>
      </c>
      <c r="P713" t="s">
        <v>34</v>
      </c>
      <c r="Q713" t="s">
        <v>36</v>
      </c>
      <c r="R713" t="s">
        <v>26</v>
      </c>
      <c r="S713" t="s">
        <v>27</v>
      </c>
      <c r="T713" t="s">
        <v>31</v>
      </c>
      <c r="U713">
        <f t="shared" si="11"/>
        <v>1</v>
      </c>
    </row>
    <row r="714" spans="1:21" x14ac:dyDescent="0.2">
      <c r="A714">
        <v>652</v>
      </c>
      <c r="B714" t="s">
        <v>20</v>
      </c>
      <c r="C714" t="s">
        <v>32</v>
      </c>
      <c r="D714">
        <v>42</v>
      </c>
      <c r="E714">
        <v>3</v>
      </c>
      <c r="F714">
        <v>83492.070000000007</v>
      </c>
      <c r="G714">
        <v>2</v>
      </c>
      <c r="H714" t="s">
        <v>22</v>
      </c>
      <c r="I714" t="s">
        <v>23</v>
      </c>
      <c r="J714">
        <v>37914.120000000003</v>
      </c>
      <c r="K714" t="s">
        <v>23</v>
      </c>
      <c r="L714">
        <v>0.31599734407995189</v>
      </c>
      <c r="M714" t="s">
        <v>23</v>
      </c>
      <c r="N714">
        <v>0</v>
      </c>
      <c r="O714">
        <v>0</v>
      </c>
      <c r="P714" t="s">
        <v>24</v>
      </c>
      <c r="Q714" t="s">
        <v>25</v>
      </c>
      <c r="R714" t="s">
        <v>38</v>
      </c>
      <c r="S714" t="s">
        <v>27</v>
      </c>
      <c r="T714" t="s">
        <v>35</v>
      </c>
      <c r="U714">
        <f t="shared" si="11"/>
        <v>1</v>
      </c>
    </row>
    <row r="715" spans="1:21" x14ac:dyDescent="0.2">
      <c r="A715">
        <v>646</v>
      </c>
      <c r="B715" t="s">
        <v>41</v>
      </c>
      <c r="C715" t="s">
        <v>21</v>
      </c>
      <c r="D715">
        <v>39</v>
      </c>
      <c r="E715">
        <v>0</v>
      </c>
      <c r="F715">
        <v>154439.85999999999</v>
      </c>
      <c r="G715">
        <v>1</v>
      </c>
      <c r="H715" t="s">
        <v>22</v>
      </c>
      <c r="I715" t="s">
        <v>23</v>
      </c>
      <c r="J715">
        <v>171519.06</v>
      </c>
      <c r="K715" t="s">
        <v>23</v>
      </c>
      <c r="L715">
        <v>0.4095242894472948</v>
      </c>
      <c r="M715" t="s">
        <v>23</v>
      </c>
      <c r="N715">
        <v>0</v>
      </c>
      <c r="O715">
        <v>0</v>
      </c>
      <c r="P715" t="s">
        <v>24</v>
      </c>
      <c r="Q715" t="s">
        <v>33</v>
      </c>
      <c r="R715" t="s">
        <v>47</v>
      </c>
      <c r="S715" t="s">
        <v>27</v>
      </c>
      <c r="T715" t="s">
        <v>31</v>
      </c>
      <c r="U715">
        <f t="shared" si="11"/>
        <v>1</v>
      </c>
    </row>
    <row r="716" spans="1:21" x14ac:dyDescent="0.2">
      <c r="A716">
        <v>675</v>
      </c>
      <c r="B716" t="s">
        <v>20</v>
      </c>
      <c r="C716" t="s">
        <v>21</v>
      </c>
      <c r="D716">
        <v>66</v>
      </c>
      <c r="E716">
        <v>5</v>
      </c>
      <c r="F716">
        <v>115654.47</v>
      </c>
      <c r="G716">
        <v>2</v>
      </c>
      <c r="H716" t="s">
        <v>22</v>
      </c>
      <c r="I716" t="s">
        <v>22</v>
      </c>
      <c r="J716">
        <v>131970.85999999999</v>
      </c>
      <c r="K716" t="s">
        <v>23</v>
      </c>
      <c r="L716">
        <v>0.36511049152388342</v>
      </c>
      <c r="M716" t="s">
        <v>23</v>
      </c>
      <c r="N716">
        <v>0</v>
      </c>
      <c r="O716">
        <v>0</v>
      </c>
      <c r="P716" t="s">
        <v>24</v>
      </c>
      <c r="Q716" t="s">
        <v>46</v>
      </c>
      <c r="R716" t="s">
        <v>26</v>
      </c>
      <c r="S716" t="s">
        <v>27</v>
      </c>
      <c r="T716" t="s">
        <v>28</v>
      </c>
      <c r="U716">
        <f t="shared" si="11"/>
        <v>1</v>
      </c>
    </row>
    <row r="717" spans="1:21" x14ac:dyDescent="0.2">
      <c r="A717">
        <v>447</v>
      </c>
      <c r="B717" t="s">
        <v>42</v>
      </c>
      <c r="C717" t="s">
        <v>32</v>
      </c>
      <c r="D717">
        <v>32</v>
      </c>
      <c r="E717">
        <v>10</v>
      </c>
      <c r="F717">
        <v>0</v>
      </c>
      <c r="G717">
        <v>1</v>
      </c>
      <c r="H717" t="s">
        <v>22</v>
      </c>
      <c r="I717" t="s">
        <v>22</v>
      </c>
      <c r="J717">
        <v>151815.76</v>
      </c>
      <c r="K717" t="s">
        <v>23</v>
      </c>
      <c r="L717">
        <v>6.3798870299236504E-2</v>
      </c>
      <c r="M717" t="s">
        <v>23</v>
      </c>
      <c r="N717">
        <v>0</v>
      </c>
      <c r="O717">
        <v>0</v>
      </c>
      <c r="P717" t="s">
        <v>34</v>
      </c>
      <c r="Q717" t="s">
        <v>33</v>
      </c>
      <c r="R717" t="s">
        <v>29</v>
      </c>
      <c r="S717" t="s">
        <v>45</v>
      </c>
      <c r="T717" t="s">
        <v>31</v>
      </c>
      <c r="U717">
        <f t="shared" si="11"/>
        <v>1</v>
      </c>
    </row>
    <row r="718" spans="1:21" x14ac:dyDescent="0.2">
      <c r="A718">
        <v>663</v>
      </c>
      <c r="B718" t="s">
        <v>20</v>
      </c>
      <c r="C718" t="s">
        <v>21</v>
      </c>
      <c r="D718">
        <v>27</v>
      </c>
      <c r="E718">
        <v>8</v>
      </c>
      <c r="F718">
        <v>0</v>
      </c>
      <c r="G718">
        <v>1</v>
      </c>
      <c r="H718" t="s">
        <v>22</v>
      </c>
      <c r="I718" t="s">
        <v>22</v>
      </c>
      <c r="J718">
        <v>188007.99</v>
      </c>
      <c r="K718" t="s">
        <v>23</v>
      </c>
      <c r="L718">
        <v>2.521376662137086E-2</v>
      </c>
      <c r="M718" t="s">
        <v>23</v>
      </c>
      <c r="N718">
        <v>0</v>
      </c>
      <c r="O718">
        <v>0</v>
      </c>
      <c r="P718" t="s">
        <v>34</v>
      </c>
      <c r="Q718" t="s">
        <v>36</v>
      </c>
      <c r="R718" t="s">
        <v>29</v>
      </c>
      <c r="S718" t="s">
        <v>27</v>
      </c>
      <c r="T718" t="s">
        <v>31</v>
      </c>
      <c r="U718">
        <f t="shared" si="11"/>
        <v>1</v>
      </c>
    </row>
    <row r="719" spans="1:21" x14ac:dyDescent="0.2">
      <c r="A719">
        <v>627</v>
      </c>
      <c r="B719" t="s">
        <v>42</v>
      </c>
      <c r="C719" t="s">
        <v>32</v>
      </c>
      <c r="D719">
        <v>32</v>
      </c>
      <c r="E719">
        <v>1</v>
      </c>
      <c r="F719">
        <v>0</v>
      </c>
      <c r="G719">
        <v>1</v>
      </c>
      <c r="H719" t="s">
        <v>22</v>
      </c>
      <c r="I719" t="s">
        <v>23</v>
      </c>
      <c r="J719">
        <v>106851.7</v>
      </c>
      <c r="K719" t="s">
        <v>23</v>
      </c>
      <c r="L719">
        <v>0.17251404447374191</v>
      </c>
      <c r="M719" t="s">
        <v>23</v>
      </c>
      <c r="N719">
        <v>0</v>
      </c>
      <c r="O719">
        <v>0</v>
      </c>
      <c r="P719" t="s">
        <v>34</v>
      </c>
      <c r="Q719" t="s">
        <v>33</v>
      </c>
      <c r="R719" t="s">
        <v>29</v>
      </c>
      <c r="S719" t="s">
        <v>27</v>
      </c>
      <c r="T719" t="s">
        <v>28</v>
      </c>
      <c r="U719">
        <f t="shared" si="11"/>
        <v>1</v>
      </c>
    </row>
    <row r="720" spans="1:21" x14ac:dyDescent="0.2">
      <c r="A720">
        <v>655</v>
      </c>
      <c r="B720" t="s">
        <v>41</v>
      </c>
      <c r="C720" t="s">
        <v>32</v>
      </c>
      <c r="D720">
        <v>32</v>
      </c>
      <c r="E720">
        <v>6</v>
      </c>
      <c r="F720">
        <v>130935.56</v>
      </c>
      <c r="G720">
        <v>1</v>
      </c>
      <c r="H720" t="s">
        <v>22</v>
      </c>
      <c r="I720" t="s">
        <v>23</v>
      </c>
      <c r="J720">
        <v>9241.83</v>
      </c>
      <c r="K720" t="s">
        <v>22</v>
      </c>
      <c r="L720">
        <v>0.35135767714147059</v>
      </c>
      <c r="M720" t="s">
        <v>23</v>
      </c>
      <c r="N720">
        <v>1</v>
      </c>
      <c r="O720">
        <v>0</v>
      </c>
      <c r="P720" t="s">
        <v>24</v>
      </c>
      <c r="Q720" t="s">
        <v>33</v>
      </c>
      <c r="R720" t="s">
        <v>26</v>
      </c>
      <c r="S720" t="s">
        <v>27</v>
      </c>
      <c r="T720" t="s">
        <v>35</v>
      </c>
      <c r="U720">
        <f t="shared" si="11"/>
        <v>0</v>
      </c>
    </row>
    <row r="721" spans="1:21" x14ac:dyDescent="0.2">
      <c r="A721">
        <v>427</v>
      </c>
      <c r="B721" t="s">
        <v>42</v>
      </c>
      <c r="C721" t="s">
        <v>21</v>
      </c>
      <c r="D721">
        <v>33</v>
      </c>
      <c r="E721">
        <v>8</v>
      </c>
      <c r="F721">
        <v>0</v>
      </c>
      <c r="G721">
        <v>1</v>
      </c>
      <c r="H721" t="s">
        <v>22</v>
      </c>
      <c r="I721" t="s">
        <v>22</v>
      </c>
      <c r="J721">
        <v>13858.95</v>
      </c>
      <c r="K721" t="s">
        <v>23</v>
      </c>
      <c r="L721">
        <v>3.9797656314011727E-2</v>
      </c>
      <c r="M721" t="s">
        <v>23</v>
      </c>
      <c r="N721">
        <v>0</v>
      </c>
      <c r="O721">
        <v>0</v>
      </c>
      <c r="P721" t="s">
        <v>34</v>
      </c>
      <c r="Q721" t="s">
        <v>33</v>
      </c>
      <c r="R721" t="s">
        <v>29</v>
      </c>
      <c r="S721" t="s">
        <v>45</v>
      </c>
      <c r="T721" t="s">
        <v>35</v>
      </c>
      <c r="U721">
        <f t="shared" si="11"/>
        <v>1</v>
      </c>
    </row>
    <row r="722" spans="1:21" x14ac:dyDescent="0.2">
      <c r="A722">
        <v>514</v>
      </c>
      <c r="B722" t="s">
        <v>42</v>
      </c>
      <c r="C722" t="s">
        <v>21</v>
      </c>
      <c r="D722">
        <v>38</v>
      </c>
      <c r="E722">
        <v>4</v>
      </c>
      <c r="F722">
        <v>112230.38</v>
      </c>
      <c r="G722">
        <v>1</v>
      </c>
      <c r="H722" t="s">
        <v>22</v>
      </c>
      <c r="I722" t="s">
        <v>23</v>
      </c>
      <c r="J722">
        <v>16717.11</v>
      </c>
      <c r="K722" t="s">
        <v>22</v>
      </c>
      <c r="L722">
        <v>0.19590168747996961</v>
      </c>
      <c r="M722" t="s">
        <v>23</v>
      </c>
      <c r="N722">
        <v>1</v>
      </c>
      <c r="O722">
        <v>0</v>
      </c>
      <c r="P722" t="s">
        <v>34</v>
      </c>
      <c r="Q722" t="s">
        <v>33</v>
      </c>
      <c r="R722" t="s">
        <v>26</v>
      </c>
      <c r="S722" t="s">
        <v>30</v>
      </c>
      <c r="T722" t="s">
        <v>35</v>
      </c>
      <c r="U722">
        <f t="shared" si="11"/>
        <v>0</v>
      </c>
    </row>
    <row r="723" spans="1:21" x14ac:dyDescent="0.2">
      <c r="A723">
        <v>653</v>
      </c>
      <c r="B723" t="s">
        <v>41</v>
      </c>
      <c r="C723" t="s">
        <v>32</v>
      </c>
      <c r="D723">
        <v>37</v>
      </c>
      <c r="E723">
        <v>3</v>
      </c>
      <c r="F723">
        <v>125734.2</v>
      </c>
      <c r="G723">
        <v>2</v>
      </c>
      <c r="H723" t="s">
        <v>22</v>
      </c>
      <c r="I723" t="s">
        <v>23</v>
      </c>
      <c r="J723">
        <v>134625.09</v>
      </c>
      <c r="K723" t="s">
        <v>22</v>
      </c>
      <c r="L723">
        <v>0.44292330328696361</v>
      </c>
      <c r="M723" t="s">
        <v>23</v>
      </c>
      <c r="N723">
        <v>1</v>
      </c>
      <c r="O723">
        <v>0</v>
      </c>
      <c r="P723" t="s">
        <v>24</v>
      </c>
      <c r="Q723" t="s">
        <v>33</v>
      </c>
      <c r="R723" t="s">
        <v>26</v>
      </c>
      <c r="S723" t="s">
        <v>27</v>
      </c>
      <c r="T723" t="s">
        <v>28</v>
      </c>
      <c r="U723">
        <f t="shared" si="11"/>
        <v>0</v>
      </c>
    </row>
    <row r="724" spans="1:21" x14ac:dyDescent="0.2">
      <c r="A724">
        <v>841</v>
      </c>
      <c r="B724" t="s">
        <v>42</v>
      </c>
      <c r="C724" t="s">
        <v>21</v>
      </c>
      <c r="D724">
        <v>27</v>
      </c>
      <c r="E724">
        <v>8</v>
      </c>
      <c r="F724">
        <v>0</v>
      </c>
      <c r="G724">
        <v>1</v>
      </c>
      <c r="H724" t="s">
        <v>22</v>
      </c>
      <c r="I724" t="s">
        <v>23</v>
      </c>
      <c r="J724">
        <v>171922.72</v>
      </c>
      <c r="K724" t="s">
        <v>23</v>
      </c>
      <c r="L724">
        <v>6.0904015358379103E-2</v>
      </c>
      <c r="M724" t="s">
        <v>23</v>
      </c>
      <c r="N724">
        <v>0</v>
      </c>
      <c r="O724">
        <v>0</v>
      </c>
      <c r="P724" t="s">
        <v>34</v>
      </c>
      <c r="Q724" t="s">
        <v>36</v>
      </c>
      <c r="R724" t="s">
        <v>29</v>
      </c>
      <c r="S724" t="s">
        <v>39</v>
      </c>
      <c r="T724" t="s">
        <v>31</v>
      </c>
      <c r="U724">
        <f t="shared" si="11"/>
        <v>1</v>
      </c>
    </row>
    <row r="725" spans="1:21" x14ac:dyDescent="0.2">
      <c r="A725">
        <v>477</v>
      </c>
      <c r="B725" t="s">
        <v>41</v>
      </c>
      <c r="C725" t="s">
        <v>21</v>
      </c>
      <c r="D725">
        <v>34</v>
      </c>
      <c r="E725">
        <v>8</v>
      </c>
      <c r="F725">
        <v>139959.54999999999</v>
      </c>
      <c r="G725">
        <v>2</v>
      </c>
      <c r="H725" t="s">
        <v>22</v>
      </c>
      <c r="I725" t="s">
        <v>22</v>
      </c>
      <c r="J725">
        <v>189875.83</v>
      </c>
      <c r="K725" t="s">
        <v>23</v>
      </c>
      <c r="L725">
        <v>0.119419991885073</v>
      </c>
      <c r="M725" t="s">
        <v>23</v>
      </c>
      <c r="N725">
        <v>0</v>
      </c>
      <c r="O725">
        <v>0</v>
      </c>
      <c r="P725" t="s">
        <v>34</v>
      </c>
      <c r="Q725" t="s">
        <v>33</v>
      </c>
      <c r="R725" t="s">
        <v>26</v>
      </c>
      <c r="S725" t="s">
        <v>45</v>
      </c>
      <c r="T725" t="s">
        <v>31</v>
      </c>
      <c r="U725">
        <f t="shared" si="11"/>
        <v>1</v>
      </c>
    </row>
    <row r="726" spans="1:21" x14ac:dyDescent="0.2">
      <c r="A726">
        <v>528</v>
      </c>
      <c r="B726" t="s">
        <v>41</v>
      </c>
      <c r="C726" t="s">
        <v>21</v>
      </c>
      <c r="D726">
        <v>22</v>
      </c>
      <c r="E726">
        <v>5</v>
      </c>
      <c r="F726">
        <v>93547.23</v>
      </c>
      <c r="G726">
        <v>2</v>
      </c>
      <c r="H726" t="s">
        <v>23</v>
      </c>
      <c r="I726" t="s">
        <v>22</v>
      </c>
      <c r="J726">
        <v>961.57</v>
      </c>
      <c r="K726" t="s">
        <v>23</v>
      </c>
      <c r="L726">
        <v>4.4977740782872443E-2</v>
      </c>
      <c r="M726" t="s">
        <v>23</v>
      </c>
      <c r="N726">
        <v>0</v>
      </c>
      <c r="O726">
        <v>0</v>
      </c>
      <c r="P726" t="s">
        <v>34</v>
      </c>
      <c r="Q726" t="s">
        <v>36</v>
      </c>
      <c r="R726" t="s">
        <v>38</v>
      </c>
      <c r="S726" t="s">
        <v>30</v>
      </c>
      <c r="T726" t="s">
        <v>35</v>
      </c>
      <c r="U726">
        <f t="shared" si="11"/>
        <v>1</v>
      </c>
    </row>
    <row r="727" spans="1:21" x14ac:dyDescent="0.2">
      <c r="A727">
        <v>543</v>
      </c>
      <c r="B727" t="s">
        <v>42</v>
      </c>
      <c r="C727" t="s">
        <v>32</v>
      </c>
      <c r="D727">
        <v>31</v>
      </c>
      <c r="E727">
        <v>2</v>
      </c>
      <c r="F727">
        <v>147674.26</v>
      </c>
      <c r="G727">
        <v>1</v>
      </c>
      <c r="H727" t="s">
        <v>22</v>
      </c>
      <c r="I727" t="s">
        <v>22</v>
      </c>
      <c r="J727">
        <v>16658.759999999998</v>
      </c>
      <c r="K727" t="s">
        <v>23</v>
      </c>
      <c r="L727">
        <v>8.6185498167287294E-2</v>
      </c>
      <c r="M727" t="s">
        <v>23</v>
      </c>
      <c r="N727">
        <v>0</v>
      </c>
      <c r="O727">
        <v>0</v>
      </c>
      <c r="P727" t="s">
        <v>34</v>
      </c>
      <c r="Q727" t="s">
        <v>33</v>
      </c>
      <c r="R727" t="s">
        <v>26</v>
      </c>
      <c r="S727" t="s">
        <v>30</v>
      </c>
      <c r="T727" t="s">
        <v>35</v>
      </c>
      <c r="U727">
        <f t="shared" si="11"/>
        <v>1</v>
      </c>
    </row>
    <row r="728" spans="1:21" x14ac:dyDescent="0.2">
      <c r="A728">
        <v>595</v>
      </c>
      <c r="B728" t="s">
        <v>41</v>
      </c>
      <c r="C728" t="s">
        <v>21</v>
      </c>
      <c r="D728">
        <v>46</v>
      </c>
      <c r="E728">
        <v>5</v>
      </c>
      <c r="F728">
        <v>142360.62</v>
      </c>
      <c r="G728">
        <v>2</v>
      </c>
      <c r="H728" t="s">
        <v>22</v>
      </c>
      <c r="I728" t="s">
        <v>23</v>
      </c>
      <c r="J728">
        <v>48421.4</v>
      </c>
      <c r="K728" t="s">
        <v>22</v>
      </c>
      <c r="L728">
        <v>0.47118240291515823</v>
      </c>
      <c r="M728" t="s">
        <v>23</v>
      </c>
      <c r="N728">
        <v>1</v>
      </c>
      <c r="O728">
        <v>0</v>
      </c>
      <c r="P728" t="s">
        <v>24</v>
      </c>
      <c r="Q728" t="s">
        <v>25</v>
      </c>
      <c r="R728" t="s">
        <v>26</v>
      </c>
      <c r="S728" t="s">
        <v>30</v>
      </c>
      <c r="T728" t="s">
        <v>35</v>
      </c>
      <c r="U728">
        <f t="shared" si="11"/>
        <v>0</v>
      </c>
    </row>
    <row r="729" spans="1:21" x14ac:dyDescent="0.2">
      <c r="A729">
        <v>660</v>
      </c>
      <c r="B729" t="s">
        <v>41</v>
      </c>
      <c r="C729" t="s">
        <v>21</v>
      </c>
      <c r="D729">
        <v>28</v>
      </c>
      <c r="E729">
        <v>2</v>
      </c>
      <c r="F729">
        <v>170890.05</v>
      </c>
      <c r="G729">
        <v>2</v>
      </c>
      <c r="H729" t="s">
        <v>22</v>
      </c>
      <c r="I729" t="s">
        <v>23</v>
      </c>
      <c r="J729">
        <v>41758.9</v>
      </c>
      <c r="K729" t="s">
        <v>23</v>
      </c>
      <c r="L729">
        <v>0.20380218152637949</v>
      </c>
      <c r="M729" t="s">
        <v>23</v>
      </c>
      <c r="N729">
        <v>0</v>
      </c>
      <c r="O729">
        <v>0</v>
      </c>
      <c r="P729" t="s">
        <v>24</v>
      </c>
      <c r="Q729" t="s">
        <v>36</v>
      </c>
      <c r="R729" t="s">
        <v>47</v>
      </c>
      <c r="S729" t="s">
        <v>27</v>
      </c>
      <c r="T729" t="s">
        <v>35</v>
      </c>
      <c r="U729">
        <f t="shared" si="11"/>
        <v>1</v>
      </c>
    </row>
    <row r="730" spans="1:21" x14ac:dyDescent="0.2">
      <c r="A730">
        <v>705</v>
      </c>
      <c r="B730" t="s">
        <v>42</v>
      </c>
      <c r="C730" t="s">
        <v>32</v>
      </c>
      <c r="D730">
        <v>38</v>
      </c>
      <c r="E730">
        <v>3</v>
      </c>
      <c r="F730">
        <v>123894.43</v>
      </c>
      <c r="G730">
        <v>1</v>
      </c>
      <c r="H730" t="s">
        <v>22</v>
      </c>
      <c r="I730" t="s">
        <v>23</v>
      </c>
      <c r="J730">
        <v>21177.1</v>
      </c>
      <c r="K730" t="s">
        <v>23</v>
      </c>
      <c r="L730">
        <v>0.28002126640213049</v>
      </c>
      <c r="M730" t="s">
        <v>23</v>
      </c>
      <c r="N730">
        <v>0</v>
      </c>
      <c r="O730">
        <v>0</v>
      </c>
      <c r="P730" t="s">
        <v>24</v>
      </c>
      <c r="Q730" t="s">
        <v>33</v>
      </c>
      <c r="R730" t="s">
        <v>26</v>
      </c>
      <c r="S730" t="s">
        <v>37</v>
      </c>
      <c r="T730" t="s">
        <v>35</v>
      </c>
      <c r="U730">
        <f t="shared" si="11"/>
        <v>1</v>
      </c>
    </row>
    <row r="731" spans="1:21" x14ac:dyDescent="0.2">
      <c r="A731">
        <v>444</v>
      </c>
      <c r="B731" t="s">
        <v>42</v>
      </c>
      <c r="C731" t="s">
        <v>21</v>
      </c>
      <c r="D731">
        <v>36</v>
      </c>
      <c r="E731">
        <v>7</v>
      </c>
      <c r="F731">
        <v>0</v>
      </c>
      <c r="G731">
        <v>2</v>
      </c>
      <c r="H731" t="s">
        <v>23</v>
      </c>
      <c r="I731" t="s">
        <v>22</v>
      </c>
      <c r="J731">
        <v>138743.85999999999</v>
      </c>
      <c r="K731" t="s">
        <v>23</v>
      </c>
      <c r="L731">
        <v>4.9507048222991672E-2</v>
      </c>
      <c r="M731" t="s">
        <v>23</v>
      </c>
      <c r="N731">
        <v>0</v>
      </c>
      <c r="O731">
        <v>0</v>
      </c>
      <c r="P731" t="s">
        <v>34</v>
      </c>
      <c r="Q731" t="s">
        <v>33</v>
      </c>
      <c r="R731" t="s">
        <v>29</v>
      </c>
      <c r="S731" t="s">
        <v>45</v>
      </c>
      <c r="T731" t="s">
        <v>28</v>
      </c>
      <c r="U731">
        <f t="shared" si="11"/>
        <v>1</v>
      </c>
    </row>
    <row r="732" spans="1:21" x14ac:dyDescent="0.2">
      <c r="A732">
        <v>615</v>
      </c>
      <c r="B732" t="s">
        <v>41</v>
      </c>
      <c r="C732" t="s">
        <v>32</v>
      </c>
      <c r="D732">
        <v>44</v>
      </c>
      <c r="E732">
        <v>9</v>
      </c>
      <c r="F732">
        <v>126104.98</v>
      </c>
      <c r="G732">
        <v>2</v>
      </c>
      <c r="H732" t="s">
        <v>23</v>
      </c>
      <c r="I732" t="s">
        <v>22</v>
      </c>
      <c r="J732">
        <v>110718.02</v>
      </c>
      <c r="K732" t="s">
        <v>23</v>
      </c>
      <c r="L732">
        <v>0.29445598258711159</v>
      </c>
      <c r="M732" t="s">
        <v>23</v>
      </c>
      <c r="N732">
        <v>0</v>
      </c>
      <c r="O732">
        <v>0</v>
      </c>
      <c r="P732" t="s">
        <v>24</v>
      </c>
      <c r="Q732" t="s">
        <v>25</v>
      </c>
      <c r="R732" t="s">
        <v>26</v>
      </c>
      <c r="S732" t="s">
        <v>27</v>
      </c>
      <c r="T732" t="s">
        <v>28</v>
      </c>
      <c r="U732">
        <f t="shared" si="11"/>
        <v>1</v>
      </c>
    </row>
    <row r="733" spans="1:21" x14ac:dyDescent="0.2">
      <c r="A733">
        <v>756</v>
      </c>
      <c r="B733" t="s">
        <v>42</v>
      </c>
      <c r="C733" t="s">
        <v>32</v>
      </c>
      <c r="D733">
        <v>42</v>
      </c>
      <c r="E733">
        <v>9</v>
      </c>
      <c r="F733">
        <v>0</v>
      </c>
      <c r="G733">
        <v>2</v>
      </c>
      <c r="H733" t="s">
        <v>22</v>
      </c>
      <c r="I733" t="s">
        <v>23</v>
      </c>
      <c r="J733">
        <v>35673.42</v>
      </c>
      <c r="K733" t="s">
        <v>23</v>
      </c>
      <c r="L733">
        <v>0.22810761770552521</v>
      </c>
      <c r="M733" t="s">
        <v>23</v>
      </c>
      <c r="N733">
        <v>0</v>
      </c>
      <c r="O733">
        <v>0</v>
      </c>
      <c r="P733" t="s">
        <v>24</v>
      </c>
      <c r="Q733" t="s">
        <v>25</v>
      </c>
      <c r="R733" t="s">
        <v>29</v>
      </c>
      <c r="S733" t="s">
        <v>37</v>
      </c>
      <c r="T733" t="s">
        <v>35</v>
      </c>
      <c r="U733">
        <f t="shared" si="11"/>
        <v>1</v>
      </c>
    </row>
    <row r="734" spans="1:21" x14ac:dyDescent="0.2">
      <c r="A734">
        <v>646</v>
      </c>
      <c r="B734" t="s">
        <v>20</v>
      </c>
      <c r="C734" t="s">
        <v>21</v>
      </c>
      <c r="D734">
        <v>32</v>
      </c>
      <c r="E734">
        <v>1</v>
      </c>
      <c r="F734">
        <v>0</v>
      </c>
      <c r="G734">
        <v>2</v>
      </c>
      <c r="H734" t="s">
        <v>22</v>
      </c>
      <c r="I734" t="s">
        <v>23</v>
      </c>
      <c r="J734">
        <v>183289.22</v>
      </c>
      <c r="K734" t="s">
        <v>23</v>
      </c>
      <c r="L734">
        <v>0.1042412609677065</v>
      </c>
      <c r="M734" t="s">
        <v>23</v>
      </c>
      <c r="N734">
        <v>0</v>
      </c>
      <c r="O734">
        <v>0</v>
      </c>
      <c r="P734" t="s">
        <v>34</v>
      </c>
      <c r="Q734" t="s">
        <v>33</v>
      </c>
      <c r="R734" t="s">
        <v>29</v>
      </c>
      <c r="S734" t="s">
        <v>27</v>
      </c>
      <c r="T734" t="s">
        <v>31</v>
      </c>
      <c r="U734">
        <f t="shared" si="11"/>
        <v>1</v>
      </c>
    </row>
    <row r="735" spans="1:21" x14ac:dyDescent="0.2">
      <c r="A735">
        <v>708</v>
      </c>
      <c r="B735" t="s">
        <v>41</v>
      </c>
      <c r="C735" t="s">
        <v>21</v>
      </c>
      <c r="D735">
        <v>32</v>
      </c>
      <c r="E735">
        <v>3</v>
      </c>
      <c r="F735">
        <v>151691.44</v>
      </c>
      <c r="G735">
        <v>2</v>
      </c>
      <c r="H735" t="s">
        <v>22</v>
      </c>
      <c r="I735" t="s">
        <v>22</v>
      </c>
      <c r="J735">
        <v>172810.51</v>
      </c>
      <c r="K735" t="s">
        <v>23</v>
      </c>
      <c r="L735">
        <v>0.1010102110538502</v>
      </c>
      <c r="M735" t="s">
        <v>23</v>
      </c>
      <c r="N735">
        <v>0</v>
      </c>
      <c r="O735">
        <v>0</v>
      </c>
      <c r="P735" t="s">
        <v>34</v>
      </c>
      <c r="Q735" t="s">
        <v>33</v>
      </c>
      <c r="R735" t="s">
        <v>47</v>
      </c>
      <c r="S735" t="s">
        <v>37</v>
      </c>
      <c r="T735" t="s">
        <v>31</v>
      </c>
      <c r="U735">
        <f t="shared" si="11"/>
        <v>1</v>
      </c>
    </row>
    <row r="736" spans="1:21" x14ac:dyDescent="0.2">
      <c r="A736">
        <v>547</v>
      </c>
      <c r="B736" t="s">
        <v>42</v>
      </c>
      <c r="C736" t="s">
        <v>32</v>
      </c>
      <c r="D736">
        <v>29</v>
      </c>
      <c r="E736">
        <v>6</v>
      </c>
      <c r="F736">
        <v>104450.86</v>
      </c>
      <c r="G736">
        <v>1</v>
      </c>
      <c r="H736" t="s">
        <v>22</v>
      </c>
      <c r="I736" t="s">
        <v>22</v>
      </c>
      <c r="J736">
        <v>37160.28</v>
      </c>
      <c r="K736" t="s">
        <v>23</v>
      </c>
      <c r="L736">
        <v>6.3471552981176085E-2</v>
      </c>
      <c r="M736" t="s">
        <v>23</v>
      </c>
      <c r="N736">
        <v>0</v>
      </c>
      <c r="O736">
        <v>0</v>
      </c>
      <c r="P736" t="s">
        <v>34</v>
      </c>
      <c r="Q736" t="s">
        <v>36</v>
      </c>
      <c r="R736" t="s">
        <v>26</v>
      </c>
      <c r="S736" t="s">
        <v>30</v>
      </c>
      <c r="T736" t="s">
        <v>35</v>
      </c>
      <c r="U736">
        <f t="shared" si="11"/>
        <v>1</v>
      </c>
    </row>
    <row r="737" spans="1:21" x14ac:dyDescent="0.2">
      <c r="A737">
        <v>746</v>
      </c>
      <c r="B737" t="s">
        <v>42</v>
      </c>
      <c r="C737" t="s">
        <v>32</v>
      </c>
      <c r="D737">
        <v>34</v>
      </c>
      <c r="E737">
        <v>4</v>
      </c>
      <c r="F737">
        <v>0</v>
      </c>
      <c r="G737">
        <v>1</v>
      </c>
      <c r="H737" t="s">
        <v>23</v>
      </c>
      <c r="I737" t="s">
        <v>22</v>
      </c>
      <c r="J737">
        <v>65166.6</v>
      </c>
      <c r="K737" t="s">
        <v>23</v>
      </c>
      <c r="L737">
        <v>6.6443360269205068E-2</v>
      </c>
      <c r="M737" t="s">
        <v>23</v>
      </c>
      <c r="N737">
        <v>0</v>
      </c>
      <c r="O737">
        <v>0</v>
      </c>
      <c r="P737" t="s">
        <v>34</v>
      </c>
      <c r="Q737" t="s">
        <v>33</v>
      </c>
      <c r="R737" t="s">
        <v>29</v>
      </c>
      <c r="S737" t="s">
        <v>37</v>
      </c>
      <c r="T737" t="s">
        <v>40</v>
      </c>
      <c r="U737">
        <f t="shared" si="11"/>
        <v>1</v>
      </c>
    </row>
    <row r="738" spans="1:21" x14ac:dyDescent="0.2">
      <c r="A738">
        <v>530</v>
      </c>
      <c r="B738" t="s">
        <v>20</v>
      </c>
      <c r="C738" t="s">
        <v>21</v>
      </c>
      <c r="D738">
        <v>37</v>
      </c>
      <c r="E738">
        <v>4</v>
      </c>
      <c r="F738">
        <v>0</v>
      </c>
      <c r="G738">
        <v>2</v>
      </c>
      <c r="H738" t="s">
        <v>22</v>
      </c>
      <c r="I738" t="s">
        <v>22</v>
      </c>
      <c r="J738">
        <v>164844.37</v>
      </c>
      <c r="K738" t="s">
        <v>23</v>
      </c>
      <c r="L738">
        <v>5.415456706902929E-2</v>
      </c>
      <c r="M738" t="s">
        <v>23</v>
      </c>
      <c r="N738">
        <v>0</v>
      </c>
      <c r="O738">
        <v>0</v>
      </c>
      <c r="P738" t="s">
        <v>34</v>
      </c>
      <c r="Q738" t="s">
        <v>33</v>
      </c>
      <c r="R738" t="s">
        <v>29</v>
      </c>
      <c r="S738" t="s">
        <v>30</v>
      </c>
      <c r="T738" t="s">
        <v>31</v>
      </c>
      <c r="U738">
        <f t="shared" si="11"/>
        <v>1</v>
      </c>
    </row>
    <row r="739" spans="1:21" x14ac:dyDescent="0.2">
      <c r="A739">
        <v>526</v>
      </c>
      <c r="B739" t="s">
        <v>41</v>
      </c>
      <c r="C739" t="s">
        <v>32</v>
      </c>
      <c r="D739">
        <v>32</v>
      </c>
      <c r="E739">
        <v>6</v>
      </c>
      <c r="F739">
        <v>131938.92000000001</v>
      </c>
      <c r="G739">
        <v>2</v>
      </c>
      <c r="H739" t="s">
        <v>22</v>
      </c>
      <c r="I739" t="s">
        <v>22</v>
      </c>
      <c r="J739">
        <v>1795.93</v>
      </c>
      <c r="K739" t="s">
        <v>23</v>
      </c>
      <c r="L739">
        <v>0.15202456369300299</v>
      </c>
      <c r="M739" t="s">
        <v>23</v>
      </c>
      <c r="N739">
        <v>0</v>
      </c>
      <c r="O739">
        <v>0</v>
      </c>
      <c r="P739" t="s">
        <v>34</v>
      </c>
      <c r="Q739" t="s">
        <v>33</v>
      </c>
      <c r="R739" t="s">
        <v>26</v>
      </c>
      <c r="S739" t="s">
        <v>30</v>
      </c>
      <c r="T739" t="s">
        <v>35</v>
      </c>
      <c r="U739">
        <f t="shared" si="11"/>
        <v>1</v>
      </c>
    </row>
    <row r="740" spans="1:21" x14ac:dyDescent="0.2">
      <c r="A740">
        <v>677</v>
      </c>
      <c r="B740" t="s">
        <v>42</v>
      </c>
      <c r="C740" t="s">
        <v>32</v>
      </c>
      <c r="D740">
        <v>72</v>
      </c>
      <c r="E740">
        <v>8</v>
      </c>
      <c r="F740">
        <v>0</v>
      </c>
      <c r="G740">
        <v>2</v>
      </c>
      <c r="H740" t="s">
        <v>22</v>
      </c>
      <c r="I740" t="s">
        <v>22</v>
      </c>
      <c r="J740">
        <v>153604.44</v>
      </c>
      <c r="K740" t="s">
        <v>23</v>
      </c>
      <c r="L740">
        <v>0.51283732999429676</v>
      </c>
      <c r="M740" t="s">
        <v>22</v>
      </c>
      <c r="N740">
        <v>0</v>
      </c>
      <c r="O740">
        <v>1</v>
      </c>
      <c r="P740" t="s">
        <v>43</v>
      </c>
      <c r="Q740" t="s">
        <v>46</v>
      </c>
      <c r="R740" t="s">
        <v>29</v>
      </c>
      <c r="S740" t="s">
        <v>27</v>
      </c>
      <c r="T740" t="s">
        <v>31</v>
      </c>
      <c r="U740">
        <f t="shared" si="11"/>
        <v>0</v>
      </c>
    </row>
    <row r="741" spans="1:21" x14ac:dyDescent="0.2">
      <c r="A741">
        <v>488</v>
      </c>
      <c r="B741" t="s">
        <v>42</v>
      </c>
      <c r="C741" t="s">
        <v>32</v>
      </c>
      <c r="D741">
        <v>22</v>
      </c>
      <c r="E741">
        <v>6</v>
      </c>
      <c r="F741">
        <v>0</v>
      </c>
      <c r="G741">
        <v>2</v>
      </c>
      <c r="H741" t="s">
        <v>22</v>
      </c>
      <c r="I741" t="s">
        <v>22</v>
      </c>
      <c r="J741">
        <v>66393.89</v>
      </c>
      <c r="K741" t="s">
        <v>23</v>
      </c>
      <c r="L741">
        <v>2.856303695391323E-2</v>
      </c>
      <c r="M741" t="s">
        <v>23</v>
      </c>
      <c r="N741">
        <v>0</v>
      </c>
      <c r="O741">
        <v>0</v>
      </c>
      <c r="P741" t="s">
        <v>34</v>
      </c>
      <c r="Q741" t="s">
        <v>36</v>
      </c>
      <c r="R741" t="s">
        <v>29</v>
      </c>
      <c r="S741" t="s">
        <v>45</v>
      </c>
      <c r="T741" t="s">
        <v>40</v>
      </c>
      <c r="U741">
        <f t="shared" si="11"/>
        <v>1</v>
      </c>
    </row>
    <row r="742" spans="1:21" x14ac:dyDescent="0.2">
      <c r="A742">
        <v>709</v>
      </c>
      <c r="B742" t="s">
        <v>42</v>
      </c>
      <c r="C742" t="s">
        <v>21</v>
      </c>
      <c r="D742">
        <v>31</v>
      </c>
      <c r="E742">
        <v>6</v>
      </c>
      <c r="F742">
        <v>0</v>
      </c>
      <c r="G742">
        <v>2</v>
      </c>
      <c r="H742" t="s">
        <v>22</v>
      </c>
      <c r="I742" t="s">
        <v>22</v>
      </c>
      <c r="J742">
        <v>71009.84</v>
      </c>
      <c r="K742" t="s">
        <v>23</v>
      </c>
      <c r="L742">
        <v>2.7689570317377489E-2</v>
      </c>
      <c r="M742" t="s">
        <v>23</v>
      </c>
      <c r="N742">
        <v>0</v>
      </c>
      <c r="O742">
        <v>0</v>
      </c>
      <c r="P742" t="s">
        <v>34</v>
      </c>
      <c r="Q742" t="s">
        <v>33</v>
      </c>
      <c r="R742" t="s">
        <v>29</v>
      </c>
      <c r="S742" t="s">
        <v>37</v>
      </c>
      <c r="T742" t="s">
        <v>40</v>
      </c>
      <c r="U742">
        <f t="shared" si="11"/>
        <v>1</v>
      </c>
    </row>
    <row r="743" spans="1:21" x14ac:dyDescent="0.2">
      <c r="A743">
        <v>543</v>
      </c>
      <c r="B743" t="s">
        <v>42</v>
      </c>
      <c r="C743" t="s">
        <v>32</v>
      </c>
      <c r="D743">
        <v>42</v>
      </c>
      <c r="E743">
        <v>5</v>
      </c>
      <c r="F743">
        <v>0</v>
      </c>
      <c r="G743">
        <v>2</v>
      </c>
      <c r="H743" t="s">
        <v>23</v>
      </c>
      <c r="I743" t="s">
        <v>23</v>
      </c>
      <c r="J743">
        <v>101905.34</v>
      </c>
      <c r="K743" t="s">
        <v>23</v>
      </c>
      <c r="L743">
        <v>0.28431806406920968</v>
      </c>
      <c r="M743" t="s">
        <v>23</v>
      </c>
      <c r="N743">
        <v>0</v>
      </c>
      <c r="O743">
        <v>0</v>
      </c>
      <c r="P743" t="s">
        <v>24</v>
      </c>
      <c r="Q743" t="s">
        <v>25</v>
      </c>
      <c r="R743" t="s">
        <v>29</v>
      </c>
      <c r="S743" t="s">
        <v>30</v>
      </c>
      <c r="T743" t="s">
        <v>28</v>
      </c>
      <c r="U743">
        <f t="shared" si="11"/>
        <v>1</v>
      </c>
    </row>
    <row r="744" spans="1:21" x14ac:dyDescent="0.2">
      <c r="A744">
        <v>595</v>
      </c>
      <c r="B744" t="s">
        <v>20</v>
      </c>
      <c r="C744" t="s">
        <v>21</v>
      </c>
      <c r="D744">
        <v>37</v>
      </c>
      <c r="E744">
        <v>2</v>
      </c>
      <c r="F744">
        <v>157084.99</v>
      </c>
      <c r="G744">
        <v>1</v>
      </c>
      <c r="H744" t="s">
        <v>22</v>
      </c>
      <c r="I744" t="s">
        <v>23</v>
      </c>
      <c r="J744">
        <v>134767.13</v>
      </c>
      <c r="K744" t="s">
        <v>23</v>
      </c>
      <c r="L744">
        <v>0.2172301673252342</v>
      </c>
      <c r="M744" t="s">
        <v>23</v>
      </c>
      <c r="N744">
        <v>0</v>
      </c>
      <c r="O744">
        <v>0</v>
      </c>
      <c r="P744" t="s">
        <v>24</v>
      </c>
      <c r="Q744" t="s">
        <v>33</v>
      </c>
      <c r="R744" t="s">
        <v>47</v>
      </c>
      <c r="S744" t="s">
        <v>30</v>
      </c>
      <c r="T744" t="s">
        <v>28</v>
      </c>
      <c r="U744">
        <f t="shared" si="11"/>
        <v>1</v>
      </c>
    </row>
    <row r="745" spans="1:21" x14ac:dyDescent="0.2">
      <c r="A745">
        <v>698</v>
      </c>
      <c r="B745" t="s">
        <v>41</v>
      </c>
      <c r="C745" t="s">
        <v>21</v>
      </c>
      <c r="D745">
        <v>55</v>
      </c>
      <c r="E745">
        <v>8</v>
      </c>
      <c r="F745">
        <v>155059.1</v>
      </c>
      <c r="G745">
        <v>2</v>
      </c>
      <c r="H745" t="s">
        <v>22</v>
      </c>
      <c r="I745" t="s">
        <v>22</v>
      </c>
      <c r="J745">
        <v>144584.29</v>
      </c>
      <c r="K745" t="s">
        <v>23</v>
      </c>
      <c r="L745">
        <v>0.35817658881516001</v>
      </c>
      <c r="M745" t="s">
        <v>23</v>
      </c>
      <c r="N745">
        <v>0</v>
      </c>
      <c r="O745">
        <v>0</v>
      </c>
      <c r="P745" t="s">
        <v>24</v>
      </c>
      <c r="Q745" t="s">
        <v>44</v>
      </c>
      <c r="R745" t="s">
        <v>47</v>
      </c>
      <c r="S745" t="s">
        <v>27</v>
      </c>
      <c r="T745" t="s">
        <v>28</v>
      </c>
      <c r="U745">
        <f t="shared" si="11"/>
        <v>1</v>
      </c>
    </row>
    <row r="746" spans="1:21" x14ac:dyDescent="0.2">
      <c r="A746">
        <v>553</v>
      </c>
      <c r="B746" t="s">
        <v>41</v>
      </c>
      <c r="C746" t="s">
        <v>21</v>
      </c>
      <c r="D746">
        <v>53</v>
      </c>
      <c r="E746">
        <v>5</v>
      </c>
      <c r="F746">
        <v>127997.83</v>
      </c>
      <c r="G746">
        <v>1</v>
      </c>
      <c r="H746" t="s">
        <v>22</v>
      </c>
      <c r="I746" t="s">
        <v>23</v>
      </c>
      <c r="J746">
        <v>165378.66</v>
      </c>
      <c r="K746" t="s">
        <v>22</v>
      </c>
      <c r="L746">
        <v>0.63725079851025634</v>
      </c>
      <c r="M746" t="s">
        <v>22</v>
      </c>
      <c r="N746">
        <v>1</v>
      </c>
      <c r="O746">
        <v>1</v>
      </c>
      <c r="P746" t="s">
        <v>43</v>
      </c>
      <c r="Q746" t="s">
        <v>44</v>
      </c>
      <c r="R746" t="s">
        <v>26</v>
      </c>
      <c r="S746" t="s">
        <v>30</v>
      </c>
      <c r="T746" t="s">
        <v>31</v>
      </c>
      <c r="U746">
        <f t="shared" si="11"/>
        <v>1</v>
      </c>
    </row>
    <row r="747" spans="1:21" x14ac:dyDescent="0.2">
      <c r="A747">
        <v>539</v>
      </c>
      <c r="B747" t="s">
        <v>20</v>
      </c>
      <c r="C747" t="s">
        <v>21</v>
      </c>
      <c r="D747">
        <v>36</v>
      </c>
      <c r="E747">
        <v>6</v>
      </c>
      <c r="F747">
        <v>0</v>
      </c>
      <c r="G747">
        <v>3</v>
      </c>
      <c r="H747" t="s">
        <v>22</v>
      </c>
      <c r="I747" t="s">
        <v>22</v>
      </c>
      <c r="J747">
        <v>118959.64</v>
      </c>
      <c r="K747" t="s">
        <v>23</v>
      </c>
      <c r="L747">
        <v>4.2724498263489757E-2</v>
      </c>
      <c r="M747" t="s">
        <v>23</v>
      </c>
      <c r="N747">
        <v>0</v>
      </c>
      <c r="O747">
        <v>0</v>
      </c>
      <c r="P747" t="s">
        <v>34</v>
      </c>
      <c r="Q747" t="s">
        <v>33</v>
      </c>
      <c r="R747" t="s">
        <v>29</v>
      </c>
      <c r="S747" t="s">
        <v>30</v>
      </c>
      <c r="T747" t="s">
        <v>28</v>
      </c>
      <c r="U747">
        <f t="shared" si="11"/>
        <v>1</v>
      </c>
    </row>
    <row r="748" spans="1:21" x14ac:dyDescent="0.2">
      <c r="A748">
        <v>728</v>
      </c>
      <c r="B748" t="s">
        <v>41</v>
      </c>
      <c r="C748" t="s">
        <v>21</v>
      </c>
      <c r="D748">
        <v>45</v>
      </c>
      <c r="E748">
        <v>3</v>
      </c>
      <c r="F748">
        <v>108924.33</v>
      </c>
      <c r="G748">
        <v>2</v>
      </c>
      <c r="H748" t="s">
        <v>22</v>
      </c>
      <c r="I748" t="s">
        <v>23</v>
      </c>
      <c r="J748">
        <v>84300.4</v>
      </c>
      <c r="K748" t="s">
        <v>22</v>
      </c>
      <c r="L748">
        <v>0.42348537493457111</v>
      </c>
      <c r="M748" t="s">
        <v>23</v>
      </c>
      <c r="N748">
        <v>1</v>
      </c>
      <c r="O748">
        <v>0</v>
      </c>
      <c r="P748" t="s">
        <v>24</v>
      </c>
      <c r="Q748" t="s">
        <v>25</v>
      </c>
      <c r="R748" t="s">
        <v>26</v>
      </c>
      <c r="S748" t="s">
        <v>37</v>
      </c>
      <c r="T748" t="s">
        <v>40</v>
      </c>
      <c r="U748">
        <f t="shared" si="11"/>
        <v>0</v>
      </c>
    </row>
    <row r="749" spans="1:21" x14ac:dyDescent="0.2">
      <c r="A749">
        <v>649</v>
      </c>
      <c r="B749" t="s">
        <v>20</v>
      </c>
      <c r="C749" t="s">
        <v>21</v>
      </c>
      <c r="D749">
        <v>20</v>
      </c>
      <c r="E749">
        <v>5</v>
      </c>
      <c r="F749">
        <v>0</v>
      </c>
      <c r="G749">
        <v>2</v>
      </c>
      <c r="H749" t="s">
        <v>22</v>
      </c>
      <c r="I749" t="s">
        <v>22</v>
      </c>
      <c r="J749">
        <v>58309.54</v>
      </c>
      <c r="K749" t="s">
        <v>23</v>
      </c>
      <c r="L749">
        <v>1.365503092324929E-2</v>
      </c>
      <c r="M749" t="s">
        <v>23</v>
      </c>
      <c r="N749">
        <v>0</v>
      </c>
      <c r="O749">
        <v>0</v>
      </c>
      <c r="P749" t="s">
        <v>34</v>
      </c>
      <c r="Q749" t="s">
        <v>36</v>
      </c>
      <c r="R749" t="s">
        <v>29</v>
      </c>
      <c r="S749" t="s">
        <v>27</v>
      </c>
      <c r="T749" t="s">
        <v>40</v>
      </c>
      <c r="U749">
        <f t="shared" si="11"/>
        <v>1</v>
      </c>
    </row>
    <row r="750" spans="1:21" x14ac:dyDescent="0.2">
      <c r="A750">
        <v>649</v>
      </c>
      <c r="B750" t="s">
        <v>42</v>
      </c>
      <c r="C750" t="s">
        <v>21</v>
      </c>
      <c r="D750">
        <v>46</v>
      </c>
      <c r="E750">
        <v>5</v>
      </c>
      <c r="F750">
        <v>0</v>
      </c>
      <c r="G750">
        <v>2</v>
      </c>
      <c r="H750" t="s">
        <v>22</v>
      </c>
      <c r="I750" t="s">
        <v>22</v>
      </c>
      <c r="J750">
        <v>76946.600000000006</v>
      </c>
      <c r="K750" t="s">
        <v>23</v>
      </c>
      <c r="L750">
        <v>8.4395257624097705E-2</v>
      </c>
      <c r="M750" t="s">
        <v>23</v>
      </c>
      <c r="N750">
        <v>0</v>
      </c>
      <c r="O750">
        <v>0</v>
      </c>
      <c r="P750" t="s">
        <v>34</v>
      </c>
      <c r="Q750" t="s">
        <v>25</v>
      </c>
      <c r="R750" t="s">
        <v>29</v>
      </c>
      <c r="S750" t="s">
        <v>27</v>
      </c>
      <c r="T750" t="s">
        <v>40</v>
      </c>
      <c r="U750">
        <f t="shared" si="11"/>
        <v>1</v>
      </c>
    </row>
    <row r="751" spans="1:21" x14ac:dyDescent="0.2">
      <c r="A751">
        <v>657</v>
      </c>
      <c r="B751" t="s">
        <v>20</v>
      </c>
      <c r="C751" t="s">
        <v>21</v>
      </c>
      <c r="D751">
        <v>40</v>
      </c>
      <c r="E751">
        <v>10</v>
      </c>
      <c r="F751">
        <v>0</v>
      </c>
      <c r="G751">
        <v>2</v>
      </c>
      <c r="H751" t="s">
        <v>22</v>
      </c>
      <c r="I751" t="s">
        <v>22</v>
      </c>
      <c r="J751">
        <v>52990.7</v>
      </c>
      <c r="K751" t="s">
        <v>23</v>
      </c>
      <c r="L751">
        <v>5.1784614378561439E-2</v>
      </c>
      <c r="M751" t="s">
        <v>23</v>
      </c>
      <c r="N751">
        <v>0</v>
      </c>
      <c r="O751">
        <v>0</v>
      </c>
      <c r="P751" t="s">
        <v>34</v>
      </c>
      <c r="Q751" t="s">
        <v>33</v>
      </c>
      <c r="R751" t="s">
        <v>29</v>
      </c>
      <c r="S751" t="s">
        <v>27</v>
      </c>
      <c r="T751" t="s">
        <v>40</v>
      </c>
      <c r="U751">
        <f t="shared" si="11"/>
        <v>1</v>
      </c>
    </row>
    <row r="752" spans="1:21" x14ac:dyDescent="0.2">
      <c r="A752">
        <v>511</v>
      </c>
      <c r="B752" t="s">
        <v>42</v>
      </c>
      <c r="C752" t="s">
        <v>32</v>
      </c>
      <c r="D752">
        <v>31</v>
      </c>
      <c r="E752">
        <v>5</v>
      </c>
      <c r="F752">
        <v>137411.29</v>
      </c>
      <c r="G752">
        <v>1</v>
      </c>
      <c r="H752" t="s">
        <v>23</v>
      </c>
      <c r="I752" t="s">
        <v>22</v>
      </c>
      <c r="J752">
        <v>161854.98000000001</v>
      </c>
      <c r="K752" t="s">
        <v>23</v>
      </c>
      <c r="L752">
        <v>9.0176108484219808E-2</v>
      </c>
      <c r="M752" t="s">
        <v>23</v>
      </c>
      <c r="N752">
        <v>0</v>
      </c>
      <c r="O752">
        <v>0</v>
      </c>
      <c r="P752" t="s">
        <v>34</v>
      </c>
      <c r="Q752" t="s">
        <v>33</v>
      </c>
      <c r="R752" t="s">
        <v>26</v>
      </c>
      <c r="S752" t="s">
        <v>30</v>
      </c>
      <c r="T752" t="s">
        <v>31</v>
      </c>
      <c r="U752">
        <f t="shared" si="11"/>
        <v>1</v>
      </c>
    </row>
    <row r="753" spans="1:21" x14ac:dyDescent="0.2">
      <c r="A753">
        <v>652</v>
      </c>
      <c r="B753" t="s">
        <v>20</v>
      </c>
      <c r="C753" t="s">
        <v>32</v>
      </c>
      <c r="D753">
        <v>33</v>
      </c>
      <c r="E753">
        <v>3</v>
      </c>
      <c r="F753">
        <v>124832.51</v>
      </c>
      <c r="G753">
        <v>1</v>
      </c>
      <c r="H753" t="s">
        <v>22</v>
      </c>
      <c r="I753" t="s">
        <v>23</v>
      </c>
      <c r="J753">
        <v>195877.06</v>
      </c>
      <c r="K753" t="s">
        <v>23</v>
      </c>
      <c r="L753">
        <v>0.24249789942947481</v>
      </c>
      <c r="M753" t="s">
        <v>23</v>
      </c>
      <c r="N753">
        <v>0</v>
      </c>
      <c r="O753">
        <v>0</v>
      </c>
      <c r="P753" t="s">
        <v>24</v>
      </c>
      <c r="Q753" t="s">
        <v>33</v>
      </c>
      <c r="R753" t="s">
        <v>26</v>
      </c>
      <c r="S753" t="s">
        <v>27</v>
      </c>
      <c r="T753" t="s">
        <v>31</v>
      </c>
      <c r="U753">
        <f t="shared" si="11"/>
        <v>1</v>
      </c>
    </row>
    <row r="754" spans="1:21" x14ac:dyDescent="0.2">
      <c r="A754">
        <v>702</v>
      </c>
      <c r="B754" t="s">
        <v>42</v>
      </c>
      <c r="C754" t="s">
        <v>32</v>
      </c>
      <c r="D754">
        <v>29</v>
      </c>
      <c r="E754">
        <v>10</v>
      </c>
      <c r="F754">
        <v>88378.6</v>
      </c>
      <c r="G754">
        <v>1</v>
      </c>
      <c r="H754" t="s">
        <v>22</v>
      </c>
      <c r="I754" t="s">
        <v>23</v>
      </c>
      <c r="J754">
        <v>88550.28</v>
      </c>
      <c r="K754" t="s">
        <v>23</v>
      </c>
      <c r="L754">
        <v>0.14171873392840251</v>
      </c>
      <c r="M754" t="s">
        <v>23</v>
      </c>
      <c r="N754">
        <v>0</v>
      </c>
      <c r="O754">
        <v>0</v>
      </c>
      <c r="P754" t="s">
        <v>34</v>
      </c>
      <c r="Q754" t="s">
        <v>36</v>
      </c>
      <c r="R754" t="s">
        <v>38</v>
      </c>
      <c r="S754" t="s">
        <v>37</v>
      </c>
      <c r="T754" t="s">
        <v>40</v>
      </c>
      <c r="U754">
        <f t="shared" si="11"/>
        <v>1</v>
      </c>
    </row>
    <row r="755" spans="1:21" x14ac:dyDescent="0.2">
      <c r="A755">
        <v>685</v>
      </c>
      <c r="B755" t="s">
        <v>20</v>
      </c>
      <c r="C755" t="s">
        <v>21</v>
      </c>
      <c r="D755">
        <v>40</v>
      </c>
      <c r="E755">
        <v>7</v>
      </c>
      <c r="F755">
        <v>74896.92</v>
      </c>
      <c r="G755">
        <v>1</v>
      </c>
      <c r="H755" t="s">
        <v>22</v>
      </c>
      <c r="I755" t="s">
        <v>23</v>
      </c>
      <c r="J755">
        <v>198694.2</v>
      </c>
      <c r="K755" t="s">
        <v>23</v>
      </c>
      <c r="L755">
        <v>0.1980703696254684</v>
      </c>
      <c r="M755" t="s">
        <v>23</v>
      </c>
      <c r="N755">
        <v>0</v>
      </c>
      <c r="O755">
        <v>0</v>
      </c>
      <c r="P755" t="s">
        <v>34</v>
      </c>
      <c r="Q755" t="s">
        <v>33</v>
      </c>
      <c r="R755" t="s">
        <v>38</v>
      </c>
      <c r="S755" t="s">
        <v>27</v>
      </c>
      <c r="T755" t="s">
        <v>31</v>
      </c>
      <c r="U755">
        <f t="shared" si="11"/>
        <v>1</v>
      </c>
    </row>
    <row r="756" spans="1:21" x14ac:dyDescent="0.2">
      <c r="A756">
        <v>536</v>
      </c>
      <c r="B756" t="s">
        <v>42</v>
      </c>
      <c r="C756" t="s">
        <v>32</v>
      </c>
      <c r="D756">
        <v>22</v>
      </c>
      <c r="E756">
        <v>5</v>
      </c>
      <c r="F756">
        <v>89492.62</v>
      </c>
      <c r="G756">
        <v>1</v>
      </c>
      <c r="H756" t="s">
        <v>23</v>
      </c>
      <c r="I756" t="s">
        <v>23</v>
      </c>
      <c r="J756">
        <v>42934.43</v>
      </c>
      <c r="K756" t="s">
        <v>23</v>
      </c>
      <c r="L756">
        <v>0.1095257658671107</v>
      </c>
      <c r="M756" t="s">
        <v>23</v>
      </c>
      <c r="N756">
        <v>0</v>
      </c>
      <c r="O756">
        <v>0</v>
      </c>
      <c r="P756" t="s">
        <v>34</v>
      </c>
      <c r="Q756" t="s">
        <v>36</v>
      </c>
      <c r="R756" t="s">
        <v>38</v>
      </c>
      <c r="S756" t="s">
        <v>30</v>
      </c>
      <c r="T756" t="s">
        <v>35</v>
      </c>
      <c r="U756">
        <f t="shared" si="11"/>
        <v>1</v>
      </c>
    </row>
    <row r="757" spans="1:21" x14ac:dyDescent="0.2">
      <c r="A757">
        <v>535</v>
      </c>
      <c r="B757" t="s">
        <v>42</v>
      </c>
      <c r="C757" t="s">
        <v>32</v>
      </c>
      <c r="D757">
        <v>49</v>
      </c>
      <c r="E757">
        <v>3</v>
      </c>
      <c r="F757">
        <v>0</v>
      </c>
      <c r="G757">
        <v>1</v>
      </c>
      <c r="H757" t="s">
        <v>23</v>
      </c>
      <c r="I757" t="s">
        <v>23</v>
      </c>
      <c r="J757">
        <v>61820.41</v>
      </c>
      <c r="K757" t="s">
        <v>22</v>
      </c>
      <c r="L757">
        <v>0.43072549932875498</v>
      </c>
      <c r="M757" t="s">
        <v>23</v>
      </c>
      <c r="N757">
        <v>1</v>
      </c>
      <c r="O757">
        <v>0</v>
      </c>
      <c r="P757" t="s">
        <v>24</v>
      </c>
      <c r="Q757" t="s">
        <v>25</v>
      </c>
      <c r="R757" t="s">
        <v>29</v>
      </c>
      <c r="S757" t="s">
        <v>30</v>
      </c>
      <c r="T757" t="s">
        <v>40</v>
      </c>
      <c r="U757">
        <f t="shared" si="11"/>
        <v>0</v>
      </c>
    </row>
    <row r="758" spans="1:21" x14ac:dyDescent="0.2">
      <c r="A758">
        <v>673</v>
      </c>
      <c r="B758" t="s">
        <v>42</v>
      </c>
      <c r="C758" t="s">
        <v>21</v>
      </c>
      <c r="D758">
        <v>65</v>
      </c>
      <c r="E758">
        <v>0</v>
      </c>
      <c r="F758">
        <v>0</v>
      </c>
      <c r="G758">
        <v>1</v>
      </c>
      <c r="H758" t="s">
        <v>22</v>
      </c>
      <c r="I758" t="s">
        <v>22</v>
      </c>
      <c r="J758">
        <v>85733.33</v>
      </c>
      <c r="K758" t="s">
        <v>23</v>
      </c>
      <c r="L758">
        <v>0.31273705524675061</v>
      </c>
      <c r="M758" t="s">
        <v>23</v>
      </c>
      <c r="N758">
        <v>0</v>
      </c>
      <c r="O758">
        <v>0</v>
      </c>
      <c r="P758" t="s">
        <v>24</v>
      </c>
      <c r="Q758" t="s">
        <v>46</v>
      </c>
      <c r="R758" t="s">
        <v>29</v>
      </c>
      <c r="S758" t="s">
        <v>27</v>
      </c>
      <c r="T758" t="s">
        <v>40</v>
      </c>
      <c r="U758">
        <f t="shared" si="11"/>
        <v>1</v>
      </c>
    </row>
    <row r="759" spans="1:21" x14ac:dyDescent="0.2">
      <c r="A759">
        <v>614</v>
      </c>
      <c r="B759" t="s">
        <v>42</v>
      </c>
      <c r="C759" t="s">
        <v>21</v>
      </c>
      <c r="D759">
        <v>46</v>
      </c>
      <c r="E759">
        <v>4</v>
      </c>
      <c r="F759">
        <v>0</v>
      </c>
      <c r="G759">
        <v>1</v>
      </c>
      <c r="H759" t="s">
        <v>22</v>
      </c>
      <c r="I759" t="s">
        <v>23</v>
      </c>
      <c r="J759">
        <v>74379.570000000007</v>
      </c>
      <c r="K759" t="s">
        <v>22</v>
      </c>
      <c r="L759">
        <v>0.24085220935108581</v>
      </c>
      <c r="M759" t="s">
        <v>23</v>
      </c>
      <c r="N759">
        <v>1</v>
      </c>
      <c r="O759">
        <v>0</v>
      </c>
      <c r="P759" t="s">
        <v>24</v>
      </c>
      <c r="Q759" t="s">
        <v>25</v>
      </c>
      <c r="R759" t="s">
        <v>29</v>
      </c>
      <c r="S759" t="s">
        <v>27</v>
      </c>
      <c r="T759" t="s">
        <v>40</v>
      </c>
      <c r="U759">
        <f t="shared" si="11"/>
        <v>0</v>
      </c>
    </row>
    <row r="760" spans="1:21" x14ac:dyDescent="0.2">
      <c r="A760">
        <v>834</v>
      </c>
      <c r="B760" t="s">
        <v>20</v>
      </c>
      <c r="C760" t="s">
        <v>21</v>
      </c>
      <c r="D760">
        <v>38</v>
      </c>
      <c r="E760">
        <v>8</v>
      </c>
      <c r="F760">
        <v>0</v>
      </c>
      <c r="G760">
        <v>2</v>
      </c>
      <c r="H760" t="s">
        <v>22</v>
      </c>
      <c r="I760" t="s">
        <v>22</v>
      </c>
      <c r="J760">
        <v>66485.259999999995</v>
      </c>
      <c r="K760" t="s">
        <v>23</v>
      </c>
      <c r="L760">
        <v>4.185085479318576E-2</v>
      </c>
      <c r="M760" t="s">
        <v>23</v>
      </c>
      <c r="N760">
        <v>0</v>
      </c>
      <c r="O760">
        <v>0</v>
      </c>
      <c r="P760" t="s">
        <v>34</v>
      </c>
      <c r="Q760" t="s">
        <v>33</v>
      </c>
      <c r="R760" t="s">
        <v>29</v>
      </c>
      <c r="S760" t="s">
        <v>39</v>
      </c>
      <c r="T760" t="s">
        <v>40</v>
      </c>
      <c r="U760">
        <f t="shared" si="11"/>
        <v>1</v>
      </c>
    </row>
    <row r="761" spans="1:21" x14ac:dyDescent="0.2">
      <c r="A761">
        <v>691</v>
      </c>
      <c r="B761" t="s">
        <v>42</v>
      </c>
      <c r="C761" t="s">
        <v>21</v>
      </c>
      <c r="D761">
        <v>24</v>
      </c>
      <c r="E761">
        <v>6</v>
      </c>
      <c r="F761">
        <v>0</v>
      </c>
      <c r="G761">
        <v>2</v>
      </c>
      <c r="H761" t="s">
        <v>22</v>
      </c>
      <c r="I761" t="s">
        <v>22</v>
      </c>
      <c r="J761">
        <v>92811.199999999997</v>
      </c>
      <c r="K761" t="s">
        <v>23</v>
      </c>
      <c r="L761">
        <v>1.7091881556514012E-2</v>
      </c>
      <c r="M761" t="s">
        <v>23</v>
      </c>
      <c r="N761">
        <v>0</v>
      </c>
      <c r="O761">
        <v>0</v>
      </c>
      <c r="P761" t="s">
        <v>34</v>
      </c>
      <c r="Q761" t="s">
        <v>36</v>
      </c>
      <c r="R761" t="s">
        <v>29</v>
      </c>
      <c r="S761" t="s">
        <v>27</v>
      </c>
      <c r="T761" t="s">
        <v>40</v>
      </c>
      <c r="U761">
        <f t="shared" si="11"/>
        <v>1</v>
      </c>
    </row>
    <row r="762" spans="1:21" x14ac:dyDescent="0.2">
      <c r="A762">
        <v>706</v>
      </c>
      <c r="B762" t="s">
        <v>20</v>
      </c>
      <c r="C762" t="s">
        <v>21</v>
      </c>
      <c r="D762">
        <v>38</v>
      </c>
      <c r="E762">
        <v>8</v>
      </c>
      <c r="F762">
        <v>0</v>
      </c>
      <c r="G762">
        <v>2</v>
      </c>
      <c r="H762" t="s">
        <v>23</v>
      </c>
      <c r="I762" t="s">
        <v>22</v>
      </c>
      <c r="J762">
        <v>46635.11</v>
      </c>
      <c r="K762" t="s">
        <v>23</v>
      </c>
      <c r="L762">
        <v>4.6478802719897253E-2</v>
      </c>
      <c r="M762" t="s">
        <v>23</v>
      </c>
      <c r="N762">
        <v>0</v>
      </c>
      <c r="O762">
        <v>0</v>
      </c>
      <c r="P762" t="s">
        <v>34</v>
      </c>
      <c r="Q762" t="s">
        <v>33</v>
      </c>
      <c r="R762" t="s">
        <v>29</v>
      </c>
      <c r="S762" t="s">
        <v>37</v>
      </c>
      <c r="T762" t="s">
        <v>35</v>
      </c>
      <c r="U762">
        <f t="shared" si="11"/>
        <v>1</v>
      </c>
    </row>
    <row r="763" spans="1:21" x14ac:dyDescent="0.2">
      <c r="A763">
        <v>644</v>
      </c>
      <c r="B763" t="s">
        <v>41</v>
      </c>
      <c r="C763" t="s">
        <v>32</v>
      </c>
      <c r="D763">
        <v>32</v>
      </c>
      <c r="E763">
        <v>8</v>
      </c>
      <c r="F763">
        <v>141528.88</v>
      </c>
      <c r="G763">
        <v>1</v>
      </c>
      <c r="H763" t="s">
        <v>22</v>
      </c>
      <c r="I763" t="s">
        <v>22</v>
      </c>
      <c r="J763">
        <v>167087.34</v>
      </c>
      <c r="K763" t="s">
        <v>22</v>
      </c>
      <c r="L763">
        <v>0.1653239133387604</v>
      </c>
      <c r="M763" t="s">
        <v>23</v>
      </c>
      <c r="N763">
        <v>1</v>
      </c>
      <c r="O763">
        <v>0</v>
      </c>
      <c r="P763" t="s">
        <v>34</v>
      </c>
      <c r="Q763" t="s">
        <v>33</v>
      </c>
      <c r="R763" t="s">
        <v>26</v>
      </c>
      <c r="S763" t="s">
        <v>27</v>
      </c>
      <c r="T763" t="s">
        <v>31</v>
      </c>
      <c r="U763">
        <f t="shared" si="11"/>
        <v>0</v>
      </c>
    </row>
    <row r="764" spans="1:21" x14ac:dyDescent="0.2">
      <c r="A764">
        <v>666</v>
      </c>
      <c r="B764" t="s">
        <v>42</v>
      </c>
      <c r="C764" t="s">
        <v>21</v>
      </c>
      <c r="D764">
        <v>30</v>
      </c>
      <c r="E764">
        <v>7</v>
      </c>
      <c r="F764">
        <v>109805.3</v>
      </c>
      <c r="G764">
        <v>1</v>
      </c>
      <c r="H764" t="s">
        <v>23</v>
      </c>
      <c r="I764" t="s">
        <v>22</v>
      </c>
      <c r="J764">
        <v>163625.56</v>
      </c>
      <c r="K764" t="s">
        <v>23</v>
      </c>
      <c r="L764">
        <v>4.1075637156343478E-2</v>
      </c>
      <c r="M764" t="s">
        <v>23</v>
      </c>
      <c r="N764">
        <v>0</v>
      </c>
      <c r="O764">
        <v>0</v>
      </c>
      <c r="P764" t="s">
        <v>34</v>
      </c>
      <c r="Q764" t="s">
        <v>36</v>
      </c>
      <c r="R764" t="s">
        <v>26</v>
      </c>
      <c r="S764" t="s">
        <v>27</v>
      </c>
      <c r="T764" t="s">
        <v>31</v>
      </c>
      <c r="U764">
        <f t="shared" si="11"/>
        <v>1</v>
      </c>
    </row>
    <row r="765" spans="1:21" x14ac:dyDescent="0.2">
      <c r="A765">
        <v>730</v>
      </c>
      <c r="B765" t="s">
        <v>41</v>
      </c>
      <c r="C765" t="s">
        <v>21</v>
      </c>
      <c r="D765">
        <v>38</v>
      </c>
      <c r="E765">
        <v>0</v>
      </c>
      <c r="F765">
        <v>38848.19</v>
      </c>
      <c r="G765">
        <v>2</v>
      </c>
      <c r="H765" t="s">
        <v>23</v>
      </c>
      <c r="I765" t="s">
        <v>23</v>
      </c>
      <c r="J765">
        <v>94003.11</v>
      </c>
      <c r="K765" t="s">
        <v>23</v>
      </c>
      <c r="L765">
        <v>0.28650173848765331</v>
      </c>
      <c r="M765" t="s">
        <v>23</v>
      </c>
      <c r="N765">
        <v>0</v>
      </c>
      <c r="O765">
        <v>0</v>
      </c>
      <c r="P765" t="s">
        <v>24</v>
      </c>
      <c r="Q765" t="s">
        <v>33</v>
      </c>
      <c r="R765" t="s">
        <v>48</v>
      </c>
      <c r="S765" t="s">
        <v>37</v>
      </c>
      <c r="T765" t="s">
        <v>40</v>
      </c>
      <c r="U765">
        <f t="shared" si="11"/>
        <v>1</v>
      </c>
    </row>
    <row r="766" spans="1:21" x14ac:dyDescent="0.2">
      <c r="A766">
        <v>696</v>
      </c>
      <c r="B766" t="s">
        <v>20</v>
      </c>
      <c r="C766" t="s">
        <v>21</v>
      </c>
      <c r="D766">
        <v>40</v>
      </c>
      <c r="E766">
        <v>3</v>
      </c>
      <c r="F766">
        <v>153639.10999999999</v>
      </c>
      <c r="G766">
        <v>1</v>
      </c>
      <c r="H766" t="s">
        <v>22</v>
      </c>
      <c r="I766" t="s">
        <v>22</v>
      </c>
      <c r="J766">
        <v>138351.67999999999</v>
      </c>
      <c r="K766" t="s">
        <v>23</v>
      </c>
      <c r="L766">
        <v>9.5659870868241681E-2</v>
      </c>
      <c r="M766" t="s">
        <v>23</v>
      </c>
      <c r="N766">
        <v>0</v>
      </c>
      <c r="O766">
        <v>0</v>
      </c>
      <c r="P766" t="s">
        <v>34</v>
      </c>
      <c r="Q766" t="s">
        <v>33</v>
      </c>
      <c r="R766" t="s">
        <v>47</v>
      </c>
      <c r="S766" t="s">
        <v>27</v>
      </c>
      <c r="T766" t="s">
        <v>28</v>
      </c>
      <c r="U766">
        <f t="shared" si="11"/>
        <v>1</v>
      </c>
    </row>
    <row r="767" spans="1:21" x14ac:dyDescent="0.2">
      <c r="A767">
        <v>604</v>
      </c>
      <c r="B767" t="s">
        <v>42</v>
      </c>
      <c r="C767" t="s">
        <v>21</v>
      </c>
      <c r="D767">
        <v>30</v>
      </c>
      <c r="E767">
        <v>5</v>
      </c>
      <c r="F767">
        <v>0</v>
      </c>
      <c r="G767">
        <v>2</v>
      </c>
      <c r="H767" t="s">
        <v>22</v>
      </c>
      <c r="I767" t="s">
        <v>23</v>
      </c>
      <c r="J767">
        <v>75786.55</v>
      </c>
      <c r="K767" t="s">
        <v>23</v>
      </c>
      <c r="L767">
        <v>7.9614864030664922E-2</v>
      </c>
      <c r="M767" t="s">
        <v>23</v>
      </c>
      <c r="N767">
        <v>0</v>
      </c>
      <c r="O767">
        <v>0</v>
      </c>
      <c r="P767" t="s">
        <v>34</v>
      </c>
      <c r="Q767" t="s">
        <v>36</v>
      </c>
      <c r="R767" t="s">
        <v>29</v>
      </c>
      <c r="S767" t="s">
        <v>27</v>
      </c>
      <c r="T767" t="s">
        <v>40</v>
      </c>
      <c r="U767">
        <f t="shared" si="11"/>
        <v>1</v>
      </c>
    </row>
    <row r="768" spans="1:21" x14ac:dyDescent="0.2">
      <c r="A768">
        <v>634</v>
      </c>
      <c r="B768" t="s">
        <v>41</v>
      </c>
      <c r="C768" t="s">
        <v>32</v>
      </c>
      <c r="D768">
        <v>29</v>
      </c>
      <c r="E768">
        <v>8</v>
      </c>
      <c r="F768">
        <v>130036.21</v>
      </c>
      <c r="G768">
        <v>2</v>
      </c>
      <c r="H768" t="s">
        <v>23</v>
      </c>
      <c r="I768" t="s">
        <v>22</v>
      </c>
      <c r="J768">
        <v>69849.55</v>
      </c>
      <c r="K768" t="s">
        <v>23</v>
      </c>
      <c r="L768">
        <v>0.12028024517056329</v>
      </c>
      <c r="M768" t="s">
        <v>23</v>
      </c>
      <c r="N768">
        <v>0</v>
      </c>
      <c r="O768">
        <v>0</v>
      </c>
      <c r="P768" t="s">
        <v>34</v>
      </c>
      <c r="Q768" t="s">
        <v>36</v>
      </c>
      <c r="R768" t="s">
        <v>26</v>
      </c>
      <c r="S768" t="s">
        <v>27</v>
      </c>
      <c r="T768" t="s">
        <v>40</v>
      </c>
      <c r="U768">
        <f t="shared" si="11"/>
        <v>1</v>
      </c>
    </row>
    <row r="769" spans="1:21" x14ac:dyDescent="0.2">
      <c r="A769">
        <v>648</v>
      </c>
      <c r="B769" t="s">
        <v>42</v>
      </c>
      <c r="C769" t="s">
        <v>32</v>
      </c>
      <c r="D769">
        <v>43</v>
      </c>
      <c r="E769">
        <v>7</v>
      </c>
      <c r="F769">
        <v>139972.18</v>
      </c>
      <c r="G769">
        <v>1</v>
      </c>
      <c r="H769" t="s">
        <v>22</v>
      </c>
      <c r="I769" t="s">
        <v>23</v>
      </c>
      <c r="J769">
        <v>143668.57999999999</v>
      </c>
      <c r="K769" t="s">
        <v>23</v>
      </c>
      <c r="L769">
        <v>0.37662978587217633</v>
      </c>
      <c r="M769" t="s">
        <v>23</v>
      </c>
      <c r="N769">
        <v>0</v>
      </c>
      <c r="O769">
        <v>0</v>
      </c>
      <c r="P769" t="s">
        <v>24</v>
      </c>
      <c r="Q769" t="s">
        <v>25</v>
      </c>
      <c r="R769" t="s">
        <v>26</v>
      </c>
      <c r="S769" t="s">
        <v>27</v>
      </c>
      <c r="T769" t="s">
        <v>28</v>
      </c>
      <c r="U769">
        <f t="shared" si="11"/>
        <v>1</v>
      </c>
    </row>
    <row r="770" spans="1:21" x14ac:dyDescent="0.2">
      <c r="A770">
        <v>715</v>
      </c>
      <c r="B770" t="s">
        <v>41</v>
      </c>
      <c r="C770" t="s">
        <v>32</v>
      </c>
      <c r="D770">
        <v>32</v>
      </c>
      <c r="E770">
        <v>3</v>
      </c>
      <c r="F770">
        <v>104857.19</v>
      </c>
      <c r="G770">
        <v>2</v>
      </c>
      <c r="H770" t="s">
        <v>22</v>
      </c>
      <c r="I770" t="s">
        <v>23</v>
      </c>
      <c r="J770">
        <v>114149.8</v>
      </c>
      <c r="K770" t="s">
        <v>23</v>
      </c>
      <c r="L770">
        <v>0.3300939023029229</v>
      </c>
      <c r="M770" t="s">
        <v>23</v>
      </c>
      <c r="N770">
        <v>0</v>
      </c>
      <c r="O770">
        <v>0</v>
      </c>
      <c r="P770" t="s">
        <v>24</v>
      </c>
      <c r="Q770" t="s">
        <v>33</v>
      </c>
      <c r="R770" t="s">
        <v>26</v>
      </c>
      <c r="S770" t="s">
        <v>37</v>
      </c>
      <c r="T770" t="s">
        <v>28</v>
      </c>
      <c r="U770">
        <f t="shared" ref="U770:U833" si="12">IF(K770=M770,1,0)</f>
        <v>1</v>
      </c>
    </row>
    <row r="771" spans="1:21" x14ac:dyDescent="0.2">
      <c r="A771">
        <v>603</v>
      </c>
      <c r="B771" t="s">
        <v>20</v>
      </c>
      <c r="C771" t="s">
        <v>32</v>
      </c>
      <c r="D771">
        <v>42</v>
      </c>
      <c r="E771">
        <v>6</v>
      </c>
      <c r="F771">
        <v>0</v>
      </c>
      <c r="G771">
        <v>1</v>
      </c>
      <c r="H771" t="s">
        <v>22</v>
      </c>
      <c r="I771" t="s">
        <v>22</v>
      </c>
      <c r="J771">
        <v>90437.87</v>
      </c>
      <c r="K771" t="s">
        <v>23</v>
      </c>
      <c r="L771">
        <v>0.12228892444646811</v>
      </c>
      <c r="M771" t="s">
        <v>23</v>
      </c>
      <c r="N771">
        <v>0</v>
      </c>
      <c r="O771">
        <v>0</v>
      </c>
      <c r="P771" t="s">
        <v>34</v>
      </c>
      <c r="Q771" t="s">
        <v>25</v>
      </c>
      <c r="R771" t="s">
        <v>29</v>
      </c>
      <c r="S771" t="s">
        <v>27</v>
      </c>
      <c r="T771" t="s">
        <v>40</v>
      </c>
      <c r="U771">
        <f t="shared" si="12"/>
        <v>1</v>
      </c>
    </row>
    <row r="772" spans="1:21" x14ac:dyDescent="0.2">
      <c r="A772">
        <v>551</v>
      </c>
      <c r="B772" t="s">
        <v>42</v>
      </c>
      <c r="C772" t="s">
        <v>21</v>
      </c>
      <c r="D772">
        <v>42</v>
      </c>
      <c r="E772">
        <v>2</v>
      </c>
      <c r="F772">
        <v>139561.46</v>
      </c>
      <c r="G772">
        <v>1</v>
      </c>
      <c r="H772" t="s">
        <v>22</v>
      </c>
      <c r="I772" t="s">
        <v>23</v>
      </c>
      <c r="J772">
        <v>43435.43</v>
      </c>
      <c r="K772" t="s">
        <v>22</v>
      </c>
      <c r="L772">
        <v>0.26573078183461868</v>
      </c>
      <c r="M772" t="s">
        <v>23</v>
      </c>
      <c r="N772">
        <v>1</v>
      </c>
      <c r="O772">
        <v>0</v>
      </c>
      <c r="P772" t="s">
        <v>24</v>
      </c>
      <c r="Q772" t="s">
        <v>25</v>
      </c>
      <c r="R772" t="s">
        <v>26</v>
      </c>
      <c r="S772" t="s">
        <v>30</v>
      </c>
      <c r="T772" t="s">
        <v>35</v>
      </c>
      <c r="U772">
        <f t="shared" si="12"/>
        <v>0</v>
      </c>
    </row>
    <row r="773" spans="1:21" x14ac:dyDescent="0.2">
      <c r="A773">
        <v>841</v>
      </c>
      <c r="B773" t="s">
        <v>42</v>
      </c>
      <c r="C773" t="s">
        <v>32</v>
      </c>
      <c r="D773">
        <v>52</v>
      </c>
      <c r="E773">
        <v>5</v>
      </c>
      <c r="F773">
        <v>0</v>
      </c>
      <c r="G773">
        <v>1</v>
      </c>
      <c r="H773" t="s">
        <v>23</v>
      </c>
      <c r="I773" t="s">
        <v>23</v>
      </c>
      <c r="J773">
        <v>183239.71</v>
      </c>
      <c r="K773" t="s">
        <v>22</v>
      </c>
      <c r="L773">
        <v>0.44018564676469879</v>
      </c>
      <c r="M773" t="s">
        <v>23</v>
      </c>
      <c r="N773">
        <v>1</v>
      </c>
      <c r="O773">
        <v>0</v>
      </c>
      <c r="P773" t="s">
        <v>24</v>
      </c>
      <c r="Q773" t="s">
        <v>44</v>
      </c>
      <c r="R773" t="s">
        <v>29</v>
      </c>
      <c r="S773" t="s">
        <v>39</v>
      </c>
      <c r="T773" t="s">
        <v>31</v>
      </c>
      <c r="U773">
        <f t="shared" si="12"/>
        <v>0</v>
      </c>
    </row>
    <row r="774" spans="1:21" x14ac:dyDescent="0.2">
      <c r="A774">
        <v>701</v>
      </c>
      <c r="B774" t="s">
        <v>42</v>
      </c>
      <c r="C774" t="s">
        <v>21</v>
      </c>
      <c r="D774">
        <v>37</v>
      </c>
      <c r="E774">
        <v>8</v>
      </c>
      <c r="F774">
        <v>107798.85</v>
      </c>
      <c r="G774">
        <v>1</v>
      </c>
      <c r="H774" t="s">
        <v>22</v>
      </c>
      <c r="I774" t="s">
        <v>23</v>
      </c>
      <c r="J774">
        <v>16966.73</v>
      </c>
      <c r="K774" t="s">
        <v>23</v>
      </c>
      <c r="L774">
        <v>0.15367497888270651</v>
      </c>
      <c r="M774" t="s">
        <v>23</v>
      </c>
      <c r="N774">
        <v>0</v>
      </c>
      <c r="O774">
        <v>0</v>
      </c>
      <c r="P774" t="s">
        <v>34</v>
      </c>
      <c r="Q774" t="s">
        <v>33</v>
      </c>
      <c r="R774" t="s">
        <v>26</v>
      </c>
      <c r="S774" t="s">
        <v>37</v>
      </c>
      <c r="T774" t="s">
        <v>35</v>
      </c>
      <c r="U774">
        <f t="shared" si="12"/>
        <v>1</v>
      </c>
    </row>
    <row r="775" spans="1:21" x14ac:dyDescent="0.2">
      <c r="A775">
        <v>650</v>
      </c>
      <c r="B775" t="s">
        <v>42</v>
      </c>
      <c r="C775" t="s">
        <v>21</v>
      </c>
      <c r="D775">
        <v>37</v>
      </c>
      <c r="E775">
        <v>9</v>
      </c>
      <c r="F775">
        <v>0</v>
      </c>
      <c r="G775">
        <v>2</v>
      </c>
      <c r="H775" t="s">
        <v>22</v>
      </c>
      <c r="I775" t="s">
        <v>23</v>
      </c>
      <c r="J775">
        <v>17974.080000000002</v>
      </c>
      <c r="K775" t="s">
        <v>23</v>
      </c>
      <c r="L775">
        <v>0.1117506905455365</v>
      </c>
      <c r="M775" t="s">
        <v>23</v>
      </c>
      <c r="N775">
        <v>0</v>
      </c>
      <c r="O775">
        <v>0</v>
      </c>
      <c r="P775" t="s">
        <v>34</v>
      </c>
      <c r="Q775" t="s">
        <v>33</v>
      </c>
      <c r="R775" t="s">
        <v>29</v>
      </c>
      <c r="S775" t="s">
        <v>27</v>
      </c>
      <c r="T775" t="s">
        <v>35</v>
      </c>
      <c r="U775">
        <f t="shared" si="12"/>
        <v>1</v>
      </c>
    </row>
    <row r="776" spans="1:21" x14ac:dyDescent="0.2">
      <c r="A776">
        <v>803</v>
      </c>
      <c r="B776" t="s">
        <v>41</v>
      </c>
      <c r="C776" t="s">
        <v>21</v>
      </c>
      <c r="D776">
        <v>41</v>
      </c>
      <c r="E776">
        <v>9</v>
      </c>
      <c r="F776">
        <v>137742.9</v>
      </c>
      <c r="G776">
        <v>2</v>
      </c>
      <c r="H776" t="s">
        <v>22</v>
      </c>
      <c r="I776" t="s">
        <v>22</v>
      </c>
      <c r="J776">
        <v>166957.82</v>
      </c>
      <c r="K776" t="s">
        <v>23</v>
      </c>
      <c r="L776">
        <v>0.14880108536912159</v>
      </c>
      <c r="M776" t="s">
        <v>23</v>
      </c>
      <c r="N776">
        <v>0</v>
      </c>
      <c r="O776">
        <v>0</v>
      </c>
      <c r="P776" t="s">
        <v>34</v>
      </c>
      <c r="Q776" t="s">
        <v>25</v>
      </c>
      <c r="R776" t="s">
        <v>26</v>
      </c>
      <c r="S776" t="s">
        <v>39</v>
      </c>
      <c r="T776" t="s">
        <v>31</v>
      </c>
      <c r="U776">
        <f t="shared" si="12"/>
        <v>1</v>
      </c>
    </row>
    <row r="777" spans="1:21" x14ac:dyDescent="0.2">
      <c r="A777">
        <v>616</v>
      </c>
      <c r="B777" t="s">
        <v>41</v>
      </c>
      <c r="C777" t="s">
        <v>21</v>
      </c>
      <c r="D777">
        <v>41</v>
      </c>
      <c r="E777">
        <v>10</v>
      </c>
      <c r="F777">
        <v>113220.2</v>
      </c>
      <c r="G777">
        <v>2</v>
      </c>
      <c r="H777" t="s">
        <v>22</v>
      </c>
      <c r="I777" t="s">
        <v>22</v>
      </c>
      <c r="J777">
        <v>114072.91</v>
      </c>
      <c r="K777" t="s">
        <v>23</v>
      </c>
      <c r="L777">
        <v>0.15090717492630029</v>
      </c>
      <c r="M777" t="s">
        <v>23</v>
      </c>
      <c r="N777">
        <v>0</v>
      </c>
      <c r="O777">
        <v>0</v>
      </c>
      <c r="P777" t="s">
        <v>34</v>
      </c>
      <c r="Q777" t="s">
        <v>25</v>
      </c>
      <c r="R777" t="s">
        <v>26</v>
      </c>
      <c r="S777" t="s">
        <v>27</v>
      </c>
      <c r="T777" t="s">
        <v>28</v>
      </c>
      <c r="U777">
        <f t="shared" si="12"/>
        <v>1</v>
      </c>
    </row>
    <row r="778" spans="1:21" x14ac:dyDescent="0.2">
      <c r="A778">
        <v>655</v>
      </c>
      <c r="B778" t="s">
        <v>20</v>
      </c>
      <c r="C778" t="s">
        <v>32</v>
      </c>
      <c r="D778">
        <v>28</v>
      </c>
      <c r="E778">
        <v>3</v>
      </c>
      <c r="F778">
        <v>113811.85</v>
      </c>
      <c r="G778">
        <v>2</v>
      </c>
      <c r="H778" t="s">
        <v>23</v>
      </c>
      <c r="I778" t="s">
        <v>22</v>
      </c>
      <c r="J778">
        <v>76844.23</v>
      </c>
      <c r="K778" t="s">
        <v>23</v>
      </c>
      <c r="L778">
        <v>5.9105962607004597E-2</v>
      </c>
      <c r="M778" t="s">
        <v>23</v>
      </c>
      <c r="N778">
        <v>0</v>
      </c>
      <c r="O778">
        <v>0</v>
      </c>
      <c r="P778" t="s">
        <v>34</v>
      </c>
      <c r="Q778" t="s">
        <v>36</v>
      </c>
      <c r="R778" t="s">
        <v>26</v>
      </c>
      <c r="S778" t="s">
        <v>27</v>
      </c>
      <c r="T778" t="s">
        <v>40</v>
      </c>
      <c r="U778">
        <f t="shared" si="12"/>
        <v>1</v>
      </c>
    </row>
    <row r="779" spans="1:21" x14ac:dyDescent="0.2">
      <c r="A779">
        <v>510</v>
      </c>
      <c r="B779" t="s">
        <v>42</v>
      </c>
      <c r="C779" t="s">
        <v>32</v>
      </c>
      <c r="D779">
        <v>26</v>
      </c>
      <c r="E779">
        <v>6</v>
      </c>
      <c r="F779">
        <v>136214.07999999999</v>
      </c>
      <c r="G779">
        <v>1</v>
      </c>
      <c r="H779" t="s">
        <v>23</v>
      </c>
      <c r="I779" t="s">
        <v>23</v>
      </c>
      <c r="J779">
        <v>159742.32999999999</v>
      </c>
      <c r="K779" t="s">
        <v>23</v>
      </c>
      <c r="L779">
        <v>0.1659003056148991</v>
      </c>
      <c r="M779" t="s">
        <v>23</v>
      </c>
      <c r="N779">
        <v>0</v>
      </c>
      <c r="O779">
        <v>0</v>
      </c>
      <c r="P779" t="s">
        <v>34</v>
      </c>
      <c r="Q779" t="s">
        <v>36</v>
      </c>
      <c r="R779" t="s">
        <v>26</v>
      </c>
      <c r="S779" t="s">
        <v>30</v>
      </c>
      <c r="T779" t="s">
        <v>31</v>
      </c>
      <c r="U779">
        <f t="shared" si="12"/>
        <v>1</v>
      </c>
    </row>
    <row r="780" spans="1:21" x14ac:dyDescent="0.2">
      <c r="A780">
        <v>557</v>
      </c>
      <c r="B780" t="s">
        <v>42</v>
      </c>
      <c r="C780" t="s">
        <v>21</v>
      </c>
      <c r="D780">
        <v>39</v>
      </c>
      <c r="E780">
        <v>8</v>
      </c>
      <c r="F780">
        <v>146200.01</v>
      </c>
      <c r="G780">
        <v>1</v>
      </c>
      <c r="H780" t="s">
        <v>22</v>
      </c>
      <c r="I780" t="s">
        <v>23</v>
      </c>
      <c r="J780">
        <v>177944.64</v>
      </c>
      <c r="K780" t="s">
        <v>23</v>
      </c>
      <c r="L780">
        <v>0.21946416423558049</v>
      </c>
      <c r="M780" t="s">
        <v>23</v>
      </c>
      <c r="N780">
        <v>0</v>
      </c>
      <c r="O780">
        <v>0</v>
      </c>
      <c r="P780" t="s">
        <v>24</v>
      </c>
      <c r="Q780" t="s">
        <v>33</v>
      </c>
      <c r="R780" t="s">
        <v>26</v>
      </c>
      <c r="S780" t="s">
        <v>30</v>
      </c>
      <c r="T780" t="s">
        <v>31</v>
      </c>
      <c r="U780">
        <f t="shared" si="12"/>
        <v>1</v>
      </c>
    </row>
    <row r="781" spans="1:21" x14ac:dyDescent="0.2">
      <c r="A781">
        <v>565</v>
      </c>
      <c r="B781" t="s">
        <v>41</v>
      </c>
      <c r="C781" t="s">
        <v>32</v>
      </c>
      <c r="D781">
        <v>32</v>
      </c>
      <c r="E781">
        <v>4</v>
      </c>
      <c r="F781">
        <v>90322.99</v>
      </c>
      <c r="G781">
        <v>2</v>
      </c>
      <c r="H781" t="s">
        <v>23</v>
      </c>
      <c r="I781" t="s">
        <v>22</v>
      </c>
      <c r="J781">
        <v>118740.37</v>
      </c>
      <c r="K781" t="s">
        <v>23</v>
      </c>
      <c r="L781">
        <v>0.15232857025228791</v>
      </c>
      <c r="M781" t="s">
        <v>23</v>
      </c>
      <c r="N781">
        <v>0</v>
      </c>
      <c r="O781">
        <v>0</v>
      </c>
      <c r="P781" t="s">
        <v>34</v>
      </c>
      <c r="Q781" t="s">
        <v>33</v>
      </c>
      <c r="R781" t="s">
        <v>38</v>
      </c>
      <c r="S781" t="s">
        <v>30</v>
      </c>
      <c r="T781" t="s">
        <v>28</v>
      </c>
      <c r="U781">
        <f t="shared" si="12"/>
        <v>1</v>
      </c>
    </row>
    <row r="782" spans="1:21" x14ac:dyDescent="0.2">
      <c r="A782">
        <v>631</v>
      </c>
      <c r="B782" t="s">
        <v>20</v>
      </c>
      <c r="C782" t="s">
        <v>21</v>
      </c>
      <c r="D782">
        <v>23</v>
      </c>
      <c r="E782">
        <v>3</v>
      </c>
      <c r="F782">
        <v>0</v>
      </c>
      <c r="G782">
        <v>2</v>
      </c>
      <c r="H782" t="s">
        <v>22</v>
      </c>
      <c r="I782" t="s">
        <v>23</v>
      </c>
      <c r="J782">
        <v>13813.24</v>
      </c>
      <c r="K782" t="s">
        <v>23</v>
      </c>
      <c r="L782">
        <v>5.0167925499782488E-2</v>
      </c>
      <c r="M782" t="s">
        <v>23</v>
      </c>
      <c r="N782">
        <v>0</v>
      </c>
      <c r="O782">
        <v>0</v>
      </c>
      <c r="P782" t="s">
        <v>34</v>
      </c>
      <c r="Q782" t="s">
        <v>36</v>
      </c>
      <c r="R782" t="s">
        <v>29</v>
      </c>
      <c r="S782" t="s">
        <v>27</v>
      </c>
      <c r="T782" t="s">
        <v>35</v>
      </c>
      <c r="U782">
        <f t="shared" si="12"/>
        <v>1</v>
      </c>
    </row>
    <row r="783" spans="1:21" x14ac:dyDescent="0.2">
      <c r="A783">
        <v>810</v>
      </c>
      <c r="B783" t="s">
        <v>42</v>
      </c>
      <c r="C783" t="s">
        <v>32</v>
      </c>
      <c r="D783">
        <v>38</v>
      </c>
      <c r="E783">
        <v>9</v>
      </c>
      <c r="F783">
        <v>153166.17000000001</v>
      </c>
      <c r="G783">
        <v>1</v>
      </c>
      <c r="H783" t="s">
        <v>22</v>
      </c>
      <c r="I783" t="s">
        <v>22</v>
      </c>
      <c r="J783">
        <v>93261.69</v>
      </c>
      <c r="K783" t="s">
        <v>23</v>
      </c>
      <c r="L783">
        <v>0.1081819322744933</v>
      </c>
      <c r="M783" t="s">
        <v>23</v>
      </c>
      <c r="N783">
        <v>0</v>
      </c>
      <c r="O783">
        <v>0</v>
      </c>
      <c r="P783" t="s">
        <v>34</v>
      </c>
      <c r="Q783" t="s">
        <v>33</v>
      </c>
      <c r="R783" t="s">
        <v>47</v>
      </c>
      <c r="S783" t="s">
        <v>39</v>
      </c>
      <c r="T783" t="s">
        <v>40</v>
      </c>
      <c r="U783">
        <f t="shared" si="12"/>
        <v>1</v>
      </c>
    </row>
    <row r="784" spans="1:21" x14ac:dyDescent="0.2">
      <c r="A784">
        <v>778</v>
      </c>
      <c r="B784" t="s">
        <v>41</v>
      </c>
      <c r="C784" t="s">
        <v>32</v>
      </c>
      <c r="D784">
        <v>29</v>
      </c>
      <c r="E784">
        <v>6</v>
      </c>
      <c r="F784">
        <v>150358.97</v>
      </c>
      <c r="G784">
        <v>1</v>
      </c>
      <c r="H784" t="s">
        <v>22</v>
      </c>
      <c r="I784" t="s">
        <v>23</v>
      </c>
      <c r="J784">
        <v>62454.01</v>
      </c>
      <c r="K784" t="s">
        <v>22</v>
      </c>
      <c r="L784">
        <v>0.30151372456058478</v>
      </c>
      <c r="M784" t="s">
        <v>23</v>
      </c>
      <c r="N784">
        <v>1</v>
      </c>
      <c r="O784">
        <v>0</v>
      </c>
      <c r="P784" t="s">
        <v>24</v>
      </c>
      <c r="Q784" t="s">
        <v>36</v>
      </c>
      <c r="R784" t="s">
        <v>47</v>
      </c>
      <c r="S784" t="s">
        <v>37</v>
      </c>
      <c r="T784" t="s">
        <v>40</v>
      </c>
      <c r="U784">
        <f t="shared" si="12"/>
        <v>0</v>
      </c>
    </row>
    <row r="785" spans="1:21" x14ac:dyDescent="0.2">
      <c r="A785">
        <v>730</v>
      </c>
      <c r="B785" t="s">
        <v>20</v>
      </c>
      <c r="C785" t="s">
        <v>21</v>
      </c>
      <c r="D785">
        <v>62</v>
      </c>
      <c r="E785">
        <v>5</v>
      </c>
      <c r="F785">
        <v>112181.08</v>
      </c>
      <c r="G785">
        <v>1</v>
      </c>
      <c r="H785" t="s">
        <v>23</v>
      </c>
      <c r="I785" t="s">
        <v>22</v>
      </c>
      <c r="J785">
        <v>61513.87</v>
      </c>
      <c r="K785" t="s">
        <v>23</v>
      </c>
      <c r="L785">
        <v>0.31004739232329048</v>
      </c>
      <c r="M785" t="s">
        <v>23</v>
      </c>
      <c r="N785">
        <v>0</v>
      </c>
      <c r="O785">
        <v>0</v>
      </c>
      <c r="P785" t="s">
        <v>24</v>
      </c>
      <c r="Q785" t="s">
        <v>46</v>
      </c>
      <c r="R785" t="s">
        <v>26</v>
      </c>
      <c r="S785" t="s">
        <v>37</v>
      </c>
      <c r="T785" t="s">
        <v>40</v>
      </c>
      <c r="U785">
        <f t="shared" si="12"/>
        <v>1</v>
      </c>
    </row>
    <row r="786" spans="1:21" x14ac:dyDescent="0.2">
      <c r="A786">
        <v>671</v>
      </c>
      <c r="B786" t="s">
        <v>20</v>
      </c>
      <c r="C786" t="s">
        <v>21</v>
      </c>
      <c r="D786">
        <v>34</v>
      </c>
      <c r="E786">
        <v>10</v>
      </c>
      <c r="F786">
        <v>153360.01999999999</v>
      </c>
      <c r="G786">
        <v>1</v>
      </c>
      <c r="H786" t="s">
        <v>22</v>
      </c>
      <c r="I786" t="s">
        <v>23</v>
      </c>
      <c r="J786">
        <v>140509.85999999999</v>
      </c>
      <c r="K786" t="s">
        <v>23</v>
      </c>
      <c r="L786">
        <v>0.15171398584107679</v>
      </c>
      <c r="M786" t="s">
        <v>23</v>
      </c>
      <c r="N786">
        <v>0</v>
      </c>
      <c r="O786">
        <v>0</v>
      </c>
      <c r="P786" t="s">
        <v>34</v>
      </c>
      <c r="Q786" t="s">
        <v>33</v>
      </c>
      <c r="R786" t="s">
        <v>47</v>
      </c>
      <c r="S786" t="s">
        <v>27</v>
      </c>
      <c r="T786" t="s">
        <v>28</v>
      </c>
      <c r="U786">
        <f t="shared" si="12"/>
        <v>1</v>
      </c>
    </row>
    <row r="787" spans="1:21" x14ac:dyDescent="0.2">
      <c r="A787">
        <v>558</v>
      </c>
      <c r="B787" t="s">
        <v>42</v>
      </c>
      <c r="C787" t="s">
        <v>21</v>
      </c>
      <c r="D787">
        <v>40</v>
      </c>
      <c r="E787">
        <v>6</v>
      </c>
      <c r="F787">
        <v>0</v>
      </c>
      <c r="G787">
        <v>2</v>
      </c>
      <c r="H787" t="s">
        <v>22</v>
      </c>
      <c r="I787" t="s">
        <v>23</v>
      </c>
      <c r="J787">
        <v>173844.89</v>
      </c>
      <c r="K787" t="s">
        <v>23</v>
      </c>
      <c r="L787">
        <v>0.16236443583674001</v>
      </c>
      <c r="M787" t="s">
        <v>23</v>
      </c>
      <c r="N787">
        <v>0</v>
      </c>
      <c r="O787">
        <v>0</v>
      </c>
      <c r="P787" t="s">
        <v>34</v>
      </c>
      <c r="Q787" t="s">
        <v>33</v>
      </c>
      <c r="R787" t="s">
        <v>29</v>
      </c>
      <c r="S787" t="s">
        <v>30</v>
      </c>
      <c r="T787" t="s">
        <v>31</v>
      </c>
      <c r="U787">
        <f t="shared" si="12"/>
        <v>1</v>
      </c>
    </row>
    <row r="788" spans="1:21" x14ac:dyDescent="0.2">
      <c r="A788">
        <v>691</v>
      </c>
      <c r="B788" t="s">
        <v>20</v>
      </c>
      <c r="C788" t="s">
        <v>21</v>
      </c>
      <c r="D788">
        <v>40</v>
      </c>
      <c r="E788">
        <v>1</v>
      </c>
      <c r="F788">
        <v>0</v>
      </c>
      <c r="G788">
        <v>2</v>
      </c>
      <c r="H788" t="s">
        <v>22</v>
      </c>
      <c r="I788" t="s">
        <v>22</v>
      </c>
      <c r="J788">
        <v>145613.17000000001</v>
      </c>
      <c r="K788" t="s">
        <v>23</v>
      </c>
      <c r="L788">
        <v>6.2907412173698565E-2</v>
      </c>
      <c r="M788" t="s">
        <v>23</v>
      </c>
      <c r="N788">
        <v>0</v>
      </c>
      <c r="O788">
        <v>0</v>
      </c>
      <c r="P788" t="s">
        <v>34</v>
      </c>
      <c r="Q788" t="s">
        <v>33</v>
      </c>
      <c r="R788" t="s">
        <v>29</v>
      </c>
      <c r="S788" t="s">
        <v>27</v>
      </c>
      <c r="T788" t="s">
        <v>28</v>
      </c>
      <c r="U788">
        <f t="shared" si="12"/>
        <v>1</v>
      </c>
    </row>
    <row r="789" spans="1:21" x14ac:dyDescent="0.2">
      <c r="A789">
        <v>571</v>
      </c>
      <c r="B789" t="s">
        <v>20</v>
      </c>
      <c r="C789" t="s">
        <v>32</v>
      </c>
      <c r="D789">
        <v>31</v>
      </c>
      <c r="E789">
        <v>3</v>
      </c>
      <c r="F789">
        <v>0</v>
      </c>
      <c r="G789">
        <v>2</v>
      </c>
      <c r="H789" t="s">
        <v>22</v>
      </c>
      <c r="I789" t="s">
        <v>22</v>
      </c>
      <c r="J789">
        <v>194667.92</v>
      </c>
      <c r="K789" t="s">
        <v>23</v>
      </c>
      <c r="L789">
        <v>6.0163800837219332E-2</v>
      </c>
      <c r="M789" t="s">
        <v>23</v>
      </c>
      <c r="N789">
        <v>0</v>
      </c>
      <c r="O789">
        <v>0</v>
      </c>
      <c r="P789" t="s">
        <v>34</v>
      </c>
      <c r="Q789" t="s">
        <v>33</v>
      </c>
      <c r="R789" t="s">
        <v>29</v>
      </c>
      <c r="S789" t="s">
        <v>30</v>
      </c>
      <c r="T789" t="s">
        <v>31</v>
      </c>
      <c r="U789">
        <f t="shared" si="12"/>
        <v>1</v>
      </c>
    </row>
    <row r="790" spans="1:21" x14ac:dyDescent="0.2">
      <c r="A790">
        <v>712</v>
      </c>
      <c r="B790" t="s">
        <v>20</v>
      </c>
      <c r="C790" t="s">
        <v>21</v>
      </c>
      <c r="D790">
        <v>52</v>
      </c>
      <c r="E790">
        <v>9</v>
      </c>
      <c r="F790">
        <v>0</v>
      </c>
      <c r="G790">
        <v>1</v>
      </c>
      <c r="H790" t="s">
        <v>22</v>
      </c>
      <c r="I790" t="s">
        <v>22</v>
      </c>
      <c r="J790">
        <v>117977.45</v>
      </c>
      <c r="K790" t="s">
        <v>22</v>
      </c>
      <c r="L790">
        <v>0.13034726957557649</v>
      </c>
      <c r="M790" t="s">
        <v>23</v>
      </c>
      <c r="N790">
        <v>1</v>
      </c>
      <c r="O790">
        <v>0</v>
      </c>
      <c r="P790" t="s">
        <v>34</v>
      </c>
      <c r="Q790" t="s">
        <v>44</v>
      </c>
      <c r="R790" t="s">
        <v>29</v>
      </c>
      <c r="S790" t="s">
        <v>37</v>
      </c>
      <c r="T790" t="s">
        <v>28</v>
      </c>
      <c r="U790">
        <f t="shared" si="12"/>
        <v>0</v>
      </c>
    </row>
    <row r="791" spans="1:21" x14ac:dyDescent="0.2">
      <c r="A791">
        <v>639</v>
      </c>
      <c r="B791" t="s">
        <v>41</v>
      </c>
      <c r="C791" t="s">
        <v>32</v>
      </c>
      <c r="D791">
        <v>37</v>
      </c>
      <c r="E791">
        <v>5</v>
      </c>
      <c r="F791">
        <v>151242.48000000001</v>
      </c>
      <c r="G791">
        <v>1</v>
      </c>
      <c r="H791" t="s">
        <v>23</v>
      </c>
      <c r="I791" t="s">
        <v>22</v>
      </c>
      <c r="J791">
        <v>49637.65</v>
      </c>
      <c r="K791" t="s">
        <v>23</v>
      </c>
      <c r="L791">
        <v>0.23242525095770081</v>
      </c>
      <c r="M791" t="s">
        <v>23</v>
      </c>
      <c r="N791">
        <v>0</v>
      </c>
      <c r="O791">
        <v>0</v>
      </c>
      <c r="P791" t="s">
        <v>24</v>
      </c>
      <c r="Q791" t="s">
        <v>33</v>
      </c>
      <c r="R791" t="s">
        <v>47</v>
      </c>
      <c r="S791" t="s">
        <v>27</v>
      </c>
      <c r="T791" t="s">
        <v>35</v>
      </c>
      <c r="U791">
        <f t="shared" si="12"/>
        <v>1</v>
      </c>
    </row>
    <row r="792" spans="1:21" x14ac:dyDescent="0.2">
      <c r="A792">
        <v>775</v>
      </c>
      <c r="B792" t="s">
        <v>41</v>
      </c>
      <c r="C792" t="s">
        <v>21</v>
      </c>
      <c r="D792">
        <v>32</v>
      </c>
      <c r="E792">
        <v>8</v>
      </c>
      <c r="F792">
        <v>121669.23</v>
      </c>
      <c r="G792">
        <v>1</v>
      </c>
      <c r="H792" t="s">
        <v>23</v>
      </c>
      <c r="I792" t="s">
        <v>22</v>
      </c>
      <c r="J792">
        <v>125898.39</v>
      </c>
      <c r="K792" t="s">
        <v>23</v>
      </c>
      <c r="L792">
        <v>9.1155501659241911E-2</v>
      </c>
      <c r="M792" t="s">
        <v>23</v>
      </c>
      <c r="N792">
        <v>0</v>
      </c>
      <c r="O792">
        <v>0</v>
      </c>
      <c r="P792" t="s">
        <v>34</v>
      </c>
      <c r="Q792" t="s">
        <v>33</v>
      </c>
      <c r="R792" t="s">
        <v>26</v>
      </c>
      <c r="S792" t="s">
        <v>37</v>
      </c>
      <c r="T792" t="s">
        <v>28</v>
      </c>
      <c r="U792">
        <f t="shared" si="12"/>
        <v>1</v>
      </c>
    </row>
    <row r="793" spans="1:21" x14ac:dyDescent="0.2">
      <c r="A793">
        <v>841</v>
      </c>
      <c r="B793" t="s">
        <v>41</v>
      </c>
      <c r="C793" t="s">
        <v>32</v>
      </c>
      <c r="D793">
        <v>33</v>
      </c>
      <c r="E793">
        <v>7</v>
      </c>
      <c r="F793">
        <v>154969.79</v>
      </c>
      <c r="G793">
        <v>2</v>
      </c>
      <c r="H793" t="s">
        <v>22</v>
      </c>
      <c r="I793" t="s">
        <v>22</v>
      </c>
      <c r="J793">
        <v>99505.75</v>
      </c>
      <c r="K793" t="s">
        <v>23</v>
      </c>
      <c r="L793">
        <v>0.14575018203767701</v>
      </c>
      <c r="M793" t="s">
        <v>23</v>
      </c>
      <c r="N793">
        <v>0</v>
      </c>
      <c r="O793">
        <v>0</v>
      </c>
      <c r="P793" t="s">
        <v>34</v>
      </c>
      <c r="Q793" t="s">
        <v>33</v>
      </c>
      <c r="R793" t="s">
        <v>47</v>
      </c>
      <c r="S793" t="s">
        <v>39</v>
      </c>
      <c r="T793" t="s">
        <v>40</v>
      </c>
      <c r="U793">
        <f t="shared" si="12"/>
        <v>1</v>
      </c>
    </row>
    <row r="794" spans="1:21" x14ac:dyDescent="0.2">
      <c r="A794">
        <v>637</v>
      </c>
      <c r="B794" t="s">
        <v>42</v>
      </c>
      <c r="C794" t="s">
        <v>32</v>
      </c>
      <c r="D794">
        <v>63</v>
      </c>
      <c r="E794">
        <v>5</v>
      </c>
      <c r="F794">
        <v>0</v>
      </c>
      <c r="G794">
        <v>1</v>
      </c>
      <c r="H794" t="s">
        <v>22</v>
      </c>
      <c r="I794" t="s">
        <v>23</v>
      </c>
      <c r="J794">
        <v>28092.77</v>
      </c>
      <c r="K794" t="s">
        <v>22</v>
      </c>
      <c r="L794">
        <v>0.64468011114346846</v>
      </c>
      <c r="M794" t="s">
        <v>22</v>
      </c>
      <c r="N794">
        <v>1</v>
      </c>
      <c r="O794">
        <v>1</v>
      </c>
      <c r="P794" t="s">
        <v>43</v>
      </c>
      <c r="Q794" t="s">
        <v>46</v>
      </c>
      <c r="R794" t="s">
        <v>29</v>
      </c>
      <c r="S794" t="s">
        <v>27</v>
      </c>
      <c r="T794" t="s">
        <v>35</v>
      </c>
      <c r="U794">
        <f t="shared" si="12"/>
        <v>1</v>
      </c>
    </row>
    <row r="795" spans="1:21" x14ac:dyDescent="0.2">
      <c r="A795">
        <v>500</v>
      </c>
      <c r="B795" t="s">
        <v>42</v>
      </c>
      <c r="C795" t="s">
        <v>21</v>
      </c>
      <c r="D795">
        <v>45</v>
      </c>
      <c r="E795">
        <v>2</v>
      </c>
      <c r="F795">
        <v>109162.82</v>
      </c>
      <c r="G795">
        <v>1</v>
      </c>
      <c r="H795" t="s">
        <v>22</v>
      </c>
      <c r="I795" t="s">
        <v>22</v>
      </c>
      <c r="J795">
        <v>126145.08</v>
      </c>
      <c r="K795" t="s">
        <v>23</v>
      </c>
      <c r="L795">
        <v>0.13221856084473091</v>
      </c>
      <c r="M795" t="s">
        <v>23</v>
      </c>
      <c r="N795">
        <v>0</v>
      </c>
      <c r="O795">
        <v>0</v>
      </c>
      <c r="P795" t="s">
        <v>34</v>
      </c>
      <c r="Q795" t="s">
        <v>25</v>
      </c>
      <c r="R795" t="s">
        <v>26</v>
      </c>
      <c r="S795" t="s">
        <v>45</v>
      </c>
      <c r="T795" t="s">
        <v>28</v>
      </c>
      <c r="U795">
        <f t="shared" si="12"/>
        <v>1</v>
      </c>
    </row>
    <row r="796" spans="1:21" x14ac:dyDescent="0.2">
      <c r="A796">
        <v>655</v>
      </c>
      <c r="B796" t="s">
        <v>42</v>
      </c>
      <c r="C796" t="s">
        <v>21</v>
      </c>
      <c r="D796">
        <v>44</v>
      </c>
      <c r="E796">
        <v>8</v>
      </c>
      <c r="F796">
        <v>87471.63</v>
      </c>
      <c r="G796">
        <v>1</v>
      </c>
      <c r="H796" t="s">
        <v>23</v>
      </c>
      <c r="I796" t="s">
        <v>22</v>
      </c>
      <c r="J796">
        <v>188593.98</v>
      </c>
      <c r="K796" t="s">
        <v>23</v>
      </c>
      <c r="L796">
        <v>0.1024236712618096</v>
      </c>
      <c r="M796" t="s">
        <v>23</v>
      </c>
      <c r="N796">
        <v>0</v>
      </c>
      <c r="O796">
        <v>0</v>
      </c>
      <c r="P796" t="s">
        <v>34</v>
      </c>
      <c r="Q796" t="s">
        <v>25</v>
      </c>
      <c r="R796" t="s">
        <v>38</v>
      </c>
      <c r="S796" t="s">
        <v>27</v>
      </c>
      <c r="T796" t="s">
        <v>31</v>
      </c>
      <c r="U796">
        <f t="shared" si="12"/>
        <v>1</v>
      </c>
    </row>
    <row r="797" spans="1:21" x14ac:dyDescent="0.2">
      <c r="A797">
        <v>695</v>
      </c>
      <c r="B797" t="s">
        <v>41</v>
      </c>
      <c r="C797" t="s">
        <v>32</v>
      </c>
      <c r="D797">
        <v>53</v>
      </c>
      <c r="E797">
        <v>8</v>
      </c>
      <c r="F797">
        <v>95231.91</v>
      </c>
      <c r="G797">
        <v>1</v>
      </c>
      <c r="H797" t="s">
        <v>23</v>
      </c>
      <c r="I797" t="s">
        <v>23</v>
      </c>
      <c r="J797">
        <v>70140.800000000003</v>
      </c>
      <c r="K797" t="s">
        <v>22</v>
      </c>
      <c r="L797">
        <v>0.69999192859775838</v>
      </c>
      <c r="M797" t="s">
        <v>22</v>
      </c>
      <c r="N797">
        <v>1</v>
      </c>
      <c r="O797">
        <v>1</v>
      </c>
      <c r="P797" t="s">
        <v>43</v>
      </c>
      <c r="Q797" t="s">
        <v>44</v>
      </c>
      <c r="R797" t="s">
        <v>38</v>
      </c>
      <c r="S797" t="s">
        <v>27</v>
      </c>
      <c r="T797" t="s">
        <v>40</v>
      </c>
      <c r="U797">
        <f t="shared" si="12"/>
        <v>1</v>
      </c>
    </row>
    <row r="798" spans="1:21" x14ac:dyDescent="0.2">
      <c r="A798">
        <v>587</v>
      </c>
      <c r="B798" t="s">
        <v>20</v>
      </c>
      <c r="C798" t="s">
        <v>21</v>
      </c>
      <c r="D798">
        <v>41</v>
      </c>
      <c r="E798">
        <v>8</v>
      </c>
      <c r="F798">
        <v>85109.21</v>
      </c>
      <c r="G798">
        <v>1</v>
      </c>
      <c r="H798" t="s">
        <v>22</v>
      </c>
      <c r="I798" t="s">
        <v>23</v>
      </c>
      <c r="J798">
        <v>1557.82</v>
      </c>
      <c r="K798" t="s">
        <v>23</v>
      </c>
      <c r="L798">
        <v>0.20421270999305879</v>
      </c>
      <c r="M798" t="s">
        <v>23</v>
      </c>
      <c r="N798">
        <v>0</v>
      </c>
      <c r="O798">
        <v>0</v>
      </c>
      <c r="P798" t="s">
        <v>24</v>
      </c>
      <c r="Q798" t="s">
        <v>25</v>
      </c>
      <c r="R798" t="s">
        <v>38</v>
      </c>
      <c r="S798" t="s">
        <v>30</v>
      </c>
      <c r="T798" t="s">
        <v>35</v>
      </c>
      <c r="U798">
        <f t="shared" si="12"/>
        <v>1</v>
      </c>
    </row>
    <row r="799" spans="1:21" x14ac:dyDescent="0.2">
      <c r="A799">
        <v>627</v>
      </c>
      <c r="B799" t="s">
        <v>41</v>
      </c>
      <c r="C799" t="s">
        <v>32</v>
      </c>
      <c r="D799">
        <v>37</v>
      </c>
      <c r="E799">
        <v>7</v>
      </c>
      <c r="F799">
        <v>147361.57</v>
      </c>
      <c r="G799">
        <v>1</v>
      </c>
      <c r="H799" t="s">
        <v>22</v>
      </c>
      <c r="I799" t="s">
        <v>22</v>
      </c>
      <c r="J799">
        <v>133031.96</v>
      </c>
      <c r="K799" t="s">
        <v>23</v>
      </c>
      <c r="L799">
        <v>0.22766377151036729</v>
      </c>
      <c r="M799" t="s">
        <v>23</v>
      </c>
      <c r="N799">
        <v>0</v>
      </c>
      <c r="O799">
        <v>0</v>
      </c>
      <c r="P799" t="s">
        <v>24</v>
      </c>
      <c r="Q799" t="s">
        <v>33</v>
      </c>
      <c r="R799" t="s">
        <v>26</v>
      </c>
      <c r="S799" t="s">
        <v>27</v>
      </c>
      <c r="T799" t="s">
        <v>28</v>
      </c>
      <c r="U799">
        <f t="shared" si="12"/>
        <v>1</v>
      </c>
    </row>
    <row r="800" spans="1:21" x14ac:dyDescent="0.2">
      <c r="A800">
        <v>736</v>
      </c>
      <c r="B800" t="s">
        <v>42</v>
      </c>
      <c r="C800" t="s">
        <v>21</v>
      </c>
      <c r="D800">
        <v>43</v>
      </c>
      <c r="E800">
        <v>4</v>
      </c>
      <c r="F800">
        <v>176134.54</v>
      </c>
      <c r="G800">
        <v>1</v>
      </c>
      <c r="H800" t="s">
        <v>22</v>
      </c>
      <c r="I800" t="s">
        <v>22</v>
      </c>
      <c r="J800">
        <v>52856.88</v>
      </c>
      <c r="K800" t="s">
        <v>23</v>
      </c>
      <c r="L800">
        <v>0.1091103737842546</v>
      </c>
      <c r="M800" t="s">
        <v>23</v>
      </c>
      <c r="N800">
        <v>0</v>
      </c>
      <c r="O800">
        <v>0</v>
      </c>
      <c r="P800" t="s">
        <v>34</v>
      </c>
      <c r="Q800" t="s">
        <v>25</v>
      </c>
      <c r="R800" t="s">
        <v>47</v>
      </c>
      <c r="S800" t="s">
        <v>37</v>
      </c>
      <c r="T800" t="s">
        <v>40</v>
      </c>
      <c r="U800">
        <f t="shared" si="12"/>
        <v>1</v>
      </c>
    </row>
    <row r="801" spans="1:21" x14ac:dyDescent="0.2">
      <c r="A801">
        <v>627</v>
      </c>
      <c r="B801" t="s">
        <v>42</v>
      </c>
      <c r="C801" t="s">
        <v>32</v>
      </c>
      <c r="D801">
        <v>35</v>
      </c>
      <c r="E801">
        <v>7</v>
      </c>
      <c r="F801">
        <v>0</v>
      </c>
      <c r="G801">
        <v>2</v>
      </c>
      <c r="H801" t="s">
        <v>23</v>
      </c>
      <c r="I801" t="s">
        <v>22</v>
      </c>
      <c r="J801">
        <v>193022.44</v>
      </c>
      <c r="K801" t="s">
        <v>23</v>
      </c>
      <c r="L801">
        <v>7.0586553143532627E-2</v>
      </c>
      <c r="M801" t="s">
        <v>23</v>
      </c>
      <c r="N801">
        <v>0</v>
      </c>
      <c r="O801">
        <v>0</v>
      </c>
      <c r="P801" t="s">
        <v>34</v>
      </c>
      <c r="Q801" t="s">
        <v>33</v>
      </c>
      <c r="R801" t="s">
        <v>29</v>
      </c>
      <c r="S801" t="s">
        <v>27</v>
      </c>
      <c r="T801" t="s">
        <v>31</v>
      </c>
      <c r="U801">
        <f t="shared" si="12"/>
        <v>1</v>
      </c>
    </row>
    <row r="802" spans="1:21" x14ac:dyDescent="0.2">
      <c r="A802">
        <v>850</v>
      </c>
      <c r="B802" t="s">
        <v>20</v>
      </c>
      <c r="C802" t="s">
        <v>21</v>
      </c>
      <c r="D802">
        <v>34</v>
      </c>
      <c r="E802">
        <v>8</v>
      </c>
      <c r="F802">
        <v>199229.14</v>
      </c>
      <c r="G802">
        <v>1</v>
      </c>
      <c r="H802" t="s">
        <v>23</v>
      </c>
      <c r="I802" t="s">
        <v>23</v>
      </c>
      <c r="J802">
        <v>68106.289999999994</v>
      </c>
      <c r="K802" t="s">
        <v>23</v>
      </c>
      <c r="L802">
        <v>0.15512169153918021</v>
      </c>
      <c r="M802" t="s">
        <v>23</v>
      </c>
      <c r="N802">
        <v>0</v>
      </c>
      <c r="O802">
        <v>0</v>
      </c>
      <c r="P802" t="s">
        <v>34</v>
      </c>
      <c r="Q802" t="s">
        <v>33</v>
      </c>
      <c r="R802" t="s">
        <v>47</v>
      </c>
      <c r="S802" t="s">
        <v>39</v>
      </c>
      <c r="T802" t="s">
        <v>40</v>
      </c>
      <c r="U802">
        <f t="shared" si="12"/>
        <v>1</v>
      </c>
    </row>
    <row r="803" spans="1:21" x14ac:dyDescent="0.2">
      <c r="A803">
        <v>516</v>
      </c>
      <c r="B803" t="s">
        <v>42</v>
      </c>
      <c r="C803" t="s">
        <v>21</v>
      </c>
      <c r="D803">
        <v>37</v>
      </c>
      <c r="E803">
        <v>8</v>
      </c>
      <c r="F803">
        <v>0</v>
      </c>
      <c r="G803">
        <v>1</v>
      </c>
      <c r="H803" t="s">
        <v>22</v>
      </c>
      <c r="I803" t="s">
        <v>23</v>
      </c>
      <c r="J803">
        <v>101834.58</v>
      </c>
      <c r="K803" t="s">
        <v>23</v>
      </c>
      <c r="L803">
        <v>0.1406509615155101</v>
      </c>
      <c r="M803" t="s">
        <v>23</v>
      </c>
      <c r="N803">
        <v>0</v>
      </c>
      <c r="O803">
        <v>0</v>
      </c>
      <c r="P803" t="s">
        <v>34</v>
      </c>
      <c r="Q803" t="s">
        <v>33</v>
      </c>
      <c r="R803" t="s">
        <v>29</v>
      </c>
      <c r="S803" t="s">
        <v>30</v>
      </c>
      <c r="T803" t="s">
        <v>28</v>
      </c>
      <c r="U803">
        <f t="shared" si="12"/>
        <v>1</v>
      </c>
    </row>
    <row r="804" spans="1:21" x14ac:dyDescent="0.2">
      <c r="A804">
        <v>673</v>
      </c>
      <c r="B804" t="s">
        <v>41</v>
      </c>
      <c r="C804" t="s">
        <v>32</v>
      </c>
      <c r="D804">
        <v>69</v>
      </c>
      <c r="E804">
        <v>3</v>
      </c>
      <c r="F804">
        <v>78833.149999999994</v>
      </c>
      <c r="G804">
        <v>2</v>
      </c>
      <c r="H804" t="s">
        <v>22</v>
      </c>
      <c r="I804" t="s">
        <v>22</v>
      </c>
      <c r="J804">
        <v>37196.15</v>
      </c>
      <c r="K804" t="s">
        <v>23</v>
      </c>
      <c r="L804">
        <v>0.70238775569794443</v>
      </c>
      <c r="M804" t="s">
        <v>22</v>
      </c>
      <c r="N804">
        <v>0</v>
      </c>
      <c r="O804">
        <v>1</v>
      </c>
      <c r="P804" t="s">
        <v>43</v>
      </c>
      <c r="Q804" t="s">
        <v>46</v>
      </c>
      <c r="R804" t="s">
        <v>38</v>
      </c>
      <c r="S804" t="s">
        <v>27</v>
      </c>
      <c r="T804" t="s">
        <v>35</v>
      </c>
      <c r="U804">
        <f t="shared" si="12"/>
        <v>0</v>
      </c>
    </row>
    <row r="805" spans="1:21" x14ac:dyDescent="0.2">
      <c r="A805">
        <v>568</v>
      </c>
      <c r="B805" t="s">
        <v>42</v>
      </c>
      <c r="C805" t="s">
        <v>21</v>
      </c>
      <c r="D805">
        <v>51</v>
      </c>
      <c r="E805">
        <v>4</v>
      </c>
      <c r="F805">
        <v>0</v>
      </c>
      <c r="G805">
        <v>3</v>
      </c>
      <c r="H805" t="s">
        <v>22</v>
      </c>
      <c r="I805" t="s">
        <v>22</v>
      </c>
      <c r="J805">
        <v>66586.559999999998</v>
      </c>
      <c r="K805" t="s">
        <v>23</v>
      </c>
      <c r="L805">
        <v>0.1142901599071099</v>
      </c>
      <c r="M805" t="s">
        <v>23</v>
      </c>
      <c r="N805">
        <v>0</v>
      </c>
      <c r="O805">
        <v>0</v>
      </c>
      <c r="P805" t="s">
        <v>34</v>
      </c>
      <c r="Q805" t="s">
        <v>44</v>
      </c>
      <c r="R805" t="s">
        <v>29</v>
      </c>
      <c r="S805" t="s">
        <v>30</v>
      </c>
      <c r="T805" t="s">
        <v>40</v>
      </c>
      <c r="U805">
        <f t="shared" si="12"/>
        <v>1</v>
      </c>
    </row>
    <row r="806" spans="1:21" x14ac:dyDescent="0.2">
      <c r="A806">
        <v>716</v>
      </c>
      <c r="B806" t="s">
        <v>20</v>
      </c>
      <c r="C806" t="s">
        <v>21</v>
      </c>
      <c r="D806">
        <v>33</v>
      </c>
      <c r="E806">
        <v>2</v>
      </c>
      <c r="F806">
        <v>0</v>
      </c>
      <c r="G806">
        <v>2</v>
      </c>
      <c r="H806" t="s">
        <v>22</v>
      </c>
      <c r="I806" t="s">
        <v>22</v>
      </c>
      <c r="J806">
        <v>92916.53</v>
      </c>
      <c r="K806" t="s">
        <v>23</v>
      </c>
      <c r="L806">
        <v>3.6066831178419523E-2</v>
      </c>
      <c r="M806" t="s">
        <v>23</v>
      </c>
      <c r="N806">
        <v>0</v>
      </c>
      <c r="O806">
        <v>0</v>
      </c>
      <c r="P806" t="s">
        <v>34</v>
      </c>
      <c r="Q806" t="s">
        <v>33</v>
      </c>
      <c r="R806" t="s">
        <v>29</v>
      </c>
      <c r="S806" t="s">
        <v>37</v>
      </c>
      <c r="T806" t="s">
        <v>40</v>
      </c>
      <c r="U806">
        <f t="shared" si="12"/>
        <v>1</v>
      </c>
    </row>
    <row r="807" spans="1:21" x14ac:dyDescent="0.2">
      <c r="A807">
        <v>656</v>
      </c>
      <c r="B807" t="s">
        <v>20</v>
      </c>
      <c r="C807" t="s">
        <v>21</v>
      </c>
      <c r="D807">
        <v>26</v>
      </c>
      <c r="E807">
        <v>4</v>
      </c>
      <c r="F807">
        <v>139584.57</v>
      </c>
      <c r="G807">
        <v>1</v>
      </c>
      <c r="H807" t="s">
        <v>22</v>
      </c>
      <c r="I807" t="s">
        <v>23</v>
      </c>
      <c r="J807">
        <v>36308.93</v>
      </c>
      <c r="K807" t="s">
        <v>23</v>
      </c>
      <c r="L807">
        <v>9.2956793717821812E-2</v>
      </c>
      <c r="M807" t="s">
        <v>23</v>
      </c>
      <c r="N807">
        <v>0</v>
      </c>
      <c r="O807">
        <v>0</v>
      </c>
      <c r="P807" t="s">
        <v>34</v>
      </c>
      <c r="Q807" t="s">
        <v>36</v>
      </c>
      <c r="R807" t="s">
        <v>26</v>
      </c>
      <c r="S807" t="s">
        <v>27</v>
      </c>
      <c r="T807" t="s">
        <v>35</v>
      </c>
      <c r="U807">
        <f t="shared" si="12"/>
        <v>1</v>
      </c>
    </row>
    <row r="808" spans="1:21" x14ac:dyDescent="0.2">
      <c r="A808">
        <v>565</v>
      </c>
      <c r="B808" t="s">
        <v>42</v>
      </c>
      <c r="C808" t="s">
        <v>32</v>
      </c>
      <c r="D808">
        <v>38</v>
      </c>
      <c r="E808">
        <v>5</v>
      </c>
      <c r="F808">
        <v>126645.13</v>
      </c>
      <c r="G808">
        <v>1</v>
      </c>
      <c r="H808" t="s">
        <v>22</v>
      </c>
      <c r="I808" t="s">
        <v>22</v>
      </c>
      <c r="J808">
        <v>168303.55</v>
      </c>
      <c r="K808" t="s">
        <v>23</v>
      </c>
      <c r="L808">
        <v>0.13153779263304791</v>
      </c>
      <c r="M808" t="s">
        <v>23</v>
      </c>
      <c r="N808">
        <v>0</v>
      </c>
      <c r="O808">
        <v>0</v>
      </c>
      <c r="P808" t="s">
        <v>34</v>
      </c>
      <c r="Q808" t="s">
        <v>33</v>
      </c>
      <c r="R808" t="s">
        <v>26</v>
      </c>
      <c r="S808" t="s">
        <v>30</v>
      </c>
      <c r="T808" t="s">
        <v>31</v>
      </c>
      <c r="U808">
        <f t="shared" si="12"/>
        <v>1</v>
      </c>
    </row>
    <row r="809" spans="1:21" x14ac:dyDescent="0.2">
      <c r="A809">
        <v>604</v>
      </c>
      <c r="B809" t="s">
        <v>42</v>
      </c>
      <c r="C809" t="s">
        <v>32</v>
      </c>
      <c r="D809">
        <v>47</v>
      </c>
      <c r="E809">
        <v>8</v>
      </c>
      <c r="F809">
        <v>62094.71</v>
      </c>
      <c r="G809">
        <v>3</v>
      </c>
      <c r="H809" t="s">
        <v>23</v>
      </c>
      <c r="I809" t="s">
        <v>23</v>
      </c>
      <c r="J809">
        <v>9308.1</v>
      </c>
      <c r="K809" t="s">
        <v>22</v>
      </c>
      <c r="L809">
        <v>0.34315808384163088</v>
      </c>
      <c r="M809" t="s">
        <v>23</v>
      </c>
      <c r="N809">
        <v>1</v>
      </c>
      <c r="O809">
        <v>0</v>
      </c>
      <c r="P809" t="s">
        <v>24</v>
      </c>
      <c r="Q809" t="s">
        <v>25</v>
      </c>
      <c r="R809" t="s">
        <v>38</v>
      </c>
      <c r="S809" t="s">
        <v>27</v>
      </c>
      <c r="T809" t="s">
        <v>35</v>
      </c>
      <c r="U809">
        <f t="shared" si="12"/>
        <v>0</v>
      </c>
    </row>
    <row r="810" spans="1:21" x14ac:dyDescent="0.2">
      <c r="A810">
        <v>789</v>
      </c>
      <c r="B810" t="s">
        <v>42</v>
      </c>
      <c r="C810" t="s">
        <v>32</v>
      </c>
      <c r="D810">
        <v>53</v>
      </c>
      <c r="E810">
        <v>1</v>
      </c>
      <c r="F810">
        <v>158271.74</v>
      </c>
      <c r="G810">
        <v>1</v>
      </c>
      <c r="H810" t="s">
        <v>22</v>
      </c>
      <c r="I810" t="s">
        <v>22</v>
      </c>
      <c r="J810">
        <v>5036.3900000000003</v>
      </c>
      <c r="K810" t="s">
        <v>22</v>
      </c>
      <c r="L810">
        <v>0.29674690668275738</v>
      </c>
      <c r="M810" t="s">
        <v>23</v>
      </c>
      <c r="N810">
        <v>1</v>
      </c>
      <c r="O810">
        <v>0</v>
      </c>
      <c r="P810" t="s">
        <v>24</v>
      </c>
      <c r="Q810" t="s">
        <v>44</v>
      </c>
      <c r="R810" t="s">
        <v>47</v>
      </c>
      <c r="S810" t="s">
        <v>37</v>
      </c>
      <c r="T810" t="s">
        <v>35</v>
      </c>
      <c r="U810">
        <f t="shared" si="12"/>
        <v>0</v>
      </c>
    </row>
    <row r="811" spans="1:21" x14ac:dyDescent="0.2">
      <c r="A811">
        <v>589</v>
      </c>
      <c r="B811" t="s">
        <v>20</v>
      </c>
      <c r="C811" t="s">
        <v>32</v>
      </c>
      <c r="D811">
        <v>45</v>
      </c>
      <c r="E811">
        <v>1</v>
      </c>
      <c r="F811">
        <v>0</v>
      </c>
      <c r="G811">
        <v>1</v>
      </c>
      <c r="H811" t="s">
        <v>23</v>
      </c>
      <c r="I811" t="s">
        <v>23</v>
      </c>
      <c r="J811">
        <v>125939.22</v>
      </c>
      <c r="K811" t="s">
        <v>22</v>
      </c>
      <c r="L811">
        <v>0.37792197256967802</v>
      </c>
      <c r="M811" t="s">
        <v>23</v>
      </c>
      <c r="N811">
        <v>1</v>
      </c>
      <c r="O811">
        <v>0</v>
      </c>
      <c r="P811" t="s">
        <v>24</v>
      </c>
      <c r="Q811" t="s">
        <v>25</v>
      </c>
      <c r="R811" t="s">
        <v>29</v>
      </c>
      <c r="S811" t="s">
        <v>30</v>
      </c>
      <c r="T811" t="s">
        <v>28</v>
      </c>
      <c r="U811">
        <f t="shared" si="12"/>
        <v>0</v>
      </c>
    </row>
    <row r="812" spans="1:21" x14ac:dyDescent="0.2">
      <c r="A812">
        <v>850</v>
      </c>
      <c r="B812" t="s">
        <v>42</v>
      </c>
      <c r="C812" t="s">
        <v>21</v>
      </c>
      <c r="D812">
        <v>40</v>
      </c>
      <c r="E812">
        <v>6</v>
      </c>
      <c r="F812">
        <v>0</v>
      </c>
      <c r="G812">
        <v>1</v>
      </c>
      <c r="H812" t="s">
        <v>22</v>
      </c>
      <c r="I812" t="s">
        <v>23</v>
      </c>
      <c r="J812">
        <v>136985.07999999999</v>
      </c>
      <c r="K812" t="s">
        <v>22</v>
      </c>
      <c r="L812">
        <v>0.14680160761819869</v>
      </c>
      <c r="M812" t="s">
        <v>23</v>
      </c>
      <c r="N812">
        <v>1</v>
      </c>
      <c r="O812">
        <v>0</v>
      </c>
      <c r="P812" t="s">
        <v>34</v>
      </c>
      <c r="Q812" t="s">
        <v>33</v>
      </c>
      <c r="R812" t="s">
        <v>29</v>
      </c>
      <c r="S812" t="s">
        <v>39</v>
      </c>
      <c r="T812" t="s">
        <v>28</v>
      </c>
      <c r="U812">
        <f t="shared" si="12"/>
        <v>0</v>
      </c>
    </row>
    <row r="813" spans="1:21" x14ac:dyDescent="0.2">
      <c r="A813">
        <v>648</v>
      </c>
      <c r="B813" t="s">
        <v>20</v>
      </c>
      <c r="C813" t="s">
        <v>21</v>
      </c>
      <c r="D813">
        <v>36</v>
      </c>
      <c r="E813">
        <v>8</v>
      </c>
      <c r="F813">
        <v>146943.38</v>
      </c>
      <c r="G813">
        <v>2</v>
      </c>
      <c r="H813" t="s">
        <v>22</v>
      </c>
      <c r="I813" t="s">
        <v>22</v>
      </c>
      <c r="J813">
        <v>130041.45</v>
      </c>
      <c r="K813" t="s">
        <v>23</v>
      </c>
      <c r="L813">
        <v>6.1013810423280322E-2</v>
      </c>
      <c r="M813" t="s">
        <v>23</v>
      </c>
      <c r="N813">
        <v>0</v>
      </c>
      <c r="O813">
        <v>0</v>
      </c>
      <c r="P813" t="s">
        <v>34</v>
      </c>
      <c r="Q813" t="s">
        <v>33</v>
      </c>
      <c r="R813" t="s">
        <v>26</v>
      </c>
      <c r="S813" t="s">
        <v>27</v>
      </c>
      <c r="T813" t="s">
        <v>28</v>
      </c>
      <c r="U813">
        <f t="shared" si="12"/>
        <v>1</v>
      </c>
    </row>
    <row r="814" spans="1:21" x14ac:dyDescent="0.2">
      <c r="A814">
        <v>601</v>
      </c>
      <c r="B814" t="s">
        <v>42</v>
      </c>
      <c r="C814" t="s">
        <v>21</v>
      </c>
      <c r="D814">
        <v>35</v>
      </c>
      <c r="E814">
        <v>2</v>
      </c>
      <c r="F814">
        <v>0</v>
      </c>
      <c r="G814">
        <v>2</v>
      </c>
      <c r="H814" t="s">
        <v>22</v>
      </c>
      <c r="I814" t="s">
        <v>22</v>
      </c>
      <c r="J814">
        <v>118983.18</v>
      </c>
      <c r="K814" t="s">
        <v>23</v>
      </c>
      <c r="L814">
        <v>4.3860707410148143E-2</v>
      </c>
      <c r="M814" t="s">
        <v>23</v>
      </c>
      <c r="N814">
        <v>0</v>
      </c>
      <c r="O814">
        <v>0</v>
      </c>
      <c r="P814" t="s">
        <v>34</v>
      </c>
      <c r="Q814" t="s">
        <v>33</v>
      </c>
      <c r="R814" t="s">
        <v>29</v>
      </c>
      <c r="S814" t="s">
        <v>27</v>
      </c>
      <c r="T814" t="s">
        <v>28</v>
      </c>
      <c r="U814">
        <f t="shared" si="12"/>
        <v>1</v>
      </c>
    </row>
    <row r="815" spans="1:21" x14ac:dyDescent="0.2">
      <c r="A815">
        <v>452</v>
      </c>
      <c r="B815" t="s">
        <v>41</v>
      </c>
      <c r="C815" t="s">
        <v>21</v>
      </c>
      <c r="D815">
        <v>33</v>
      </c>
      <c r="E815">
        <v>7</v>
      </c>
      <c r="F815">
        <v>153663.26999999999</v>
      </c>
      <c r="G815">
        <v>1</v>
      </c>
      <c r="H815" t="s">
        <v>22</v>
      </c>
      <c r="I815" t="s">
        <v>23</v>
      </c>
      <c r="J815">
        <v>111868.23</v>
      </c>
      <c r="K815" t="s">
        <v>23</v>
      </c>
      <c r="L815">
        <v>0.29954197587156728</v>
      </c>
      <c r="M815" t="s">
        <v>23</v>
      </c>
      <c r="N815">
        <v>0</v>
      </c>
      <c r="O815">
        <v>0</v>
      </c>
      <c r="P815" t="s">
        <v>24</v>
      </c>
      <c r="Q815" t="s">
        <v>33</v>
      </c>
      <c r="R815" t="s">
        <v>47</v>
      </c>
      <c r="S815" t="s">
        <v>45</v>
      </c>
      <c r="T815" t="s">
        <v>28</v>
      </c>
      <c r="U815">
        <f t="shared" si="12"/>
        <v>1</v>
      </c>
    </row>
    <row r="816" spans="1:21" x14ac:dyDescent="0.2">
      <c r="A816">
        <v>794</v>
      </c>
      <c r="B816" t="s">
        <v>20</v>
      </c>
      <c r="C816" t="s">
        <v>32</v>
      </c>
      <c r="D816">
        <v>46</v>
      </c>
      <c r="E816">
        <v>8</v>
      </c>
      <c r="F816">
        <v>134593.79</v>
      </c>
      <c r="G816">
        <v>1</v>
      </c>
      <c r="H816" t="s">
        <v>22</v>
      </c>
      <c r="I816" t="s">
        <v>22</v>
      </c>
      <c r="J816">
        <v>46386.37</v>
      </c>
      <c r="K816" t="s">
        <v>23</v>
      </c>
      <c r="L816">
        <v>0.17908262059189861</v>
      </c>
      <c r="M816" t="s">
        <v>23</v>
      </c>
      <c r="N816">
        <v>0</v>
      </c>
      <c r="O816">
        <v>0</v>
      </c>
      <c r="P816" t="s">
        <v>34</v>
      </c>
      <c r="Q816" t="s">
        <v>25</v>
      </c>
      <c r="R816" t="s">
        <v>26</v>
      </c>
      <c r="S816" t="s">
        <v>37</v>
      </c>
      <c r="T816" t="s">
        <v>35</v>
      </c>
      <c r="U816">
        <f t="shared" si="12"/>
        <v>1</v>
      </c>
    </row>
    <row r="817" spans="1:21" x14ac:dyDescent="0.2">
      <c r="A817">
        <v>746</v>
      </c>
      <c r="B817" t="s">
        <v>20</v>
      </c>
      <c r="C817" t="s">
        <v>21</v>
      </c>
      <c r="D817">
        <v>24</v>
      </c>
      <c r="E817">
        <v>10</v>
      </c>
      <c r="F817">
        <v>68781.820000000007</v>
      </c>
      <c r="G817">
        <v>1</v>
      </c>
      <c r="H817" t="s">
        <v>23</v>
      </c>
      <c r="I817" t="s">
        <v>22</v>
      </c>
      <c r="J817">
        <v>47997.39</v>
      </c>
      <c r="K817" t="s">
        <v>23</v>
      </c>
      <c r="L817">
        <v>2.1006429100526951E-2</v>
      </c>
      <c r="M817" t="s">
        <v>23</v>
      </c>
      <c r="N817">
        <v>0</v>
      </c>
      <c r="O817">
        <v>0</v>
      </c>
      <c r="P817" t="s">
        <v>34</v>
      </c>
      <c r="Q817" t="s">
        <v>36</v>
      </c>
      <c r="R817" t="s">
        <v>38</v>
      </c>
      <c r="S817" t="s">
        <v>37</v>
      </c>
      <c r="T817" t="s">
        <v>35</v>
      </c>
      <c r="U817">
        <f t="shared" si="12"/>
        <v>1</v>
      </c>
    </row>
    <row r="818" spans="1:21" x14ac:dyDescent="0.2">
      <c r="A818">
        <v>748</v>
      </c>
      <c r="B818" t="s">
        <v>42</v>
      </c>
      <c r="C818" t="s">
        <v>21</v>
      </c>
      <c r="D818">
        <v>44</v>
      </c>
      <c r="E818">
        <v>4</v>
      </c>
      <c r="F818">
        <v>112610.77</v>
      </c>
      <c r="G818">
        <v>1</v>
      </c>
      <c r="H818" t="s">
        <v>23</v>
      </c>
      <c r="I818" t="s">
        <v>22</v>
      </c>
      <c r="J818">
        <v>2048.5500000000002</v>
      </c>
      <c r="K818" t="s">
        <v>23</v>
      </c>
      <c r="L818">
        <v>0.1001978938965392</v>
      </c>
      <c r="M818" t="s">
        <v>23</v>
      </c>
      <c r="N818">
        <v>0</v>
      </c>
      <c r="O818">
        <v>0</v>
      </c>
      <c r="P818" t="s">
        <v>34</v>
      </c>
      <c r="Q818" t="s">
        <v>25</v>
      </c>
      <c r="R818" t="s">
        <v>26</v>
      </c>
      <c r="S818" t="s">
        <v>37</v>
      </c>
      <c r="T818" t="s">
        <v>35</v>
      </c>
      <c r="U818">
        <f t="shared" si="12"/>
        <v>1</v>
      </c>
    </row>
    <row r="819" spans="1:21" x14ac:dyDescent="0.2">
      <c r="A819">
        <v>759</v>
      </c>
      <c r="B819" t="s">
        <v>41</v>
      </c>
      <c r="C819" t="s">
        <v>21</v>
      </c>
      <c r="D819">
        <v>30</v>
      </c>
      <c r="E819">
        <v>4</v>
      </c>
      <c r="F819">
        <v>101802.67</v>
      </c>
      <c r="G819">
        <v>1</v>
      </c>
      <c r="H819" t="s">
        <v>23</v>
      </c>
      <c r="I819" t="s">
        <v>23</v>
      </c>
      <c r="J819">
        <v>8693.7999999999993</v>
      </c>
      <c r="K819" t="s">
        <v>23</v>
      </c>
      <c r="L819">
        <v>0.20027740130720281</v>
      </c>
      <c r="M819" t="s">
        <v>23</v>
      </c>
      <c r="N819">
        <v>0</v>
      </c>
      <c r="O819">
        <v>0</v>
      </c>
      <c r="P819" t="s">
        <v>24</v>
      </c>
      <c r="Q819" t="s">
        <v>36</v>
      </c>
      <c r="R819" t="s">
        <v>26</v>
      </c>
      <c r="S819" t="s">
        <v>37</v>
      </c>
      <c r="T819" t="s">
        <v>35</v>
      </c>
      <c r="U819">
        <f t="shared" si="12"/>
        <v>1</v>
      </c>
    </row>
    <row r="820" spans="1:21" x14ac:dyDescent="0.2">
      <c r="A820">
        <v>604</v>
      </c>
      <c r="B820" t="s">
        <v>42</v>
      </c>
      <c r="C820" t="s">
        <v>21</v>
      </c>
      <c r="D820">
        <v>33</v>
      </c>
      <c r="E820">
        <v>3</v>
      </c>
      <c r="F820">
        <v>148659.48000000001</v>
      </c>
      <c r="G820">
        <v>1</v>
      </c>
      <c r="H820" t="s">
        <v>23</v>
      </c>
      <c r="I820" t="s">
        <v>23</v>
      </c>
      <c r="J820">
        <v>42437.75</v>
      </c>
      <c r="K820" t="s">
        <v>23</v>
      </c>
      <c r="L820">
        <v>0.15662260023849869</v>
      </c>
      <c r="M820" t="s">
        <v>23</v>
      </c>
      <c r="N820">
        <v>0</v>
      </c>
      <c r="O820">
        <v>0</v>
      </c>
      <c r="P820" t="s">
        <v>34</v>
      </c>
      <c r="Q820" t="s">
        <v>33</v>
      </c>
      <c r="R820" t="s">
        <v>26</v>
      </c>
      <c r="S820" t="s">
        <v>27</v>
      </c>
      <c r="T820" t="s">
        <v>35</v>
      </c>
      <c r="U820">
        <f t="shared" si="12"/>
        <v>1</v>
      </c>
    </row>
    <row r="821" spans="1:21" x14ac:dyDescent="0.2">
      <c r="A821">
        <v>725</v>
      </c>
      <c r="B821" t="s">
        <v>42</v>
      </c>
      <c r="C821" t="s">
        <v>21</v>
      </c>
      <c r="D821">
        <v>35</v>
      </c>
      <c r="E821">
        <v>7</v>
      </c>
      <c r="F821">
        <v>75915.75</v>
      </c>
      <c r="G821">
        <v>1</v>
      </c>
      <c r="H821" t="s">
        <v>22</v>
      </c>
      <c r="I821" t="s">
        <v>23</v>
      </c>
      <c r="J821">
        <v>150507.43</v>
      </c>
      <c r="K821" t="s">
        <v>23</v>
      </c>
      <c r="L821">
        <v>0.13484302335264611</v>
      </c>
      <c r="M821" t="s">
        <v>23</v>
      </c>
      <c r="N821">
        <v>0</v>
      </c>
      <c r="O821">
        <v>0</v>
      </c>
      <c r="P821" t="s">
        <v>34</v>
      </c>
      <c r="Q821" t="s">
        <v>33</v>
      </c>
      <c r="R821" t="s">
        <v>38</v>
      </c>
      <c r="S821" t="s">
        <v>37</v>
      </c>
      <c r="T821" t="s">
        <v>31</v>
      </c>
      <c r="U821">
        <f t="shared" si="12"/>
        <v>1</v>
      </c>
    </row>
    <row r="822" spans="1:21" x14ac:dyDescent="0.2">
      <c r="A822">
        <v>602</v>
      </c>
      <c r="B822" t="s">
        <v>42</v>
      </c>
      <c r="C822" t="s">
        <v>21</v>
      </c>
      <c r="D822">
        <v>38</v>
      </c>
      <c r="E822">
        <v>7</v>
      </c>
      <c r="F822">
        <v>111835.94</v>
      </c>
      <c r="G822">
        <v>2</v>
      </c>
      <c r="H822" t="s">
        <v>22</v>
      </c>
      <c r="I822" t="s">
        <v>23</v>
      </c>
      <c r="J822">
        <v>124389.61</v>
      </c>
      <c r="K822" t="s">
        <v>23</v>
      </c>
      <c r="L822">
        <v>0.1712505980716742</v>
      </c>
      <c r="M822" t="s">
        <v>23</v>
      </c>
      <c r="N822">
        <v>0</v>
      </c>
      <c r="O822">
        <v>0</v>
      </c>
      <c r="P822" t="s">
        <v>34</v>
      </c>
      <c r="Q822" t="s">
        <v>33</v>
      </c>
      <c r="R822" t="s">
        <v>26</v>
      </c>
      <c r="S822" t="s">
        <v>27</v>
      </c>
      <c r="T822" t="s">
        <v>28</v>
      </c>
      <c r="U822">
        <f t="shared" si="12"/>
        <v>1</v>
      </c>
    </row>
    <row r="823" spans="1:21" x14ac:dyDescent="0.2">
      <c r="A823">
        <v>615</v>
      </c>
      <c r="B823" t="s">
        <v>42</v>
      </c>
      <c r="C823" t="s">
        <v>21</v>
      </c>
      <c r="D823">
        <v>30</v>
      </c>
      <c r="E823">
        <v>8</v>
      </c>
      <c r="F823">
        <v>0</v>
      </c>
      <c r="G823">
        <v>2</v>
      </c>
      <c r="H823" t="s">
        <v>23</v>
      </c>
      <c r="I823" t="s">
        <v>23</v>
      </c>
      <c r="J823">
        <v>3183.15</v>
      </c>
      <c r="K823" t="s">
        <v>23</v>
      </c>
      <c r="L823">
        <v>7.4263083135256383E-2</v>
      </c>
      <c r="M823" t="s">
        <v>23</v>
      </c>
      <c r="N823">
        <v>0</v>
      </c>
      <c r="O823">
        <v>0</v>
      </c>
      <c r="P823" t="s">
        <v>34</v>
      </c>
      <c r="Q823" t="s">
        <v>36</v>
      </c>
      <c r="R823" t="s">
        <v>29</v>
      </c>
      <c r="S823" t="s">
        <v>27</v>
      </c>
      <c r="T823" t="s">
        <v>35</v>
      </c>
      <c r="U823">
        <f t="shared" si="12"/>
        <v>1</v>
      </c>
    </row>
    <row r="824" spans="1:21" x14ac:dyDescent="0.2">
      <c r="A824">
        <v>555</v>
      </c>
      <c r="B824" t="s">
        <v>20</v>
      </c>
      <c r="C824" t="s">
        <v>21</v>
      </c>
      <c r="D824">
        <v>50</v>
      </c>
      <c r="E824">
        <v>7</v>
      </c>
      <c r="F824">
        <v>128061</v>
      </c>
      <c r="G824">
        <v>2</v>
      </c>
      <c r="H824" t="s">
        <v>22</v>
      </c>
      <c r="I824" t="s">
        <v>22</v>
      </c>
      <c r="J824">
        <v>62375.1</v>
      </c>
      <c r="K824" t="s">
        <v>23</v>
      </c>
      <c r="L824">
        <v>0.15441050382130331</v>
      </c>
      <c r="M824" t="s">
        <v>23</v>
      </c>
      <c r="N824">
        <v>0</v>
      </c>
      <c r="O824">
        <v>0</v>
      </c>
      <c r="P824" t="s">
        <v>34</v>
      </c>
      <c r="Q824" t="s">
        <v>25</v>
      </c>
      <c r="R824" t="s">
        <v>26</v>
      </c>
      <c r="S824" t="s">
        <v>30</v>
      </c>
      <c r="T824" t="s">
        <v>40</v>
      </c>
      <c r="U824">
        <f t="shared" si="12"/>
        <v>1</v>
      </c>
    </row>
    <row r="825" spans="1:21" x14ac:dyDescent="0.2">
      <c r="A825">
        <v>705</v>
      </c>
      <c r="B825" t="s">
        <v>42</v>
      </c>
      <c r="C825" t="s">
        <v>32</v>
      </c>
      <c r="D825">
        <v>35</v>
      </c>
      <c r="E825">
        <v>5</v>
      </c>
      <c r="F825">
        <v>0</v>
      </c>
      <c r="G825">
        <v>1</v>
      </c>
      <c r="H825" t="s">
        <v>22</v>
      </c>
      <c r="I825" t="s">
        <v>23</v>
      </c>
      <c r="J825">
        <v>133991.10999999999</v>
      </c>
      <c r="K825" t="s">
        <v>22</v>
      </c>
      <c r="L825">
        <v>0.1878711431307501</v>
      </c>
      <c r="M825" t="s">
        <v>23</v>
      </c>
      <c r="N825">
        <v>1</v>
      </c>
      <c r="O825">
        <v>0</v>
      </c>
      <c r="P825" t="s">
        <v>34</v>
      </c>
      <c r="Q825" t="s">
        <v>33</v>
      </c>
      <c r="R825" t="s">
        <v>29</v>
      </c>
      <c r="S825" t="s">
        <v>37</v>
      </c>
      <c r="T825" t="s">
        <v>28</v>
      </c>
      <c r="U825">
        <f t="shared" si="12"/>
        <v>0</v>
      </c>
    </row>
    <row r="826" spans="1:21" x14ac:dyDescent="0.2">
      <c r="A826">
        <v>638</v>
      </c>
      <c r="B826" t="s">
        <v>42</v>
      </c>
      <c r="C826" t="s">
        <v>21</v>
      </c>
      <c r="D826">
        <v>34</v>
      </c>
      <c r="E826">
        <v>5</v>
      </c>
      <c r="F826">
        <v>133501.35999999999</v>
      </c>
      <c r="G826">
        <v>1</v>
      </c>
      <c r="H826" t="s">
        <v>23</v>
      </c>
      <c r="I826" t="s">
        <v>22</v>
      </c>
      <c r="J826">
        <v>155643.04</v>
      </c>
      <c r="K826" t="s">
        <v>23</v>
      </c>
      <c r="L826">
        <v>6.0738583262349419E-2</v>
      </c>
      <c r="M826" t="s">
        <v>23</v>
      </c>
      <c r="N826">
        <v>0</v>
      </c>
      <c r="O826">
        <v>0</v>
      </c>
      <c r="P826" t="s">
        <v>34</v>
      </c>
      <c r="Q826" t="s">
        <v>33</v>
      </c>
      <c r="R826" t="s">
        <v>26</v>
      </c>
      <c r="S826" t="s">
        <v>27</v>
      </c>
      <c r="T826" t="s">
        <v>31</v>
      </c>
      <c r="U826">
        <f t="shared" si="12"/>
        <v>1</v>
      </c>
    </row>
    <row r="827" spans="1:21" x14ac:dyDescent="0.2">
      <c r="A827">
        <v>651</v>
      </c>
      <c r="B827" t="s">
        <v>42</v>
      </c>
      <c r="C827" t="s">
        <v>21</v>
      </c>
      <c r="D827">
        <v>34</v>
      </c>
      <c r="E827">
        <v>4</v>
      </c>
      <c r="F827">
        <v>91562.99</v>
      </c>
      <c r="G827">
        <v>1</v>
      </c>
      <c r="H827" t="s">
        <v>22</v>
      </c>
      <c r="I827" t="s">
        <v>22</v>
      </c>
      <c r="J827">
        <v>123954.15</v>
      </c>
      <c r="K827" t="s">
        <v>23</v>
      </c>
      <c r="L827">
        <v>5.2831692278720928E-2</v>
      </c>
      <c r="M827" t="s">
        <v>23</v>
      </c>
      <c r="N827">
        <v>0</v>
      </c>
      <c r="O827">
        <v>0</v>
      </c>
      <c r="P827" t="s">
        <v>34</v>
      </c>
      <c r="Q827" t="s">
        <v>33</v>
      </c>
      <c r="R827" t="s">
        <v>38</v>
      </c>
      <c r="S827" t="s">
        <v>27</v>
      </c>
      <c r="T827" t="s">
        <v>28</v>
      </c>
      <c r="U827">
        <f t="shared" si="12"/>
        <v>1</v>
      </c>
    </row>
    <row r="828" spans="1:21" x14ac:dyDescent="0.2">
      <c r="A828">
        <v>508</v>
      </c>
      <c r="B828" t="s">
        <v>42</v>
      </c>
      <c r="C828" t="s">
        <v>21</v>
      </c>
      <c r="D828">
        <v>31</v>
      </c>
      <c r="E828">
        <v>8</v>
      </c>
      <c r="F828">
        <v>72541.48</v>
      </c>
      <c r="G828">
        <v>1</v>
      </c>
      <c r="H828" t="s">
        <v>22</v>
      </c>
      <c r="I828" t="s">
        <v>23</v>
      </c>
      <c r="J828">
        <v>129803.08</v>
      </c>
      <c r="K828" t="s">
        <v>23</v>
      </c>
      <c r="L828">
        <v>0.114593669478911</v>
      </c>
      <c r="M828" t="s">
        <v>23</v>
      </c>
      <c r="N828">
        <v>0</v>
      </c>
      <c r="O828">
        <v>0</v>
      </c>
      <c r="P828" t="s">
        <v>34</v>
      </c>
      <c r="Q828" t="s">
        <v>33</v>
      </c>
      <c r="R828" t="s">
        <v>38</v>
      </c>
      <c r="S828" t="s">
        <v>30</v>
      </c>
      <c r="T828" t="s">
        <v>28</v>
      </c>
      <c r="U828">
        <f t="shared" si="12"/>
        <v>1</v>
      </c>
    </row>
    <row r="829" spans="1:21" x14ac:dyDescent="0.2">
      <c r="A829">
        <v>714</v>
      </c>
      <c r="B829" t="s">
        <v>20</v>
      </c>
      <c r="C829" t="s">
        <v>21</v>
      </c>
      <c r="D829">
        <v>27</v>
      </c>
      <c r="E829">
        <v>3</v>
      </c>
      <c r="F829">
        <v>0</v>
      </c>
      <c r="G829">
        <v>3</v>
      </c>
      <c r="H829" t="s">
        <v>22</v>
      </c>
      <c r="I829" t="s">
        <v>22</v>
      </c>
      <c r="J829">
        <v>129130.09</v>
      </c>
      <c r="K829" t="s">
        <v>23</v>
      </c>
      <c r="L829">
        <v>2.1220043692721641E-2</v>
      </c>
      <c r="M829" t="s">
        <v>23</v>
      </c>
      <c r="N829">
        <v>0</v>
      </c>
      <c r="O829">
        <v>0</v>
      </c>
      <c r="P829" t="s">
        <v>34</v>
      </c>
      <c r="Q829" t="s">
        <v>36</v>
      </c>
      <c r="R829" t="s">
        <v>29</v>
      </c>
      <c r="S829" t="s">
        <v>37</v>
      </c>
      <c r="T829" t="s">
        <v>28</v>
      </c>
      <c r="U829">
        <f t="shared" si="12"/>
        <v>1</v>
      </c>
    </row>
    <row r="830" spans="1:21" x14ac:dyDescent="0.2">
      <c r="A830">
        <v>581</v>
      </c>
      <c r="B830" t="s">
        <v>42</v>
      </c>
      <c r="C830" t="s">
        <v>32</v>
      </c>
      <c r="D830">
        <v>55</v>
      </c>
      <c r="E830">
        <v>6</v>
      </c>
      <c r="F830">
        <v>0</v>
      </c>
      <c r="G830">
        <v>1</v>
      </c>
      <c r="H830" t="s">
        <v>22</v>
      </c>
      <c r="I830" t="s">
        <v>22</v>
      </c>
      <c r="J830">
        <v>22442.13</v>
      </c>
      <c r="K830" t="s">
        <v>23</v>
      </c>
      <c r="L830">
        <v>0.25535463752881171</v>
      </c>
      <c r="M830" t="s">
        <v>23</v>
      </c>
      <c r="N830">
        <v>0</v>
      </c>
      <c r="O830">
        <v>0</v>
      </c>
      <c r="P830" t="s">
        <v>24</v>
      </c>
      <c r="Q830" t="s">
        <v>44</v>
      </c>
      <c r="R830" t="s">
        <v>29</v>
      </c>
      <c r="S830" t="s">
        <v>30</v>
      </c>
      <c r="T830" t="s">
        <v>35</v>
      </c>
      <c r="U830">
        <f t="shared" si="12"/>
        <v>1</v>
      </c>
    </row>
    <row r="831" spans="1:21" x14ac:dyDescent="0.2">
      <c r="A831">
        <v>714</v>
      </c>
      <c r="B831" t="s">
        <v>20</v>
      </c>
      <c r="C831" t="s">
        <v>21</v>
      </c>
      <c r="D831">
        <v>25</v>
      </c>
      <c r="E831">
        <v>2</v>
      </c>
      <c r="F831">
        <v>0</v>
      </c>
      <c r="G831">
        <v>1</v>
      </c>
      <c r="H831" t="s">
        <v>22</v>
      </c>
      <c r="I831" t="s">
        <v>22</v>
      </c>
      <c r="J831">
        <v>132979.43</v>
      </c>
      <c r="K831" t="s">
        <v>23</v>
      </c>
      <c r="L831">
        <v>2.297324956692522E-2</v>
      </c>
      <c r="M831" t="s">
        <v>23</v>
      </c>
      <c r="N831">
        <v>0</v>
      </c>
      <c r="O831">
        <v>0</v>
      </c>
      <c r="P831" t="s">
        <v>34</v>
      </c>
      <c r="Q831" t="s">
        <v>36</v>
      </c>
      <c r="R831" t="s">
        <v>29</v>
      </c>
      <c r="S831" t="s">
        <v>37</v>
      </c>
      <c r="T831" t="s">
        <v>28</v>
      </c>
      <c r="U831">
        <f t="shared" si="12"/>
        <v>1</v>
      </c>
    </row>
    <row r="832" spans="1:21" x14ac:dyDescent="0.2">
      <c r="A832">
        <v>528</v>
      </c>
      <c r="B832" t="s">
        <v>42</v>
      </c>
      <c r="C832" t="s">
        <v>32</v>
      </c>
      <c r="D832">
        <v>26</v>
      </c>
      <c r="E832">
        <v>10</v>
      </c>
      <c r="F832">
        <v>102073.67</v>
      </c>
      <c r="G832">
        <v>2</v>
      </c>
      <c r="H832" t="s">
        <v>23</v>
      </c>
      <c r="I832" t="s">
        <v>23</v>
      </c>
      <c r="J832">
        <v>166799.93</v>
      </c>
      <c r="K832" t="s">
        <v>23</v>
      </c>
      <c r="L832">
        <v>0.13070655868566819</v>
      </c>
      <c r="M832" t="s">
        <v>23</v>
      </c>
      <c r="N832">
        <v>0</v>
      </c>
      <c r="O832">
        <v>0</v>
      </c>
      <c r="P832" t="s">
        <v>34</v>
      </c>
      <c r="Q832" t="s">
        <v>36</v>
      </c>
      <c r="R832" t="s">
        <v>26</v>
      </c>
      <c r="S832" t="s">
        <v>30</v>
      </c>
      <c r="T832" t="s">
        <v>31</v>
      </c>
      <c r="U832">
        <f t="shared" si="12"/>
        <v>1</v>
      </c>
    </row>
    <row r="833" spans="1:21" x14ac:dyDescent="0.2">
      <c r="A833">
        <v>615</v>
      </c>
      <c r="B833" t="s">
        <v>41</v>
      </c>
      <c r="C833" t="s">
        <v>21</v>
      </c>
      <c r="D833">
        <v>24</v>
      </c>
      <c r="E833">
        <v>8</v>
      </c>
      <c r="F833">
        <v>108528.07</v>
      </c>
      <c r="G833">
        <v>2</v>
      </c>
      <c r="H833" t="s">
        <v>23</v>
      </c>
      <c r="I833" t="s">
        <v>23</v>
      </c>
      <c r="J833">
        <v>179488.41</v>
      </c>
      <c r="K833" t="s">
        <v>22</v>
      </c>
      <c r="L833">
        <v>0.14202141206787261</v>
      </c>
      <c r="M833" t="s">
        <v>23</v>
      </c>
      <c r="N833">
        <v>1</v>
      </c>
      <c r="O833">
        <v>0</v>
      </c>
      <c r="P833" t="s">
        <v>34</v>
      </c>
      <c r="Q833" t="s">
        <v>36</v>
      </c>
      <c r="R833" t="s">
        <v>26</v>
      </c>
      <c r="S833" t="s">
        <v>27</v>
      </c>
      <c r="T833" t="s">
        <v>31</v>
      </c>
      <c r="U833">
        <f t="shared" si="12"/>
        <v>0</v>
      </c>
    </row>
    <row r="834" spans="1:21" x14ac:dyDescent="0.2">
      <c r="A834">
        <v>686</v>
      </c>
      <c r="B834" t="s">
        <v>20</v>
      </c>
      <c r="C834" t="s">
        <v>21</v>
      </c>
      <c r="D834">
        <v>45</v>
      </c>
      <c r="E834">
        <v>3</v>
      </c>
      <c r="F834">
        <v>74274.87</v>
      </c>
      <c r="G834">
        <v>3</v>
      </c>
      <c r="H834" t="s">
        <v>22</v>
      </c>
      <c r="I834" t="s">
        <v>23</v>
      </c>
      <c r="J834">
        <v>64907.48</v>
      </c>
      <c r="K834" t="s">
        <v>22</v>
      </c>
      <c r="L834">
        <v>0.2255417170519034</v>
      </c>
      <c r="M834" t="s">
        <v>23</v>
      </c>
      <c r="N834">
        <v>1</v>
      </c>
      <c r="O834">
        <v>0</v>
      </c>
      <c r="P834" t="s">
        <v>24</v>
      </c>
      <c r="Q834" t="s">
        <v>25</v>
      </c>
      <c r="R834" t="s">
        <v>38</v>
      </c>
      <c r="S834" t="s">
        <v>27</v>
      </c>
      <c r="T834" t="s">
        <v>40</v>
      </c>
      <c r="U834">
        <f t="shared" ref="U834:U897" si="13">IF(K834=M834,1,0)</f>
        <v>0</v>
      </c>
    </row>
    <row r="835" spans="1:21" x14ac:dyDescent="0.2">
      <c r="A835">
        <v>558</v>
      </c>
      <c r="B835" t="s">
        <v>20</v>
      </c>
      <c r="C835" t="s">
        <v>21</v>
      </c>
      <c r="D835">
        <v>45</v>
      </c>
      <c r="E835">
        <v>4</v>
      </c>
      <c r="F835">
        <v>0</v>
      </c>
      <c r="G835">
        <v>1</v>
      </c>
      <c r="H835" t="s">
        <v>22</v>
      </c>
      <c r="I835" t="s">
        <v>23</v>
      </c>
      <c r="J835">
        <v>131807.14000000001</v>
      </c>
      <c r="K835" t="s">
        <v>23</v>
      </c>
      <c r="L835">
        <v>0.24737107072466699</v>
      </c>
      <c r="M835" t="s">
        <v>23</v>
      </c>
      <c r="N835">
        <v>0</v>
      </c>
      <c r="O835">
        <v>0</v>
      </c>
      <c r="P835" t="s">
        <v>24</v>
      </c>
      <c r="Q835" t="s">
        <v>25</v>
      </c>
      <c r="R835" t="s">
        <v>29</v>
      </c>
      <c r="S835" t="s">
        <v>30</v>
      </c>
      <c r="T835" t="s">
        <v>28</v>
      </c>
      <c r="U835">
        <f t="shared" si="13"/>
        <v>1</v>
      </c>
    </row>
    <row r="836" spans="1:21" x14ac:dyDescent="0.2">
      <c r="A836">
        <v>678</v>
      </c>
      <c r="B836" t="s">
        <v>42</v>
      </c>
      <c r="C836" t="s">
        <v>21</v>
      </c>
      <c r="D836">
        <v>66</v>
      </c>
      <c r="E836">
        <v>8</v>
      </c>
      <c r="F836">
        <v>0</v>
      </c>
      <c r="G836">
        <v>2</v>
      </c>
      <c r="H836" t="s">
        <v>22</v>
      </c>
      <c r="I836" t="s">
        <v>22</v>
      </c>
      <c r="J836">
        <v>47117.03</v>
      </c>
      <c r="K836" t="s">
        <v>23</v>
      </c>
      <c r="L836">
        <v>0.26887448214261739</v>
      </c>
      <c r="M836" t="s">
        <v>23</v>
      </c>
      <c r="N836">
        <v>0</v>
      </c>
      <c r="O836">
        <v>0</v>
      </c>
      <c r="P836" t="s">
        <v>24</v>
      </c>
      <c r="Q836" t="s">
        <v>46</v>
      </c>
      <c r="R836" t="s">
        <v>29</v>
      </c>
      <c r="S836" t="s">
        <v>27</v>
      </c>
      <c r="T836" t="s">
        <v>35</v>
      </c>
      <c r="U836">
        <f t="shared" si="13"/>
        <v>1</v>
      </c>
    </row>
    <row r="837" spans="1:21" x14ac:dyDescent="0.2">
      <c r="A837">
        <v>523</v>
      </c>
      <c r="B837" t="s">
        <v>41</v>
      </c>
      <c r="C837" t="s">
        <v>21</v>
      </c>
      <c r="D837">
        <v>27</v>
      </c>
      <c r="E837">
        <v>8</v>
      </c>
      <c r="F837">
        <v>61688.61</v>
      </c>
      <c r="G837">
        <v>2</v>
      </c>
      <c r="H837" t="s">
        <v>22</v>
      </c>
      <c r="I837" t="s">
        <v>23</v>
      </c>
      <c r="J837">
        <v>147059.16</v>
      </c>
      <c r="K837" t="s">
        <v>23</v>
      </c>
      <c r="L837">
        <v>0.15647634772297819</v>
      </c>
      <c r="M837" t="s">
        <v>23</v>
      </c>
      <c r="N837">
        <v>0</v>
      </c>
      <c r="O837">
        <v>0</v>
      </c>
      <c r="P837" t="s">
        <v>34</v>
      </c>
      <c r="Q837" t="s">
        <v>36</v>
      </c>
      <c r="R837" t="s">
        <v>38</v>
      </c>
      <c r="S837" t="s">
        <v>30</v>
      </c>
      <c r="T837" t="s">
        <v>28</v>
      </c>
      <c r="U837">
        <f t="shared" si="13"/>
        <v>1</v>
      </c>
    </row>
    <row r="838" spans="1:21" x14ac:dyDescent="0.2">
      <c r="A838">
        <v>573</v>
      </c>
      <c r="B838" t="s">
        <v>20</v>
      </c>
      <c r="C838" t="s">
        <v>21</v>
      </c>
      <c r="D838">
        <v>50</v>
      </c>
      <c r="E838">
        <v>0</v>
      </c>
      <c r="F838">
        <v>159304.07</v>
      </c>
      <c r="G838">
        <v>1</v>
      </c>
      <c r="H838" t="s">
        <v>23</v>
      </c>
      <c r="I838" t="s">
        <v>22</v>
      </c>
      <c r="J838">
        <v>155915.24</v>
      </c>
      <c r="K838" t="s">
        <v>22</v>
      </c>
      <c r="L838">
        <v>0.213285558976229</v>
      </c>
      <c r="M838" t="s">
        <v>23</v>
      </c>
      <c r="N838">
        <v>1</v>
      </c>
      <c r="O838">
        <v>0</v>
      </c>
      <c r="P838" t="s">
        <v>24</v>
      </c>
      <c r="Q838" t="s">
        <v>25</v>
      </c>
      <c r="R838" t="s">
        <v>47</v>
      </c>
      <c r="S838" t="s">
        <v>30</v>
      </c>
      <c r="T838" t="s">
        <v>31</v>
      </c>
      <c r="U838">
        <f t="shared" si="13"/>
        <v>0</v>
      </c>
    </row>
    <row r="839" spans="1:21" x14ac:dyDescent="0.2">
      <c r="A839">
        <v>648</v>
      </c>
      <c r="B839" t="s">
        <v>41</v>
      </c>
      <c r="C839" t="s">
        <v>21</v>
      </c>
      <c r="D839">
        <v>33</v>
      </c>
      <c r="E839">
        <v>5</v>
      </c>
      <c r="F839">
        <v>138664.24</v>
      </c>
      <c r="G839">
        <v>1</v>
      </c>
      <c r="H839" t="s">
        <v>22</v>
      </c>
      <c r="I839" t="s">
        <v>23</v>
      </c>
      <c r="J839">
        <v>29076.27</v>
      </c>
      <c r="K839" t="s">
        <v>23</v>
      </c>
      <c r="L839">
        <v>0.26293008249851813</v>
      </c>
      <c r="M839" t="s">
        <v>23</v>
      </c>
      <c r="N839">
        <v>0</v>
      </c>
      <c r="O839">
        <v>0</v>
      </c>
      <c r="P839" t="s">
        <v>24</v>
      </c>
      <c r="Q839" t="s">
        <v>33</v>
      </c>
      <c r="R839" t="s">
        <v>26</v>
      </c>
      <c r="S839" t="s">
        <v>27</v>
      </c>
      <c r="T839" t="s">
        <v>35</v>
      </c>
      <c r="U839">
        <f t="shared" si="13"/>
        <v>1</v>
      </c>
    </row>
    <row r="840" spans="1:21" x14ac:dyDescent="0.2">
      <c r="A840">
        <v>688</v>
      </c>
      <c r="B840" t="s">
        <v>41</v>
      </c>
      <c r="C840" t="s">
        <v>21</v>
      </c>
      <c r="D840">
        <v>41</v>
      </c>
      <c r="E840">
        <v>2</v>
      </c>
      <c r="F840">
        <v>112871.19</v>
      </c>
      <c r="G840">
        <v>2</v>
      </c>
      <c r="H840" t="s">
        <v>23</v>
      </c>
      <c r="I840" t="s">
        <v>22</v>
      </c>
      <c r="J840">
        <v>65520.74</v>
      </c>
      <c r="K840" t="s">
        <v>23</v>
      </c>
      <c r="L840">
        <v>0.16590893271282259</v>
      </c>
      <c r="M840" t="s">
        <v>23</v>
      </c>
      <c r="N840">
        <v>0</v>
      </c>
      <c r="O840">
        <v>0</v>
      </c>
      <c r="P840" t="s">
        <v>34</v>
      </c>
      <c r="Q840" t="s">
        <v>25</v>
      </c>
      <c r="R840" t="s">
        <v>26</v>
      </c>
      <c r="S840" t="s">
        <v>27</v>
      </c>
      <c r="T840" t="s">
        <v>40</v>
      </c>
      <c r="U840">
        <f t="shared" si="13"/>
        <v>1</v>
      </c>
    </row>
    <row r="841" spans="1:21" x14ac:dyDescent="0.2">
      <c r="A841">
        <v>757</v>
      </c>
      <c r="B841" t="s">
        <v>42</v>
      </c>
      <c r="C841" t="s">
        <v>32</v>
      </c>
      <c r="D841">
        <v>71</v>
      </c>
      <c r="E841">
        <v>0</v>
      </c>
      <c r="F841">
        <v>88084.13</v>
      </c>
      <c r="G841">
        <v>2</v>
      </c>
      <c r="H841" t="s">
        <v>22</v>
      </c>
      <c r="I841" t="s">
        <v>22</v>
      </c>
      <c r="J841">
        <v>154337.47</v>
      </c>
      <c r="K841" t="s">
        <v>23</v>
      </c>
      <c r="L841">
        <v>0.57663845288565219</v>
      </c>
      <c r="M841" t="s">
        <v>22</v>
      </c>
      <c r="N841">
        <v>0</v>
      </c>
      <c r="O841">
        <v>1</v>
      </c>
      <c r="P841" t="s">
        <v>43</v>
      </c>
      <c r="Q841" t="s">
        <v>46</v>
      </c>
      <c r="R841" t="s">
        <v>38</v>
      </c>
      <c r="S841" t="s">
        <v>37</v>
      </c>
      <c r="T841" t="s">
        <v>31</v>
      </c>
      <c r="U841">
        <f t="shared" si="13"/>
        <v>0</v>
      </c>
    </row>
    <row r="842" spans="1:21" x14ac:dyDescent="0.2">
      <c r="A842">
        <v>669</v>
      </c>
      <c r="B842" t="s">
        <v>42</v>
      </c>
      <c r="C842" t="s">
        <v>21</v>
      </c>
      <c r="D842">
        <v>29</v>
      </c>
      <c r="E842">
        <v>7</v>
      </c>
      <c r="F842">
        <v>0</v>
      </c>
      <c r="G842">
        <v>2</v>
      </c>
      <c r="H842" t="s">
        <v>22</v>
      </c>
      <c r="I842" t="s">
        <v>22</v>
      </c>
      <c r="J842">
        <v>138145.62</v>
      </c>
      <c r="K842" t="s">
        <v>23</v>
      </c>
      <c r="L842">
        <v>2.5059107146888249E-2</v>
      </c>
      <c r="M842" t="s">
        <v>23</v>
      </c>
      <c r="N842">
        <v>0</v>
      </c>
      <c r="O842">
        <v>0</v>
      </c>
      <c r="P842" t="s">
        <v>34</v>
      </c>
      <c r="Q842" t="s">
        <v>36</v>
      </c>
      <c r="R842" t="s">
        <v>29</v>
      </c>
      <c r="S842" t="s">
        <v>27</v>
      </c>
      <c r="T842" t="s">
        <v>28</v>
      </c>
      <c r="U842">
        <f t="shared" si="13"/>
        <v>1</v>
      </c>
    </row>
    <row r="843" spans="1:21" x14ac:dyDescent="0.2">
      <c r="A843">
        <v>438</v>
      </c>
      <c r="B843" t="s">
        <v>41</v>
      </c>
      <c r="C843" t="s">
        <v>21</v>
      </c>
      <c r="D843">
        <v>59</v>
      </c>
      <c r="E843">
        <v>7</v>
      </c>
      <c r="F843">
        <v>127197.14</v>
      </c>
      <c r="G843">
        <v>1</v>
      </c>
      <c r="H843" t="s">
        <v>22</v>
      </c>
      <c r="I843" t="s">
        <v>23</v>
      </c>
      <c r="J843">
        <v>51565.98</v>
      </c>
      <c r="K843" t="s">
        <v>22</v>
      </c>
      <c r="L843">
        <v>0.72744578433156104</v>
      </c>
      <c r="M843" t="s">
        <v>22</v>
      </c>
      <c r="N843">
        <v>1</v>
      </c>
      <c r="O843">
        <v>1</v>
      </c>
      <c r="P843" t="s">
        <v>43</v>
      </c>
      <c r="Q843" t="s">
        <v>44</v>
      </c>
      <c r="R843" t="s">
        <v>26</v>
      </c>
      <c r="S843" t="s">
        <v>45</v>
      </c>
      <c r="T843" t="s">
        <v>40</v>
      </c>
      <c r="U843">
        <f t="shared" si="13"/>
        <v>1</v>
      </c>
    </row>
    <row r="844" spans="1:21" x14ac:dyDescent="0.2">
      <c r="A844">
        <v>645</v>
      </c>
      <c r="B844" t="s">
        <v>42</v>
      </c>
      <c r="C844" t="s">
        <v>21</v>
      </c>
      <c r="D844">
        <v>42</v>
      </c>
      <c r="E844">
        <v>4</v>
      </c>
      <c r="F844">
        <v>98298.18</v>
      </c>
      <c r="G844">
        <v>1</v>
      </c>
      <c r="H844" t="s">
        <v>22</v>
      </c>
      <c r="I844" t="s">
        <v>22</v>
      </c>
      <c r="J844">
        <v>676.06</v>
      </c>
      <c r="K844" t="s">
        <v>23</v>
      </c>
      <c r="L844">
        <v>8.7721260828601905E-2</v>
      </c>
      <c r="M844" t="s">
        <v>23</v>
      </c>
      <c r="N844">
        <v>0</v>
      </c>
      <c r="O844">
        <v>0</v>
      </c>
      <c r="P844" t="s">
        <v>34</v>
      </c>
      <c r="Q844" t="s">
        <v>25</v>
      </c>
      <c r="R844" t="s">
        <v>38</v>
      </c>
      <c r="S844" t="s">
        <v>27</v>
      </c>
      <c r="T844" t="s">
        <v>35</v>
      </c>
      <c r="U844">
        <f t="shared" si="13"/>
        <v>1</v>
      </c>
    </row>
    <row r="845" spans="1:21" x14ac:dyDescent="0.2">
      <c r="A845">
        <v>775</v>
      </c>
      <c r="B845" t="s">
        <v>41</v>
      </c>
      <c r="C845" t="s">
        <v>32</v>
      </c>
      <c r="D845">
        <v>38</v>
      </c>
      <c r="E845">
        <v>6</v>
      </c>
      <c r="F845">
        <v>179886.41</v>
      </c>
      <c r="G845">
        <v>2</v>
      </c>
      <c r="H845" t="s">
        <v>23</v>
      </c>
      <c r="I845" t="s">
        <v>23</v>
      </c>
      <c r="J845">
        <v>153122.57999999999</v>
      </c>
      <c r="K845" t="s">
        <v>23</v>
      </c>
      <c r="L845">
        <v>0.47097607092946647</v>
      </c>
      <c r="M845" t="s">
        <v>23</v>
      </c>
      <c r="N845">
        <v>0</v>
      </c>
      <c r="O845">
        <v>0</v>
      </c>
      <c r="P845" t="s">
        <v>24</v>
      </c>
      <c r="Q845" t="s">
        <v>33</v>
      </c>
      <c r="R845" t="s">
        <v>47</v>
      </c>
      <c r="S845" t="s">
        <v>37</v>
      </c>
      <c r="T845" t="s">
        <v>31</v>
      </c>
      <c r="U845">
        <f t="shared" si="13"/>
        <v>1</v>
      </c>
    </row>
    <row r="846" spans="1:21" x14ac:dyDescent="0.2">
      <c r="A846">
        <v>659</v>
      </c>
      <c r="B846" t="s">
        <v>41</v>
      </c>
      <c r="C846" t="s">
        <v>21</v>
      </c>
      <c r="D846">
        <v>39</v>
      </c>
      <c r="E846">
        <v>8</v>
      </c>
      <c r="F846">
        <v>52106.33</v>
      </c>
      <c r="G846">
        <v>2</v>
      </c>
      <c r="H846" t="s">
        <v>22</v>
      </c>
      <c r="I846" t="s">
        <v>22</v>
      </c>
      <c r="J846">
        <v>107964.36</v>
      </c>
      <c r="K846" t="s">
        <v>23</v>
      </c>
      <c r="L846">
        <v>0.1163460857879493</v>
      </c>
      <c r="M846" t="s">
        <v>23</v>
      </c>
      <c r="N846">
        <v>0</v>
      </c>
      <c r="O846">
        <v>0</v>
      </c>
      <c r="P846" t="s">
        <v>34</v>
      </c>
      <c r="Q846" t="s">
        <v>33</v>
      </c>
      <c r="R846" t="s">
        <v>38</v>
      </c>
      <c r="S846" t="s">
        <v>27</v>
      </c>
      <c r="T846" t="s">
        <v>28</v>
      </c>
      <c r="U846">
        <f t="shared" si="13"/>
        <v>1</v>
      </c>
    </row>
    <row r="847" spans="1:21" x14ac:dyDescent="0.2">
      <c r="A847">
        <v>670</v>
      </c>
      <c r="B847" t="s">
        <v>42</v>
      </c>
      <c r="C847" t="s">
        <v>32</v>
      </c>
      <c r="D847">
        <v>45</v>
      </c>
      <c r="E847">
        <v>9</v>
      </c>
      <c r="F847">
        <v>104930.38</v>
      </c>
      <c r="G847">
        <v>1</v>
      </c>
      <c r="H847" t="s">
        <v>22</v>
      </c>
      <c r="I847" t="s">
        <v>23</v>
      </c>
      <c r="J847">
        <v>155921.81</v>
      </c>
      <c r="K847" t="s">
        <v>22</v>
      </c>
      <c r="L847">
        <v>0.3787954965407121</v>
      </c>
      <c r="M847" t="s">
        <v>23</v>
      </c>
      <c r="N847">
        <v>1</v>
      </c>
      <c r="O847">
        <v>0</v>
      </c>
      <c r="P847" t="s">
        <v>24</v>
      </c>
      <c r="Q847" t="s">
        <v>25</v>
      </c>
      <c r="R847" t="s">
        <v>26</v>
      </c>
      <c r="S847" t="s">
        <v>27</v>
      </c>
      <c r="T847" t="s">
        <v>31</v>
      </c>
      <c r="U847">
        <f t="shared" si="13"/>
        <v>0</v>
      </c>
    </row>
    <row r="848" spans="1:21" x14ac:dyDescent="0.2">
      <c r="A848">
        <v>602</v>
      </c>
      <c r="B848" t="s">
        <v>41</v>
      </c>
      <c r="C848" t="s">
        <v>32</v>
      </c>
      <c r="D848">
        <v>43</v>
      </c>
      <c r="E848">
        <v>2</v>
      </c>
      <c r="F848">
        <v>113641.49</v>
      </c>
      <c r="G848">
        <v>4</v>
      </c>
      <c r="H848" t="s">
        <v>22</v>
      </c>
      <c r="I848" t="s">
        <v>23</v>
      </c>
      <c r="J848">
        <v>115116.35</v>
      </c>
      <c r="K848" t="s">
        <v>22</v>
      </c>
      <c r="L848">
        <v>0.5050674395496042</v>
      </c>
      <c r="M848" t="s">
        <v>22</v>
      </c>
      <c r="N848">
        <v>1</v>
      </c>
      <c r="O848">
        <v>1</v>
      </c>
      <c r="P848" t="s">
        <v>43</v>
      </c>
      <c r="Q848" t="s">
        <v>25</v>
      </c>
      <c r="R848" t="s">
        <v>26</v>
      </c>
      <c r="S848" t="s">
        <v>27</v>
      </c>
      <c r="T848" t="s">
        <v>28</v>
      </c>
      <c r="U848">
        <f t="shared" si="13"/>
        <v>1</v>
      </c>
    </row>
    <row r="849" spans="1:21" x14ac:dyDescent="0.2">
      <c r="A849">
        <v>666</v>
      </c>
      <c r="B849" t="s">
        <v>42</v>
      </c>
      <c r="C849" t="s">
        <v>32</v>
      </c>
      <c r="D849">
        <v>40</v>
      </c>
      <c r="E849">
        <v>2</v>
      </c>
      <c r="F849">
        <v>0</v>
      </c>
      <c r="G849">
        <v>2</v>
      </c>
      <c r="H849" t="s">
        <v>23</v>
      </c>
      <c r="I849" t="s">
        <v>23</v>
      </c>
      <c r="J849">
        <v>36371.269999999997</v>
      </c>
      <c r="K849" t="s">
        <v>23</v>
      </c>
      <c r="L849">
        <v>0.2434999137076044</v>
      </c>
      <c r="M849" t="s">
        <v>23</v>
      </c>
      <c r="N849">
        <v>0</v>
      </c>
      <c r="O849">
        <v>0</v>
      </c>
      <c r="P849" t="s">
        <v>24</v>
      </c>
      <c r="Q849" t="s">
        <v>33</v>
      </c>
      <c r="R849" t="s">
        <v>29</v>
      </c>
      <c r="S849" t="s">
        <v>27</v>
      </c>
      <c r="T849" t="s">
        <v>35</v>
      </c>
      <c r="U849">
        <f t="shared" si="13"/>
        <v>1</v>
      </c>
    </row>
    <row r="850" spans="1:21" x14ac:dyDescent="0.2">
      <c r="A850">
        <v>764</v>
      </c>
      <c r="B850" t="s">
        <v>42</v>
      </c>
      <c r="C850" t="s">
        <v>32</v>
      </c>
      <c r="D850">
        <v>24</v>
      </c>
      <c r="E850">
        <v>0</v>
      </c>
      <c r="F850">
        <v>0</v>
      </c>
      <c r="G850">
        <v>2</v>
      </c>
      <c r="H850" t="s">
        <v>22</v>
      </c>
      <c r="I850" t="s">
        <v>23</v>
      </c>
      <c r="J850">
        <v>88724.49</v>
      </c>
      <c r="K850" t="s">
        <v>23</v>
      </c>
      <c r="L850">
        <v>8.7171371929166588E-2</v>
      </c>
      <c r="M850" t="s">
        <v>23</v>
      </c>
      <c r="N850">
        <v>0</v>
      </c>
      <c r="O850">
        <v>0</v>
      </c>
      <c r="P850" t="s">
        <v>34</v>
      </c>
      <c r="Q850" t="s">
        <v>36</v>
      </c>
      <c r="R850" t="s">
        <v>29</v>
      </c>
      <c r="S850" t="s">
        <v>37</v>
      </c>
      <c r="T850" t="s">
        <v>40</v>
      </c>
      <c r="U850">
        <f t="shared" si="13"/>
        <v>1</v>
      </c>
    </row>
    <row r="851" spans="1:21" x14ac:dyDescent="0.2">
      <c r="A851">
        <v>771</v>
      </c>
      <c r="B851" t="s">
        <v>42</v>
      </c>
      <c r="C851" t="s">
        <v>32</v>
      </c>
      <c r="D851">
        <v>23</v>
      </c>
      <c r="E851">
        <v>7</v>
      </c>
      <c r="F851">
        <v>156123.73000000001</v>
      </c>
      <c r="G851">
        <v>1</v>
      </c>
      <c r="H851" t="s">
        <v>22</v>
      </c>
      <c r="I851" t="s">
        <v>23</v>
      </c>
      <c r="J851">
        <v>72990.62</v>
      </c>
      <c r="K851" t="s">
        <v>23</v>
      </c>
      <c r="L851">
        <v>0.11238798249239119</v>
      </c>
      <c r="M851" t="s">
        <v>23</v>
      </c>
      <c r="N851">
        <v>0</v>
      </c>
      <c r="O851">
        <v>0</v>
      </c>
      <c r="P851" t="s">
        <v>34</v>
      </c>
      <c r="Q851" t="s">
        <v>36</v>
      </c>
      <c r="R851" t="s">
        <v>47</v>
      </c>
      <c r="S851" t="s">
        <v>37</v>
      </c>
      <c r="T851" t="s">
        <v>40</v>
      </c>
      <c r="U851">
        <f t="shared" si="13"/>
        <v>1</v>
      </c>
    </row>
    <row r="852" spans="1:21" x14ac:dyDescent="0.2">
      <c r="A852">
        <v>588</v>
      </c>
      <c r="B852" t="s">
        <v>20</v>
      </c>
      <c r="C852" t="s">
        <v>21</v>
      </c>
      <c r="D852">
        <v>59</v>
      </c>
      <c r="E852">
        <v>4</v>
      </c>
      <c r="F852">
        <v>0</v>
      </c>
      <c r="G852">
        <v>2</v>
      </c>
      <c r="H852" t="s">
        <v>22</v>
      </c>
      <c r="I852" t="s">
        <v>22</v>
      </c>
      <c r="J852">
        <v>27435.41</v>
      </c>
      <c r="K852" t="s">
        <v>23</v>
      </c>
      <c r="L852">
        <v>0.2059652676039887</v>
      </c>
      <c r="M852" t="s">
        <v>23</v>
      </c>
      <c r="N852">
        <v>0</v>
      </c>
      <c r="O852">
        <v>0</v>
      </c>
      <c r="P852" t="s">
        <v>24</v>
      </c>
      <c r="Q852" t="s">
        <v>44</v>
      </c>
      <c r="R852" t="s">
        <v>29</v>
      </c>
      <c r="S852" t="s">
        <v>30</v>
      </c>
      <c r="T852" t="s">
        <v>35</v>
      </c>
      <c r="U852">
        <f t="shared" si="13"/>
        <v>1</v>
      </c>
    </row>
    <row r="853" spans="1:21" x14ac:dyDescent="0.2">
      <c r="A853">
        <v>624</v>
      </c>
      <c r="B853" t="s">
        <v>42</v>
      </c>
      <c r="C853" t="s">
        <v>32</v>
      </c>
      <c r="D853">
        <v>38</v>
      </c>
      <c r="E853">
        <v>3</v>
      </c>
      <c r="F853">
        <v>0</v>
      </c>
      <c r="G853">
        <v>2</v>
      </c>
      <c r="H853" t="s">
        <v>22</v>
      </c>
      <c r="I853" t="s">
        <v>22</v>
      </c>
      <c r="J853">
        <v>163666.85</v>
      </c>
      <c r="K853" t="s">
        <v>23</v>
      </c>
      <c r="L853">
        <v>8.9224220746639799E-2</v>
      </c>
      <c r="M853" t="s">
        <v>23</v>
      </c>
      <c r="N853">
        <v>0</v>
      </c>
      <c r="O853">
        <v>0</v>
      </c>
      <c r="P853" t="s">
        <v>34</v>
      </c>
      <c r="Q853" t="s">
        <v>33</v>
      </c>
      <c r="R853" t="s">
        <v>29</v>
      </c>
      <c r="S853" t="s">
        <v>27</v>
      </c>
      <c r="T853" t="s">
        <v>31</v>
      </c>
      <c r="U853">
        <f t="shared" si="13"/>
        <v>1</v>
      </c>
    </row>
    <row r="854" spans="1:21" x14ac:dyDescent="0.2">
      <c r="A854">
        <v>489</v>
      </c>
      <c r="B854" t="s">
        <v>42</v>
      </c>
      <c r="C854" t="s">
        <v>32</v>
      </c>
      <c r="D854">
        <v>31</v>
      </c>
      <c r="E854">
        <v>7</v>
      </c>
      <c r="F854">
        <v>139395.07999999999</v>
      </c>
      <c r="G854">
        <v>1</v>
      </c>
      <c r="H854" t="s">
        <v>23</v>
      </c>
      <c r="I854" t="s">
        <v>22</v>
      </c>
      <c r="J854">
        <v>6120.84</v>
      </c>
      <c r="K854" t="s">
        <v>23</v>
      </c>
      <c r="L854">
        <v>8.1823997228237383E-2</v>
      </c>
      <c r="M854" t="s">
        <v>23</v>
      </c>
      <c r="N854">
        <v>0</v>
      </c>
      <c r="O854">
        <v>0</v>
      </c>
      <c r="P854" t="s">
        <v>34</v>
      </c>
      <c r="Q854" t="s">
        <v>33</v>
      </c>
      <c r="R854" t="s">
        <v>26</v>
      </c>
      <c r="S854" t="s">
        <v>45</v>
      </c>
      <c r="T854" t="s">
        <v>35</v>
      </c>
      <c r="U854">
        <f t="shared" si="13"/>
        <v>1</v>
      </c>
    </row>
    <row r="855" spans="1:21" x14ac:dyDescent="0.2">
      <c r="A855">
        <v>739</v>
      </c>
      <c r="B855" t="s">
        <v>42</v>
      </c>
      <c r="C855" t="s">
        <v>21</v>
      </c>
      <c r="D855">
        <v>29</v>
      </c>
      <c r="E855">
        <v>1</v>
      </c>
      <c r="F855">
        <v>0</v>
      </c>
      <c r="G855">
        <v>2</v>
      </c>
      <c r="H855" t="s">
        <v>22</v>
      </c>
      <c r="I855" t="s">
        <v>22</v>
      </c>
      <c r="J855">
        <v>164484.78</v>
      </c>
      <c r="K855" t="s">
        <v>23</v>
      </c>
      <c r="L855">
        <v>2.7221751568493019E-2</v>
      </c>
      <c r="M855" t="s">
        <v>23</v>
      </c>
      <c r="N855">
        <v>0</v>
      </c>
      <c r="O855">
        <v>0</v>
      </c>
      <c r="P855" t="s">
        <v>34</v>
      </c>
      <c r="Q855" t="s">
        <v>36</v>
      </c>
      <c r="R855" t="s">
        <v>29</v>
      </c>
      <c r="S855" t="s">
        <v>37</v>
      </c>
      <c r="T855" t="s">
        <v>31</v>
      </c>
      <c r="U855">
        <f t="shared" si="13"/>
        <v>1</v>
      </c>
    </row>
    <row r="856" spans="1:21" x14ac:dyDescent="0.2">
      <c r="A856">
        <v>666</v>
      </c>
      <c r="B856" t="s">
        <v>42</v>
      </c>
      <c r="C856" t="s">
        <v>21</v>
      </c>
      <c r="D856">
        <v>36</v>
      </c>
      <c r="E856">
        <v>3</v>
      </c>
      <c r="F856">
        <v>0</v>
      </c>
      <c r="G856">
        <v>2</v>
      </c>
      <c r="H856" t="s">
        <v>22</v>
      </c>
      <c r="I856" t="s">
        <v>23</v>
      </c>
      <c r="J856">
        <v>35156.54</v>
      </c>
      <c r="K856" t="s">
        <v>23</v>
      </c>
      <c r="L856">
        <v>0.11611839700292</v>
      </c>
      <c r="M856" t="s">
        <v>23</v>
      </c>
      <c r="N856">
        <v>0</v>
      </c>
      <c r="O856">
        <v>0</v>
      </c>
      <c r="P856" t="s">
        <v>34</v>
      </c>
      <c r="Q856" t="s">
        <v>33</v>
      </c>
      <c r="R856" t="s">
        <v>29</v>
      </c>
      <c r="S856" t="s">
        <v>27</v>
      </c>
      <c r="T856" t="s">
        <v>35</v>
      </c>
      <c r="U856">
        <f t="shared" si="13"/>
        <v>1</v>
      </c>
    </row>
    <row r="857" spans="1:21" x14ac:dyDescent="0.2">
      <c r="A857">
        <v>633</v>
      </c>
      <c r="B857" t="s">
        <v>42</v>
      </c>
      <c r="C857" t="s">
        <v>21</v>
      </c>
      <c r="D857">
        <v>59</v>
      </c>
      <c r="E857">
        <v>2</v>
      </c>
      <c r="F857">
        <v>103996.74</v>
      </c>
      <c r="G857">
        <v>1</v>
      </c>
      <c r="H857" t="s">
        <v>22</v>
      </c>
      <c r="I857" t="s">
        <v>22</v>
      </c>
      <c r="J857">
        <v>103159.11</v>
      </c>
      <c r="K857" t="s">
        <v>23</v>
      </c>
      <c r="L857">
        <v>0.27609632175897408</v>
      </c>
      <c r="M857" t="s">
        <v>23</v>
      </c>
      <c r="N857">
        <v>0</v>
      </c>
      <c r="O857">
        <v>0</v>
      </c>
      <c r="P857" t="s">
        <v>24</v>
      </c>
      <c r="Q857" t="s">
        <v>44</v>
      </c>
      <c r="R857" t="s">
        <v>26</v>
      </c>
      <c r="S857" t="s">
        <v>27</v>
      </c>
      <c r="T857" t="s">
        <v>28</v>
      </c>
      <c r="U857">
        <f t="shared" si="13"/>
        <v>1</v>
      </c>
    </row>
    <row r="858" spans="1:21" x14ac:dyDescent="0.2">
      <c r="A858">
        <v>672</v>
      </c>
      <c r="B858" t="s">
        <v>41</v>
      </c>
      <c r="C858" t="s">
        <v>32</v>
      </c>
      <c r="D858">
        <v>23</v>
      </c>
      <c r="E858">
        <v>10</v>
      </c>
      <c r="F858">
        <v>110741.56</v>
      </c>
      <c r="G858">
        <v>1</v>
      </c>
      <c r="H858" t="s">
        <v>22</v>
      </c>
      <c r="I858" t="s">
        <v>23</v>
      </c>
      <c r="J858">
        <v>80778.5</v>
      </c>
      <c r="K858" t="s">
        <v>23</v>
      </c>
      <c r="L858">
        <v>0.20064770947017119</v>
      </c>
      <c r="M858" t="s">
        <v>23</v>
      </c>
      <c r="N858">
        <v>0</v>
      </c>
      <c r="O858">
        <v>0</v>
      </c>
      <c r="P858" t="s">
        <v>24</v>
      </c>
      <c r="Q858" t="s">
        <v>36</v>
      </c>
      <c r="R858" t="s">
        <v>26</v>
      </c>
      <c r="S858" t="s">
        <v>27</v>
      </c>
      <c r="T858" t="s">
        <v>40</v>
      </c>
      <c r="U858">
        <f t="shared" si="13"/>
        <v>1</v>
      </c>
    </row>
    <row r="859" spans="1:21" x14ac:dyDescent="0.2">
      <c r="A859">
        <v>635</v>
      </c>
      <c r="B859" t="s">
        <v>20</v>
      </c>
      <c r="C859" t="s">
        <v>32</v>
      </c>
      <c r="D859">
        <v>32</v>
      </c>
      <c r="E859">
        <v>8</v>
      </c>
      <c r="F859">
        <v>0</v>
      </c>
      <c r="G859">
        <v>2</v>
      </c>
      <c r="H859" t="s">
        <v>22</v>
      </c>
      <c r="I859" t="s">
        <v>22</v>
      </c>
      <c r="J859">
        <v>19367.98</v>
      </c>
      <c r="K859" t="s">
        <v>22</v>
      </c>
      <c r="L859">
        <v>5.1369974593701198E-2</v>
      </c>
      <c r="M859" t="s">
        <v>23</v>
      </c>
      <c r="N859">
        <v>1</v>
      </c>
      <c r="O859">
        <v>0</v>
      </c>
      <c r="P859" t="s">
        <v>34</v>
      </c>
      <c r="Q859" t="s">
        <v>33</v>
      </c>
      <c r="R859" t="s">
        <v>29</v>
      </c>
      <c r="S859" t="s">
        <v>27</v>
      </c>
      <c r="T859" t="s">
        <v>35</v>
      </c>
      <c r="U859">
        <f t="shared" si="13"/>
        <v>0</v>
      </c>
    </row>
    <row r="860" spans="1:21" x14ac:dyDescent="0.2">
      <c r="A860">
        <v>641</v>
      </c>
      <c r="B860" t="s">
        <v>42</v>
      </c>
      <c r="C860" t="s">
        <v>21</v>
      </c>
      <c r="D860">
        <v>41</v>
      </c>
      <c r="E860">
        <v>6</v>
      </c>
      <c r="F860">
        <v>0</v>
      </c>
      <c r="G860">
        <v>2</v>
      </c>
      <c r="H860" t="s">
        <v>22</v>
      </c>
      <c r="I860" t="s">
        <v>23</v>
      </c>
      <c r="J860">
        <v>65396.79</v>
      </c>
      <c r="K860" t="s">
        <v>23</v>
      </c>
      <c r="L860">
        <v>0.15644988682383931</v>
      </c>
      <c r="M860" t="s">
        <v>23</v>
      </c>
      <c r="N860">
        <v>0</v>
      </c>
      <c r="O860">
        <v>0</v>
      </c>
      <c r="P860" t="s">
        <v>34</v>
      </c>
      <c r="Q860" t="s">
        <v>25</v>
      </c>
      <c r="R860" t="s">
        <v>29</v>
      </c>
      <c r="S860" t="s">
        <v>27</v>
      </c>
      <c r="T860" t="s">
        <v>40</v>
      </c>
      <c r="U860">
        <f t="shared" si="13"/>
        <v>1</v>
      </c>
    </row>
    <row r="861" spans="1:21" x14ac:dyDescent="0.2">
      <c r="A861">
        <v>538</v>
      </c>
      <c r="B861" t="s">
        <v>42</v>
      </c>
      <c r="C861" t="s">
        <v>21</v>
      </c>
      <c r="D861">
        <v>31</v>
      </c>
      <c r="E861">
        <v>1</v>
      </c>
      <c r="F861">
        <v>0</v>
      </c>
      <c r="G861">
        <v>2</v>
      </c>
      <c r="H861" t="s">
        <v>22</v>
      </c>
      <c r="I861" t="s">
        <v>23</v>
      </c>
      <c r="J861">
        <v>1375.46</v>
      </c>
      <c r="K861" t="s">
        <v>23</v>
      </c>
      <c r="L861">
        <v>9.1922419540804171E-2</v>
      </c>
      <c r="M861" t="s">
        <v>23</v>
      </c>
      <c r="N861">
        <v>0</v>
      </c>
      <c r="O861">
        <v>0</v>
      </c>
      <c r="P861" t="s">
        <v>34</v>
      </c>
      <c r="Q861" t="s">
        <v>33</v>
      </c>
      <c r="R861" t="s">
        <v>29</v>
      </c>
      <c r="S861" t="s">
        <v>30</v>
      </c>
      <c r="T861" t="s">
        <v>35</v>
      </c>
      <c r="U861">
        <f t="shared" si="13"/>
        <v>1</v>
      </c>
    </row>
    <row r="862" spans="1:21" x14ac:dyDescent="0.2">
      <c r="A862">
        <v>646</v>
      </c>
      <c r="B862" t="s">
        <v>41</v>
      </c>
      <c r="C862" t="s">
        <v>32</v>
      </c>
      <c r="D862">
        <v>29</v>
      </c>
      <c r="E862">
        <v>4</v>
      </c>
      <c r="F862">
        <v>105957.44</v>
      </c>
      <c r="G862">
        <v>1</v>
      </c>
      <c r="H862" t="s">
        <v>22</v>
      </c>
      <c r="I862" t="s">
        <v>23</v>
      </c>
      <c r="J862">
        <v>15470.91</v>
      </c>
      <c r="K862" t="s">
        <v>23</v>
      </c>
      <c r="L862">
        <v>0.29932741589968309</v>
      </c>
      <c r="M862" t="s">
        <v>23</v>
      </c>
      <c r="N862">
        <v>0</v>
      </c>
      <c r="O862">
        <v>0</v>
      </c>
      <c r="P862" t="s">
        <v>24</v>
      </c>
      <c r="Q862" t="s">
        <v>36</v>
      </c>
      <c r="R862" t="s">
        <v>26</v>
      </c>
      <c r="S862" t="s">
        <v>27</v>
      </c>
      <c r="T862" t="s">
        <v>35</v>
      </c>
      <c r="U862">
        <f t="shared" si="13"/>
        <v>1</v>
      </c>
    </row>
    <row r="863" spans="1:21" x14ac:dyDescent="0.2">
      <c r="A863">
        <v>679</v>
      </c>
      <c r="B863" t="s">
        <v>41</v>
      </c>
      <c r="C863" t="s">
        <v>21</v>
      </c>
      <c r="D863">
        <v>52</v>
      </c>
      <c r="E863">
        <v>9</v>
      </c>
      <c r="F863">
        <v>135870.01</v>
      </c>
      <c r="G863">
        <v>2</v>
      </c>
      <c r="H863" t="s">
        <v>23</v>
      </c>
      <c r="I863" t="s">
        <v>23</v>
      </c>
      <c r="J863">
        <v>54038.62</v>
      </c>
      <c r="K863" t="s">
        <v>23</v>
      </c>
      <c r="L863">
        <v>0.55225558118165619</v>
      </c>
      <c r="M863" t="s">
        <v>22</v>
      </c>
      <c r="N863">
        <v>0</v>
      </c>
      <c r="O863">
        <v>1</v>
      </c>
      <c r="P863" t="s">
        <v>43</v>
      </c>
      <c r="Q863" t="s">
        <v>44</v>
      </c>
      <c r="R863" t="s">
        <v>26</v>
      </c>
      <c r="S863" t="s">
        <v>27</v>
      </c>
      <c r="T863" t="s">
        <v>40</v>
      </c>
      <c r="U863">
        <f t="shared" si="13"/>
        <v>0</v>
      </c>
    </row>
    <row r="864" spans="1:21" x14ac:dyDescent="0.2">
      <c r="A864">
        <v>598</v>
      </c>
      <c r="B864" t="s">
        <v>42</v>
      </c>
      <c r="C864" t="s">
        <v>21</v>
      </c>
      <c r="D864">
        <v>47</v>
      </c>
      <c r="E864">
        <v>2</v>
      </c>
      <c r="F864">
        <v>0</v>
      </c>
      <c r="G864">
        <v>2</v>
      </c>
      <c r="H864" t="s">
        <v>22</v>
      </c>
      <c r="I864" t="s">
        <v>22</v>
      </c>
      <c r="J864">
        <v>186116.54</v>
      </c>
      <c r="K864" t="s">
        <v>23</v>
      </c>
      <c r="L864">
        <v>0.10392722031028891</v>
      </c>
      <c r="M864" t="s">
        <v>23</v>
      </c>
      <c r="N864">
        <v>0</v>
      </c>
      <c r="O864">
        <v>0</v>
      </c>
      <c r="P864" t="s">
        <v>34</v>
      </c>
      <c r="Q864" t="s">
        <v>25</v>
      </c>
      <c r="R864" t="s">
        <v>29</v>
      </c>
      <c r="S864" t="s">
        <v>30</v>
      </c>
      <c r="T864" t="s">
        <v>31</v>
      </c>
      <c r="U864">
        <f t="shared" si="13"/>
        <v>1</v>
      </c>
    </row>
    <row r="865" spans="1:21" x14ac:dyDescent="0.2">
      <c r="A865">
        <v>655</v>
      </c>
      <c r="B865" t="s">
        <v>42</v>
      </c>
      <c r="C865" t="s">
        <v>32</v>
      </c>
      <c r="D865">
        <v>45</v>
      </c>
      <c r="E865">
        <v>0</v>
      </c>
      <c r="F865">
        <v>0</v>
      </c>
      <c r="G865">
        <v>2</v>
      </c>
      <c r="H865" t="s">
        <v>22</v>
      </c>
      <c r="I865" t="s">
        <v>23</v>
      </c>
      <c r="J865">
        <v>166830.71</v>
      </c>
      <c r="K865" t="s">
        <v>23</v>
      </c>
      <c r="L865">
        <v>0.33723187209290711</v>
      </c>
      <c r="M865" t="s">
        <v>23</v>
      </c>
      <c r="N865">
        <v>0</v>
      </c>
      <c r="O865">
        <v>0</v>
      </c>
      <c r="P865" t="s">
        <v>24</v>
      </c>
      <c r="Q865" t="s">
        <v>25</v>
      </c>
      <c r="R865" t="s">
        <v>29</v>
      </c>
      <c r="S865" t="s">
        <v>27</v>
      </c>
      <c r="T865" t="s">
        <v>31</v>
      </c>
      <c r="U865">
        <f t="shared" si="13"/>
        <v>1</v>
      </c>
    </row>
    <row r="866" spans="1:21" x14ac:dyDescent="0.2">
      <c r="A866">
        <v>645</v>
      </c>
      <c r="B866" t="s">
        <v>42</v>
      </c>
      <c r="C866" t="s">
        <v>32</v>
      </c>
      <c r="D866">
        <v>37</v>
      </c>
      <c r="E866">
        <v>1</v>
      </c>
      <c r="F866">
        <v>0</v>
      </c>
      <c r="G866">
        <v>2</v>
      </c>
      <c r="H866" t="s">
        <v>22</v>
      </c>
      <c r="I866" t="s">
        <v>22</v>
      </c>
      <c r="J866">
        <v>68987.55</v>
      </c>
      <c r="K866" t="s">
        <v>23</v>
      </c>
      <c r="L866">
        <v>8.1280752839433812E-2</v>
      </c>
      <c r="M866" t="s">
        <v>23</v>
      </c>
      <c r="N866">
        <v>0</v>
      </c>
      <c r="O866">
        <v>0</v>
      </c>
      <c r="P866" t="s">
        <v>34</v>
      </c>
      <c r="Q866" t="s">
        <v>33</v>
      </c>
      <c r="R866" t="s">
        <v>29</v>
      </c>
      <c r="S866" t="s">
        <v>27</v>
      </c>
      <c r="T866" t="s">
        <v>40</v>
      </c>
      <c r="U866">
        <f t="shared" si="13"/>
        <v>1</v>
      </c>
    </row>
    <row r="867" spans="1:21" x14ac:dyDescent="0.2">
      <c r="A867">
        <v>590</v>
      </c>
      <c r="B867" t="s">
        <v>42</v>
      </c>
      <c r="C867" t="s">
        <v>32</v>
      </c>
      <c r="D867">
        <v>32</v>
      </c>
      <c r="E867">
        <v>0</v>
      </c>
      <c r="F867">
        <v>127763.24</v>
      </c>
      <c r="G867">
        <v>1</v>
      </c>
      <c r="H867" t="s">
        <v>22</v>
      </c>
      <c r="I867" t="s">
        <v>23</v>
      </c>
      <c r="J867">
        <v>100717.54</v>
      </c>
      <c r="K867" t="s">
        <v>23</v>
      </c>
      <c r="L867">
        <v>0.2324004514573238</v>
      </c>
      <c r="M867" t="s">
        <v>23</v>
      </c>
      <c r="N867">
        <v>0</v>
      </c>
      <c r="O867">
        <v>0</v>
      </c>
      <c r="P867" t="s">
        <v>24</v>
      </c>
      <c r="Q867" t="s">
        <v>33</v>
      </c>
      <c r="R867" t="s">
        <v>26</v>
      </c>
      <c r="S867" t="s">
        <v>30</v>
      </c>
      <c r="T867" t="s">
        <v>28</v>
      </c>
      <c r="U867">
        <f t="shared" si="13"/>
        <v>1</v>
      </c>
    </row>
    <row r="868" spans="1:21" x14ac:dyDescent="0.2">
      <c r="A868">
        <v>512</v>
      </c>
      <c r="B868" t="s">
        <v>42</v>
      </c>
      <c r="C868" t="s">
        <v>32</v>
      </c>
      <c r="D868">
        <v>75</v>
      </c>
      <c r="E868">
        <v>2</v>
      </c>
      <c r="F868">
        <v>0</v>
      </c>
      <c r="G868">
        <v>1</v>
      </c>
      <c r="H868" t="s">
        <v>22</v>
      </c>
      <c r="I868" t="s">
        <v>23</v>
      </c>
      <c r="J868">
        <v>123304.62</v>
      </c>
      <c r="K868" t="s">
        <v>23</v>
      </c>
      <c r="L868">
        <v>0.84327836693501967</v>
      </c>
      <c r="M868" t="s">
        <v>22</v>
      </c>
      <c r="N868">
        <v>0</v>
      </c>
      <c r="O868">
        <v>1</v>
      </c>
      <c r="P868" t="s">
        <v>43</v>
      </c>
      <c r="Q868" t="s">
        <v>46</v>
      </c>
      <c r="R868" t="s">
        <v>29</v>
      </c>
      <c r="S868" t="s">
        <v>30</v>
      </c>
      <c r="T868" t="s">
        <v>28</v>
      </c>
      <c r="U868">
        <f t="shared" si="13"/>
        <v>0</v>
      </c>
    </row>
    <row r="869" spans="1:21" x14ac:dyDescent="0.2">
      <c r="A869">
        <v>761</v>
      </c>
      <c r="B869" t="s">
        <v>20</v>
      </c>
      <c r="C869" t="s">
        <v>21</v>
      </c>
      <c r="D869">
        <v>37</v>
      </c>
      <c r="E869">
        <v>7</v>
      </c>
      <c r="F869">
        <v>132730.17000000001</v>
      </c>
      <c r="G869">
        <v>1</v>
      </c>
      <c r="H869" t="s">
        <v>22</v>
      </c>
      <c r="I869" t="s">
        <v>23</v>
      </c>
      <c r="J869">
        <v>199293.01</v>
      </c>
      <c r="K869" t="s">
        <v>23</v>
      </c>
      <c r="L869">
        <v>0.17905426928397011</v>
      </c>
      <c r="M869" t="s">
        <v>23</v>
      </c>
      <c r="N869">
        <v>0</v>
      </c>
      <c r="O869">
        <v>0</v>
      </c>
      <c r="P869" t="s">
        <v>34</v>
      </c>
      <c r="Q869" t="s">
        <v>33</v>
      </c>
      <c r="R869" t="s">
        <v>26</v>
      </c>
      <c r="S869" t="s">
        <v>37</v>
      </c>
      <c r="T869" t="s">
        <v>31</v>
      </c>
      <c r="U869">
        <f t="shared" si="13"/>
        <v>1</v>
      </c>
    </row>
    <row r="870" spans="1:21" x14ac:dyDescent="0.2">
      <c r="A870">
        <v>709</v>
      </c>
      <c r="B870" t="s">
        <v>42</v>
      </c>
      <c r="C870" t="s">
        <v>32</v>
      </c>
      <c r="D870">
        <v>30</v>
      </c>
      <c r="E870">
        <v>5</v>
      </c>
      <c r="F870">
        <v>0</v>
      </c>
      <c r="G870">
        <v>2</v>
      </c>
      <c r="H870" t="s">
        <v>23</v>
      </c>
      <c r="I870" t="s">
        <v>22</v>
      </c>
      <c r="J870">
        <v>161388.22</v>
      </c>
      <c r="K870" t="s">
        <v>23</v>
      </c>
      <c r="L870">
        <v>4.8219383874733429E-2</v>
      </c>
      <c r="M870" t="s">
        <v>23</v>
      </c>
      <c r="N870">
        <v>0</v>
      </c>
      <c r="O870">
        <v>0</v>
      </c>
      <c r="P870" t="s">
        <v>34</v>
      </c>
      <c r="Q870" t="s">
        <v>36</v>
      </c>
      <c r="R870" t="s">
        <v>29</v>
      </c>
      <c r="S870" t="s">
        <v>37</v>
      </c>
      <c r="T870" t="s">
        <v>31</v>
      </c>
      <c r="U870">
        <f t="shared" si="13"/>
        <v>1</v>
      </c>
    </row>
    <row r="871" spans="1:21" x14ac:dyDescent="0.2">
      <c r="A871">
        <v>597</v>
      </c>
      <c r="B871" t="s">
        <v>20</v>
      </c>
      <c r="C871" t="s">
        <v>32</v>
      </c>
      <c r="D871">
        <v>66</v>
      </c>
      <c r="E871">
        <v>3</v>
      </c>
      <c r="F871">
        <v>0</v>
      </c>
      <c r="G871">
        <v>1</v>
      </c>
      <c r="H871" t="s">
        <v>22</v>
      </c>
      <c r="I871" t="s">
        <v>22</v>
      </c>
      <c r="J871">
        <v>70532.53</v>
      </c>
      <c r="K871" t="s">
        <v>23</v>
      </c>
      <c r="L871">
        <v>0.46438164237341112</v>
      </c>
      <c r="M871" t="s">
        <v>23</v>
      </c>
      <c r="N871">
        <v>0</v>
      </c>
      <c r="O871">
        <v>0</v>
      </c>
      <c r="P871" t="s">
        <v>24</v>
      </c>
      <c r="Q871" t="s">
        <v>46</v>
      </c>
      <c r="R871" t="s">
        <v>29</v>
      </c>
      <c r="S871" t="s">
        <v>30</v>
      </c>
      <c r="T871" t="s">
        <v>40</v>
      </c>
      <c r="U871">
        <f t="shared" si="13"/>
        <v>1</v>
      </c>
    </row>
    <row r="872" spans="1:21" x14ac:dyDescent="0.2">
      <c r="A872">
        <v>634</v>
      </c>
      <c r="B872" t="s">
        <v>42</v>
      </c>
      <c r="C872" t="s">
        <v>32</v>
      </c>
      <c r="D872">
        <v>45</v>
      </c>
      <c r="E872">
        <v>2</v>
      </c>
      <c r="F872">
        <v>0</v>
      </c>
      <c r="G872">
        <v>4</v>
      </c>
      <c r="H872" t="s">
        <v>22</v>
      </c>
      <c r="I872" t="s">
        <v>23</v>
      </c>
      <c r="J872">
        <v>101039.53</v>
      </c>
      <c r="K872" t="s">
        <v>22</v>
      </c>
      <c r="L872">
        <v>0.27994759121994323</v>
      </c>
      <c r="M872" t="s">
        <v>23</v>
      </c>
      <c r="N872">
        <v>1</v>
      </c>
      <c r="O872">
        <v>0</v>
      </c>
      <c r="P872" t="s">
        <v>24</v>
      </c>
      <c r="Q872" t="s">
        <v>25</v>
      </c>
      <c r="R872" t="s">
        <v>29</v>
      </c>
      <c r="S872" t="s">
        <v>27</v>
      </c>
      <c r="T872" t="s">
        <v>28</v>
      </c>
      <c r="U872">
        <f t="shared" si="13"/>
        <v>0</v>
      </c>
    </row>
    <row r="873" spans="1:21" x14ac:dyDescent="0.2">
      <c r="A873">
        <v>497</v>
      </c>
      <c r="B873" t="s">
        <v>41</v>
      </c>
      <c r="C873" t="s">
        <v>32</v>
      </c>
      <c r="D873">
        <v>32</v>
      </c>
      <c r="E873">
        <v>8</v>
      </c>
      <c r="F873">
        <v>111537.23</v>
      </c>
      <c r="G873">
        <v>4</v>
      </c>
      <c r="H873" t="s">
        <v>22</v>
      </c>
      <c r="I873" t="s">
        <v>22</v>
      </c>
      <c r="J873">
        <v>9497.99</v>
      </c>
      <c r="K873" t="s">
        <v>22</v>
      </c>
      <c r="L873">
        <v>0.11982405355276469</v>
      </c>
      <c r="M873" t="s">
        <v>23</v>
      </c>
      <c r="N873">
        <v>1</v>
      </c>
      <c r="O873">
        <v>0</v>
      </c>
      <c r="P873" t="s">
        <v>34</v>
      </c>
      <c r="Q873" t="s">
        <v>33</v>
      </c>
      <c r="R873" t="s">
        <v>26</v>
      </c>
      <c r="S873" t="s">
        <v>45</v>
      </c>
      <c r="T873" t="s">
        <v>35</v>
      </c>
      <c r="U873">
        <f t="shared" si="13"/>
        <v>0</v>
      </c>
    </row>
    <row r="874" spans="1:21" x14ac:dyDescent="0.2">
      <c r="A874">
        <v>656</v>
      </c>
      <c r="B874" t="s">
        <v>42</v>
      </c>
      <c r="C874" t="s">
        <v>21</v>
      </c>
      <c r="D874">
        <v>41</v>
      </c>
      <c r="E874">
        <v>2</v>
      </c>
      <c r="F874">
        <v>0</v>
      </c>
      <c r="G874">
        <v>2</v>
      </c>
      <c r="H874" t="s">
        <v>22</v>
      </c>
      <c r="I874" t="s">
        <v>23</v>
      </c>
      <c r="J874">
        <v>158973.76999999999</v>
      </c>
      <c r="K874" t="s">
        <v>23</v>
      </c>
      <c r="L874">
        <v>0.17310726291873069</v>
      </c>
      <c r="M874" t="s">
        <v>23</v>
      </c>
      <c r="N874">
        <v>0</v>
      </c>
      <c r="O874">
        <v>0</v>
      </c>
      <c r="P874" t="s">
        <v>34</v>
      </c>
      <c r="Q874" t="s">
        <v>25</v>
      </c>
      <c r="R874" t="s">
        <v>29</v>
      </c>
      <c r="S874" t="s">
        <v>27</v>
      </c>
      <c r="T874" t="s">
        <v>31</v>
      </c>
      <c r="U874">
        <f t="shared" si="13"/>
        <v>1</v>
      </c>
    </row>
    <row r="875" spans="1:21" x14ac:dyDescent="0.2">
      <c r="A875">
        <v>710</v>
      </c>
      <c r="B875" t="s">
        <v>20</v>
      </c>
      <c r="C875" t="s">
        <v>32</v>
      </c>
      <c r="D875">
        <v>31</v>
      </c>
      <c r="E875">
        <v>5</v>
      </c>
      <c r="F875">
        <v>0</v>
      </c>
      <c r="G875">
        <v>2</v>
      </c>
      <c r="H875" t="s">
        <v>22</v>
      </c>
      <c r="I875" t="s">
        <v>23</v>
      </c>
      <c r="J875">
        <v>9561.73</v>
      </c>
      <c r="K875" t="s">
        <v>23</v>
      </c>
      <c r="L875">
        <v>0.13031923530392919</v>
      </c>
      <c r="M875" t="s">
        <v>23</v>
      </c>
      <c r="N875">
        <v>0</v>
      </c>
      <c r="O875">
        <v>0</v>
      </c>
      <c r="P875" t="s">
        <v>34</v>
      </c>
      <c r="Q875" t="s">
        <v>33</v>
      </c>
      <c r="R875" t="s">
        <v>29</v>
      </c>
      <c r="S875" t="s">
        <v>37</v>
      </c>
      <c r="T875" t="s">
        <v>35</v>
      </c>
      <c r="U875">
        <f t="shared" si="13"/>
        <v>1</v>
      </c>
    </row>
    <row r="876" spans="1:21" x14ac:dyDescent="0.2">
      <c r="A876">
        <v>673</v>
      </c>
      <c r="B876" t="s">
        <v>20</v>
      </c>
      <c r="C876" t="s">
        <v>21</v>
      </c>
      <c r="D876">
        <v>39</v>
      </c>
      <c r="E876">
        <v>8</v>
      </c>
      <c r="F876">
        <v>138160</v>
      </c>
      <c r="G876">
        <v>1</v>
      </c>
      <c r="H876" t="s">
        <v>22</v>
      </c>
      <c r="I876" t="s">
        <v>22</v>
      </c>
      <c r="J876">
        <v>110468.51</v>
      </c>
      <c r="K876" t="s">
        <v>23</v>
      </c>
      <c r="L876">
        <v>7.8773193937600572E-2</v>
      </c>
      <c r="M876" t="s">
        <v>23</v>
      </c>
      <c r="N876">
        <v>0</v>
      </c>
      <c r="O876">
        <v>0</v>
      </c>
      <c r="P876" t="s">
        <v>34</v>
      </c>
      <c r="Q876" t="s">
        <v>33</v>
      </c>
      <c r="R876" t="s">
        <v>26</v>
      </c>
      <c r="S876" t="s">
        <v>27</v>
      </c>
      <c r="T876" t="s">
        <v>28</v>
      </c>
      <c r="U876">
        <f t="shared" si="13"/>
        <v>1</v>
      </c>
    </row>
    <row r="877" spans="1:21" x14ac:dyDescent="0.2">
      <c r="A877">
        <v>581</v>
      </c>
      <c r="B877" t="s">
        <v>42</v>
      </c>
      <c r="C877" t="s">
        <v>21</v>
      </c>
      <c r="D877">
        <v>30</v>
      </c>
      <c r="E877">
        <v>1</v>
      </c>
      <c r="F877">
        <v>0</v>
      </c>
      <c r="G877">
        <v>2</v>
      </c>
      <c r="H877" t="s">
        <v>22</v>
      </c>
      <c r="I877" t="s">
        <v>23</v>
      </c>
      <c r="J877">
        <v>199464.08</v>
      </c>
      <c r="K877" t="s">
        <v>23</v>
      </c>
      <c r="L877">
        <v>9.2513633098732173E-2</v>
      </c>
      <c r="M877" t="s">
        <v>23</v>
      </c>
      <c r="N877">
        <v>0</v>
      </c>
      <c r="O877">
        <v>0</v>
      </c>
      <c r="P877" t="s">
        <v>34</v>
      </c>
      <c r="Q877" t="s">
        <v>36</v>
      </c>
      <c r="R877" t="s">
        <v>29</v>
      </c>
      <c r="S877" t="s">
        <v>30</v>
      </c>
      <c r="T877" t="s">
        <v>31</v>
      </c>
      <c r="U877">
        <f t="shared" si="13"/>
        <v>1</v>
      </c>
    </row>
    <row r="878" spans="1:21" x14ac:dyDescent="0.2">
      <c r="A878">
        <v>592</v>
      </c>
      <c r="B878" t="s">
        <v>42</v>
      </c>
      <c r="C878" t="s">
        <v>21</v>
      </c>
      <c r="D878">
        <v>39</v>
      </c>
      <c r="E878">
        <v>7</v>
      </c>
      <c r="F878">
        <v>0</v>
      </c>
      <c r="G878">
        <v>2</v>
      </c>
      <c r="H878" t="s">
        <v>22</v>
      </c>
      <c r="I878" t="s">
        <v>23</v>
      </c>
      <c r="J878">
        <v>83084.33</v>
      </c>
      <c r="K878" t="s">
        <v>23</v>
      </c>
      <c r="L878">
        <v>0.1407786384899187</v>
      </c>
      <c r="M878" t="s">
        <v>23</v>
      </c>
      <c r="N878">
        <v>0</v>
      </c>
      <c r="O878">
        <v>0</v>
      </c>
      <c r="P878" t="s">
        <v>34</v>
      </c>
      <c r="Q878" t="s">
        <v>33</v>
      </c>
      <c r="R878" t="s">
        <v>29</v>
      </c>
      <c r="S878" t="s">
        <v>30</v>
      </c>
      <c r="T878" t="s">
        <v>40</v>
      </c>
      <c r="U878">
        <f t="shared" si="13"/>
        <v>1</v>
      </c>
    </row>
    <row r="879" spans="1:21" x14ac:dyDescent="0.2">
      <c r="A879">
        <v>669</v>
      </c>
      <c r="B879" t="s">
        <v>41</v>
      </c>
      <c r="C879" t="s">
        <v>32</v>
      </c>
      <c r="D879">
        <v>30</v>
      </c>
      <c r="E879">
        <v>7</v>
      </c>
      <c r="F879">
        <v>139872.81</v>
      </c>
      <c r="G879">
        <v>1</v>
      </c>
      <c r="H879" t="s">
        <v>22</v>
      </c>
      <c r="I879" t="s">
        <v>23</v>
      </c>
      <c r="J879">
        <v>188795.85</v>
      </c>
      <c r="K879" t="s">
        <v>23</v>
      </c>
      <c r="L879">
        <v>0.3391859584225318</v>
      </c>
      <c r="M879" t="s">
        <v>23</v>
      </c>
      <c r="N879">
        <v>0</v>
      </c>
      <c r="O879">
        <v>0</v>
      </c>
      <c r="P879" t="s">
        <v>24</v>
      </c>
      <c r="Q879" t="s">
        <v>36</v>
      </c>
      <c r="R879" t="s">
        <v>26</v>
      </c>
      <c r="S879" t="s">
        <v>27</v>
      </c>
      <c r="T879" t="s">
        <v>31</v>
      </c>
      <c r="U879">
        <f t="shared" si="13"/>
        <v>1</v>
      </c>
    </row>
    <row r="880" spans="1:21" x14ac:dyDescent="0.2">
      <c r="A880">
        <v>624</v>
      </c>
      <c r="B880" t="s">
        <v>20</v>
      </c>
      <c r="C880" t="s">
        <v>32</v>
      </c>
      <c r="D880">
        <v>38</v>
      </c>
      <c r="E880">
        <v>8</v>
      </c>
      <c r="F880">
        <v>0</v>
      </c>
      <c r="G880">
        <v>2</v>
      </c>
      <c r="H880" t="s">
        <v>22</v>
      </c>
      <c r="I880" t="s">
        <v>23</v>
      </c>
      <c r="J880">
        <v>95403.41</v>
      </c>
      <c r="K880" t="s">
        <v>23</v>
      </c>
      <c r="L880">
        <v>0.2088313507876903</v>
      </c>
      <c r="M880" t="s">
        <v>23</v>
      </c>
      <c r="N880">
        <v>0</v>
      </c>
      <c r="O880">
        <v>0</v>
      </c>
      <c r="P880" t="s">
        <v>24</v>
      </c>
      <c r="Q880" t="s">
        <v>33</v>
      </c>
      <c r="R880" t="s">
        <v>29</v>
      </c>
      <c r="S880" t="s">
        <v>27</v>
      </c>
      <c r="T880" t="s">
        <v>40</v>
      </c>
      <c r="U880">
        <f t="shared" si="13"/>
        <v>1</v>
      </c>
    </row>
    <row r="881" spans="1:21" x14ac:dyDescent="0.2">
      <c r="A881">
        <v>602</v>
      </c>
      <c r="B881" t="s">
        <v>42</v>
      </c>
      <c r="C881" t="s">
        <v>32</v>
      </c>
      <c r="D881">
        <v>25</v>
      </c>
      <c r="E881">
        <v>0</v>
      </c>
      <c r="F881">
        <v>0</v>
      </c>
      <c r="G881">
        <v>2</v>
      </c>
      <c r="H881" t="s">
        <v>22</v>
      </c>
      <c r="I881" t="s">
        <v>22</v>
      </c>
      <c r="J881">
        <v>101274.17</v>
      </c>
      <c r="K881" t="s">
        <v>23</v>
      </c>
      <c r="L881">
        <v>3.7493702959236437E-2</v>
      </c>
      <c r="M881" t="s">
        <v>23</v>
      </c>
      <c r="N881">
        <v>0</v>
      </c>
      <c r="O881">
        <v>0</v>
      </c>
      <c r="P881" t="s">
        <v>34</v>
      </c>
      <c r="Q881" t="s">
        <v>36</v>
      </c>
      <c r="R881" t="s">
        <v>29</v>
      </c>
      <c r="S881" t="s">
        <v>27</v>
      </c>
      <c r="T881" t="s">
        <v>28</v>
      </c>
      <c r="U881">
        <f t="shared" si="13"/>
        <v>1</v>
      </c>
    </row>
    <row r="882" spans="1:21" x14ac:dyDescent="0.2">
      <c r="A882">
        <v>834</v>
      </c>
      <c r="B882" t="s">
        <v>42</v>
      </c>
      <c r="C882" t="s">
        <v>21</v>
      </c>
      <c r="D882">
        <v>36</v>
      </c>
      <c r="E882">
        <v>8</v>
      </c>
      <c r="F882">
        <v>142882.49</v>
      </c>
      <c r="G882">
        <v>1</v>
      </c>
      <c r="H882" t="s">
        <v>22</v>
      </c>
      <c r="I882" t="s">
        <v>23</v>
      </c>
      <c r="J882">
        <v>89983.02</v>
      </c>
      <c r="K882" t="s">
        <v>22</v>
      </c>
      <c r="L882">
        <v>0.1492677218601145</v>
      </c>
      <c r="M882" t="s">
        <v>23</v>
      </c>
      <c r="N882">
        <v>1</v>
      </c>
      <c r="O882">
        <v>0</v>
      </c>
      <c r="P882" t="s">
        <v>34</v>
      </c>
      <c r="Q882" t="s">
        <v>33</v>
      </c>
      <c r="R882" t="s">
        <v>26</v>
      </c>
      <c r="S882" t="s">
        <v>39</v>
      </c>
      <c r="T882" t="s">
        <v>40</v>
      </c>
      <c r="U882">
        <f t="shared" si="13"/>
        <v>0</v>
      </c>
    </row>
    <row r="883" spans="1:21" x14ac:dyDescent="0.2">
      <c r="A883">
        <v>633</v>
      </c>
      <c r="B883" t="s">
        <v>42</v>
      </c>
      <c r="C883" t="s">
        <v>32</v>
      </c>
      <c r="D883">
        <v>44</v>
      </c>
      <c r="E883">
        <v>7</v>
      </c>
      <c r="F883">
        <v>0</v>
      </c>
      <c r="G883">
        <v>2</v>
      </c>
      <c r="H883" t="s">
        <v>22</v>
      </c>
      <c r="I883" t="s">
        <v>23</v>
      </c>
      <c r="J883">
        <v>29761.29</v>
      </c>
      <c r="K883" t="s">
        <v>23</v>
      </c>
      <c r="L883">
        <v>0.27896176504899722</v>
      </c>
      <c r="M883" t="s">
        <v>23</v>
      </c>
      <c r="N883">
        <v>0</v>
      </c>
      <c r="O883">
        <v>0</v>
      </c>
      <c r="P883" t="s">
        <v>24</v>
      </c>
      <c r="Q883" t="s">
        <v>25</v>
      </c>
      <c r="R883" t="s">
        <v>29</v>
      </c>
      <c r="S883" t="s">
        <v>27</v>
      </c>
      <c r="T883" t="s">
        <v>35</v>
      </c>
      <c r="U883">
        <f t="shared" si="13"/>
        <v>1</v>
      </c>
    </row>
    <row r="884" spans="1:21" x14ac:dyDescent="0.2">
      <c r="A884">
        <v>743</v>
      </c>
      <c r="B884" t="s">
        <v>41</v>
      </c>
      <c r="C884" t="s">
        <v>21</v>
      </c>
      <c r="D884">
        <v>65</v>
      </c>
      <c r="E884">
        <v>2</v>
      </c>
      <c r="F884">
        <v>131935.51</v>
      </c>
      <c r="G884">
        <v>1</v>
      </c>
      <c r="H884" t="s">
        <v>22</v>
      </c>
      <c r="I884" t="s">
        <v>22</v>
      </c>
      <c r="J884">
        <v>96399.67</v>
      </c>
      <c r="K884" t="s">
        <v>22</v>
      </c>
      <c r="L884">
        <v>0.56486673959757605</v>
      </c>
      <c r="M884" t="s">
        <v>22</v>
      </c>
      <c r="N884">
        <v>1</v>
      </c>
      <c r="O884">
        <v>1</v>
      </c>
      <c r="P884" t="s">
        <v>43</v>
      </c>
      <c r="Q884" t="s">
        <v>46</v>
      </c>
      <c r="R884" t="s">
        <v>26</v>
      </c>
      <c r="S884" t="s">
        <v>37</v>
      </c>
      <c r="T884" t="s">
        <v>40</v>
      </c>
      <c r="U884">
        <f t="shared" si="13"/>
        <v>1</v>
      </c>
    </row>
    <row r="885" spans="1:21" x14ac:dyDescent="0.2">
      <c r="A885">
        <v>567</v>
      </c>
      <c r="B885" t="s">
        <v>42</v>
      </c>
      <c r="C885" t="s">
        <v>21</v>
      </c>
      <c r="D885">
        <v>38</v>
      </c>
      <c r="E885">
        <v>6</v>
      </c>
      <c r="F885">
        <v>127678.8</v>
      </c>
      <c r="G885">
        <v>2</v>
      </c>
      <c r="H885" t="s">
        <v>23</v>
      </c>
      <c r="I885" t="s">
        <v>23</v>
      </c>
      <c r="J885">
        <v>45422.89</v>
      </c>
      <c r="K885" t="s">
        <v>23</v>
      </c>
      <c r="L885">
        <v>0.1818779968358499</v>
      </c>
      <c r="M885" t="s">
        <v>23</v>
      </c>
      <c r="N885">
        <v>0</v>
      </c>
      <c r="O885">
        <v>0</v>
      </c>
      <c r="P885" t="s">
        <v>34</v>
      </c>
      <c r="Q885" t="s">
        <v>33</v>
      </c>
      <c r="R885" t="s">
        <v>26</v>
      </c>
      <c r="S885" t="s">
        <v>30</v>
      </c>
      <c r="T885" t="s">
        <v>35</v>
      </c>
      <c r="U885">
        <f t="shared" si="13"/>
        <v>1</v>
      </c>
    </row>
    <row r="886" spans="1:21" x14ac:dyDescent="0.2">
      <c r="A886">
        <v>706</v>
      </c>
      <c r="B886" t="s">
        <v>41</v>
      </c>
      <c r="C886" t="s">
        <v>32</v>
      </c>
      <c r="D886">
        <v>46</v>
      </c>
      <c r="E886">
        <v>4</v>
      </c>
      <c r="F886">
        <v>105214.58</v>
      </c>
      <c r="G886">
        <v>1</v>
      </c>
      <c r="H886" t="s">
        <v>22</v>
      </c>
      <c r="I886" t="s">
        <v>23</v>
      </c>
      <c r="J886">
        <v>108699.59</v>
      </c>
      <c r="K886" t="s">
        <v>22</v>
      </c>
      <c r="L886">
        <v>0.60254357643754108</v>
      </c>
      <c r="M886" t="s">
        <v>22</v>
      </c>
      <c r="N886">
        <v>1</v>
      </c>
      <c r="O886">
        <v>1</v>
      </c>
      <c r="P886" t="s">
        <v>43</v>
      </c>
      <c r="Q886" t="s">
        <v>25</v>
      </c>
      <c r="R886" t="s">
        <v>26</v>
      </c>
      <c r="S886" t="s">
        <v>37</v>
      </c>
      <c r="T886" t="s">
        <v>28</v>
      </c>
      <c r="U886">
        <f t="shared" si="13"/>
        <v>1</v>
      </c>
    </row>
    <row r="887" spans="1:21" x14ac:dyDescent="0.2">
      <c r="A887">
        <v>641</v>
      </c>
      <c r="B887" t="s">
        <v>42</v>
      </c>
      <c r="C887" t="s">
        <v>32</v>
      </c>
      <c r="D887">
        <v>38</v>
      </c>
      <c r="E887">
        <v>3</v>
      </c>
      <c r="F887">
        <v>0</v>
      </c>
      <c r="G887">
        <v>2</v>
      </c>
      <c r="H887" t="s">
        <v>22</v>
      </c>
      <c r="I887" t="s">
        <v>23</v>
      </c>
      <c r="J887">
        <v>116466.19</v>
      </c>
      <c r="K887" t="s">
        <v>23</v>
      </c>
      <c r="L887">
        <v>0.219008333570097</v>
      </c>
      <c r="M887" t="s">
        <v>23</v>
      </c>
      <c r="N887">
        <v>0</v>
      </c>
      <c r="O887">
        <v>0</v>
      </c>
      <c r="P887" t="s">
        <v>24</v>
      </c>
      <c r="Q887" t="s">
        <v>33</v>
      </c>
      <c r="R887" t="s">
        <v>29</v>
      </c>
      <c r="S887" t="s">
        <v>27</v>
      </c>
      <c r="T887" t="s">
        <v>28</v>
      </c>
      <c r="U887">
        <f t="shared" si="13"/>
        <v>1</v>
      </c>
    </row>
    <row r="888" spans="1:21" x14ac:dyDescent="0.2">
      <c r="A888">
        <v>681</v>
      </c>
      <c r="B888" t="s">
        <v>42</v>
      </c>
      <c r="C888" t="s">
        <v>21</v>
      </c>
      <c r="D888">
        <v>25</v>
      </c>
      <c r="E888">
        <v>5</v>
      </c>
      <c r="F888">
        <v>0</v>
      </c>
      <c r="G888">
        <v>1</v>
      </c>
      <c r="H888" t="s">
        <v>23</v>
      </c>
      <c r="I888" t="s">
        <v>22</v>
      </c>
      <c r="J888">
        <v>90860.97</v>
      </c>
      <c r="K888" t="s">
        <v>23</v>
      </c>
      <c r="L888">
        <v>2.15314459081027E-2</v>
      </c>
      <c r="M888" t="s">
        <v>23</v>
      </c>
      <c r="N888">
        <v>0</v>
      </c>
      <c r="O888">
        <v>0</v>
      </c>
      <c r="P888" t="s">
        <v>34</v>
      </c>
      <c r="Q888" t="s">
        <v>36</v>
      </c>
      <c r="R888" t="s">
        <v>29</v>
      </c>
      <c r="S888" t="s">
        <v>27</v>
      </c>
      <c r="T888" t="s">
        <v>40</v>
      </c>
      <c r="U888">
        <f t="shared" si="13"/>
        <v>1</v>
      </c>
    </row>
    <row r="889" spans="1:21" x14ac:dyDescent="0.2">
      <c r="A889">
        <v>850</v>
      </c>
      <c r="B889" t="s">
        <v>41</v>
      </c>
      <c r="C889" t="s">
        <v>21</v>
      </c>
      <c r="D889">
        <v>42</v>
      </c>
      <c r="E889">
        <v>8</v>
      </c>
      <c r="F889">
        <v>119839.69</v>
      </c>
      <c r="G889">
        <v>1</v>
      </c>
      <c r="H889" t="s">
        <v>23</v>
      </c>
      <c r="I889" t="s">
        <v>22</v>
      </c>
      <c r="J889">
        <v>51016.02</v>
      </c>
      <c r="K889" t="s">
        <v>22</v>
      </c>
      <c r="L889">
        <v>0.15999882257900011</v>
      </c>
      <c r="M889" t="s">
        <v>23</v>
      </c>
      <c r="N889">
        <v>1</v>
      </c>
      <c r="O889">
        <v>0</v>
      </c>
      <c r="P889" t="s">
        <v>34</v>
      </c>
      <c r="Q889" t="s">
        <v>25</v>
      </c>
      <c r="R889" t="s">
        <v>26</v>
      </c>
      <c r="S889" t="s">
        <v>39</v>
      </c>
      <c r="T889" t="s">
        <v>40</v>
      </c>
      <c r="U889">
        <f t="shared" si="13"/>
        <v>0</v>
      </c>
    </row>
    <row r="890" spans="1:21" x14ac:dyDescent="0.2">
      <c r="A890">
        <v>730</v>
      </c>
      <c r="B890" t="s">
        <v>42</v>
      </c>
      <c r="C890" t="s">
        <v>21</v>
      </c>
      <c r="D890">
        <v>34</v>
      </c>
      <c r="E890">
        <v>1</v>
      </c>
      <c r="F890">
        <v>0</v>
      </c>
      <c r="G890">
        <v>2</v>
      </c>
      <c r="H890" t="s">
        <v>22</v>
      </c>
      <c r="I890" t="s">
        <v>22</v>
      </c>
      <c r="J890">
        <v>126592.01</v>
      </c>
      <c r="K890" t="s">
        <v>23</v>
      </c>
      <c r="L890">
        <v>3.8377771866727757E-2</v>
      </c>
      <c r="M890" t="s">
        <v>23</v>
      </c>
      <c r="N890">
        <v>0</v>
      </c>
      <c r="O890">
        <v>0</v>
      </c>
      <c r="P890" t="s">
        <v>34</v>
      </c>
      <c r="Q890" t="s">
        <v>33</v>
      </c>
      <c r="R890" t="s">
        <v>29</v>
      </c>
      <c r="S890" t="s">
        <v>37</v>
      </c>
      <c r="T890" t="s">
        <v>28</v>
      </c>
      <c r="U890">
        <f t="shared" si="13"/>
        <v>1</v>
      </c>
    </row>
    <row r="891" spans="1:21" x14ac:dyDescent="0.2">
      <c r="A891">
        <v>812</v>
      </c>
      <c r="B891" t="s">
        <v>42</v>
      </c>
      <c r="C891" t="s">
        <v>21</v>
      </c>
      <c r="D891">
        <v>24</v>
      </c>
      <c r="E891">
        <v>10</v>
      </c>
      <c r="F891">
        <v>0</v>
      </c>
      <c r="G891">
        <v>2</v>
      </c>
      <c r="H891" t="s">
        <v>22</v>
      </c>
      <c r="I891" t="s">
        <v>22</v>
      </c>
      <c r="J891">
        <v>156906.15</v>
      </c>
      <c r="K891" t="s">
        <v>23</v>
      </c>
      <c r="L891">
        <v>1.5083209120575281E-2</v>
      </c>
      <c r="M891" t="s">
        <v>23</v>
      </c>
      <c r="N891">
        <v>0</v>
      </c>
      <c r="O891">
        <v>0</v>
      </c>
      <c r="P891" t="s">
        <v>34</v>
      </c>
      <c r="Q891" t="s">
        <v>36</v>
      </c>
      <c r="R891" t="s">
        <v>29</v>
      </c>
      <c r="S891" t="s">
        <v>39</v>
      </c>
      <c r="T891" t="s">
        <v>31</v>
      </c>
      <c r="U891">
        <f t="shared" si="13"/>
        <v>1</v>
      </c>
    </row>
    <row r="892" spans="1:21" x14ac:dyDescent="0.2">
      <c r="A892">
        <v>605</v>
      </c>
      <c r="B892" t="s">
        <v>42</v>
      </c>
      <c r="C892" t="s">
        <v>21</v>
      </c>
      <c r="D892">
        <v>39</v>
      </c>
      <c r="E892">
        <v>7</v>
      </c>
      <c r="F892">
        <v>0</v>
      </c>
      <c r="G892">
        <v>1</v>
      </c>
      <c r="H892" t="s">
        <v>23</v>
      </c>
      <c r="I892" t="s">
        <v>22</v>
      </c>
      <c r="J892">
        <v>119348.28</v>
      </c>
      <c r="K892" t="s">
        <v>23</v>
      </c>
      <c r="L892">
        <v>5.9996852230691892E-2</v>
      </c>
      <c r="M892" t="s">
        <v>23</v>
      </c>
      <c r="N892">
        <v>0</v>
      </c>
      <c r="O892">
        <v>0</v>
      </c>
      <c r="P892" t="s">
        <v>34</v>
      </c>
      <c r="Q892" t="s">
        <v>33</v>
      </c>
      <c r="R892" t="s">
        <v>29</v>
      </c>
      <c r="S892" t="s">
        <v>27</v>
      </c>
      <c r="T892" t="s">
        <v>28</v>
      </c>
      <c r="U892">
        <f t="shared" si="13"/>
        <v>1</v>
      </c>
    </row>
    <row r="893" spans="1:21" x14ac:dyDescent="0.2">
      <c r="A893">
        <v>650</v>
      </c>
      <c r="B893" t="s">
        <v>20</v>
      </c>
      <c r="C893" t="s">
        <v>21</v>
      </c>
      <c r="D893">
        <v>32</v>
      </c>
      <c r="E893">
        <v>1</v>
      </c>
      <c r="F893">
        <v>132187.73000000001</v>
      </c>
      <c r="G893">
        <v>2</v>
      </c>
      <c r="H893" t="s">
        <v>22</v>
      </c>
      <c r="I893" t="s">
        <v>22</v>
      </c>
      <c r="J893">
        <v>178331.36</v>
      </c>
      <c r="K893" t="s">
        <v>23</v>
      </c>
      <c r="L893">
        <v>5.1967509239945447E-2</v>
      </c>
      <c r="M893" t="s">
        <v>23</v>
      </c>
      <c r="N893">
        <v>0</v>
      </c>
      <c r="O893">
        <v>0</v>
      </c>
      <c r="P893" t="s">
        <v>34</v>
      </c>
      <c r="Q893" t="s">
        <v>33</v>
      </c>
      <c r="R893" t="s">
        <v>26</v>
      </c>
      <c r="S893" t="s">
        <v>27</v>
      </c>
      <c r="T893" t="s">
        <v>31</v>
      </c>
      <c r="U893">
        <f t="shared" si="13"/>
        <v>1</v>
      </c>
    </row>
    <row r="894" spans="1:21" x14ac:dyDescent="0.2">
      <c r="A894">
        <v>850</v>
      </c>
      <c r="B894" t="s">
        <v>41</v>
      </c>
      <c r="C894" t="s">
        <v>21</v>
      </c>
      <c r="D894">
        <v>49</v>
      </c>
      <c r="E894">
        <v>8</v>
      </c>
      <c r="F894">
        <v>98649.55</v>
      </c>
      <c r="G894">
        <v>1</v>
      </c>
      <c r="H894" t="s">
        <v>22</v>
      </c>
      <c r="I894" t="s">
        <v>23</v>
      </c>
      <c r="J894">
        <v>119174.88</v>
      </c>
      <c r="K894" t="s">
        <v>22</v>
      </c>
      <c r="L894">
        <v>0.47516560618353459</v>
      </c>
      <c r="M894" t="s">
        <v>23</v>
      </c>
      <c r="N894">
        <v>1</v>
      </c>
      <c r="O894">
        <v>0</v>
      </c>
      <c r="P894" t="s">
        <v>24</v>
      </c>
      <c r="Q894" t="s">
        <v>25</v>
      </c>
      <c r="R894" t="s">
        <v>38</v>
      </c>
      <c r="S894" t="s">
        <v>39</v>
      </c>
      <c r="T894" t="s">
        <v>28</v>
      </c>
      <c r="U894">
        <f t="shared" si="13"/>
        <v>0</v>
      </c>
    </row>
    <row r="895" spans="1:21" x14ac:dyDescent="0.2">
      <c r="A895">
        <v>753</v>
      </c>
      <c r="B895" t="s">
        <v>42</v>
      </c>
      <c r="C895" t="s">
        <v>32</v>
      </c>
      <c r="D895">
        <v>43</v>
      </c>
      <c r="E895">
        <v>5</v>
      </c>
      <c r="F895">
        <v>0</v>
      </c>
      <c r="G895">
        <v>2</v>
      </c>
      <c r="H895" t="s">
        <v>22</v>
      </c>
      <c r="I895" t="s">
        <v>23</v>
      </c>
      <c r="J895">
        <v>109881.71</v>
      </c>
      <c r="K895" t="s">
        <v>23</v>
      </c>
      <c r="L895">
        <v>0.26458179076039379</v>
      </c>
      <c r="M895" t="s">
        <v>23</v>
      </c>
      <c r="N895">
        <v>0</v>
      </c>
      <c r="O895">
        <v>0</v>
      </c>
      <c r="P895" t="s">
        <v>24</v>
      </c>
      <c r="Q895" t="s">
        <v>25</v>
      </c>
      <c r="R895" t="s">
        <v>29</v>
      </c>
      <c r="S895" t="s">
        <v>37</v>
      </c>
      <c r="T895" t="s">
        <v>28</v>
      </c>
      <c r="U895">
        <f t="shared" si="13"/>
        <v>1</v>
      </c>
    </row>
    <row r="896" spans="1:21" x14ac:dyDescent="0.2">
      <c r="A896">
        <v>619</v>
      </c>
      <c r="B896" t="s">
        <v>42</v>
      </c>
      <c r="C896" t="s">
        <v>32</v>
      </c>
      <c r="D896">
        <v>33</v>
      </c>
      <c r="E896">
        <v>2</v>
      </c>
      <c r="F896">
        <v>167733.51</v>
      </c>
      <c r="G896">
        <v>2</v>
      </c>
      <c r="H896" t="s">
        <v>22</v>
      </c>
      <c r="I896" t="s">
        <v>22</v>
      </c>
      <c r="J896">
        <v>65222.48</v>
      </c>
      <c r="K896" t="s">
        <v>23</v>
      </c>
      <c r="L896">
        <v>9.1937208490106045E-2</v>
      </c>
      <c r="M896" t="s">
        <v>23</v>
      </c>
      <c r="N896">
        <v>0</v>
      </c>
      <c r="O896">
        <v>0</v>
      </c>
      <c r="P896" t="s">
        <v>34</v>
      </c>
      <c r="Q896" t="s">
        <v>33</v>
      </c>
      <c r="R896" t="s">
        <v>47</v>
      </c>
      <c r="S896" t="s">
        <v>27</v>
      </c>
      <c r="T896" t="s">
        <v>40</v>
      </c>
      <c r="U896">
        <f t="shared" si="13"/>
        <v>1</v>
      </c>
    </row>
    <row r="897" spans="1:21" x14ac:dyDescent="0.2">
      <c r="A897">
        <v>619</v>
      </c>
      <c r="B897" t="s">
        <v>41</v>
      </c>
      <c r="C897" t="s">
        <v>32</v>
      </c>
      <c r="D897">
        <v>31</v>
      </c>
      <c r="E897">
        <v>2</v>
      </c>
      <c r="F897">
        <v>56116.3</v>
      </c>
      <c r="G897">
        <v>2</v>
      </c>
      <c r="H897" t="s">
        <v>23</v>
      </c>
      <c r="I897" t="s">
        <v>23</v>
      </c>
      <c r="J897">
        <v>2181.94</v>
      </c>
      <c r="K897" t="s">
        <v>23</v>
      </c>
      <c r="L897">
        <v>0.29895943058895108</v>
      </c>
      <c r="M897" t="s">
        <v>23</v>
      </c>
      <c r="N897">
        <v>0</v>
      </c>
      <c r="O897">
        <v>0</v>
      </c>
      <c r="P897" t="s">
        <v>24</v>
      </c>
      <c r="Q897" t="s">
        <v>33</v>
      </c>
      <c r="R897" t="s">
        <v>38</v>
      </c>
      <c r="S897" t="s">
        <v>27</v>
      </c>
      <c r="T897" t="s">
        <v>35</v>
      </c>
      <c r="U897">
        <f t="shared" si="13"/>
        <v>1</v>
      </c>
    </row>
    <row r="898" spans="1:21" x14ac:dyDescent="0.2">
      <c r="A898">
        <v>687</v>
      </c>
      <c r="B898" t="s">
        <v>42</v>
      </c>
      <c r="C898" t="s">
        <v>32</v>
      </c>
      <c r="D898">
        <v>44</v>
      </c>
      <c r="E898">
        <v>9</v>
      </c>
      <c r="F898">
        <v>0</v>
      </c>
      <c r="G898">
        <v>2</v>
      </c>
      <c r="H898" t="s">
        <v>23</v>
      </c>
      <c r="I898" t="s">
        <v>23</v>
      </c>
      <c r="J898">
        <v>103042.2</v>
      </c>
      <c r="K898" t="s">
        <v>22</v>
      </c>
      <c r="L898">
        <v>0.2782084129550676</v>
      </c>
      <c r="M898" t="s">
        <v>23</v>
      </c>
      <c r="N898">
        <v>1</v>
      </c>
      <c r="O898">
        <v>0</v>
      </c>
      <c r="P898" t="s">
        <v>24</v>
      </c>
      <c r="Q898" t="s">
        <v>25</v>
      </c>
      <c r="R898" t="s">
        <v>29</v>
      </c>
      <c r="S898" t="s">
        <v>27</v>
      </c>
      <c r="T898" t="s">
        <v>28</v>
      </c>
      <c r="U898">
        <f t="shared" ref="U898:U961" si="14">IF(K898=M898,1,0)</f>
        <v>0</v>
      </c>
    </row>
    <row r="899" spans="1:21" x14ac:dyDescent="0.2">
      <c r="A899">
        <v>485</v>
      </c>
      <c r="B899" t="s">
        <v>41</v>
      </c>
      <c r="C899" t="s">
        <v>21</v>
      </c>
      <c r="D899">
        <v>34</v>
      </c>
      <c r="E899">
        <v>3</v>
      </c>
      <c r="F899">
        <v>133658.23999999999</v>
      </c>
      <c r="G899">
        <v>1</v>
      </c>
      <c r="H899" t="s">
        <v>22</v>
      </c>
      <c r="I899" t="s">
        <v>23</v>
      </c>
      <c r="J899">
        <v>70209.83</v>
      </c>
      <c r="K899" t="s">
        <v>23</v>
      </c>
      <c r="L899">
        <v>0.31123794287855477</v>
      </c>
      <c r="M899" t="s">
        <v>23</v>
      </c>
      <c r="N899">
        <v>0</v>
      </c>
      <c r="O899">
        <v>0</v>
      </c>
      <c r="P899" t="s">
        <v>24</v>
      </c>
      <c r="Q899" t="s">
        <v>33</v>
      </c>
      <c r="R899" t="s">
        <v>26</v>
      </c>
      <c r="S899" t="s">
        <v>45</v>
      </c>
      <c r="T899" t="s">
        <v>40</v>
      </c>
      <c r="U899">
        <f t="shared" si="14"/>
        <v>1</v>
      </c>
    </row>
    <row r="900" spans="1:21" x14ac:dyDescent="0.2">
      <c r="A900">
        <v>446</v>
      </c>
      <c r="B900" t="s">
        <v>41</v>
      </c>
      <c r="C900" t="s">
        <v>21</v>
      </c>
      <c r="D900">
        <v>25</v>
      </c>
      <c r="E900">
        <v>3</v>
      </c>
      <c r="F900">
        <v>136202.78</v>
      </c>
      <c r="G900">
        <v>1</v>
      </c>
      <c r="H900" t="s">
        <v>22</v>
      </c>
      <c r="I900" t="s">
        <v>23</v>
      </c>
      <c r="J900">
        <v>176743.51</v>
      </c>
      <c r="K900" t="s">
        <v>23</v>
      </c>
      <c r="L900">
        <v>0.20309237280540099</v>
      </c>
      <c r="M900" t="s">
        <v>23</v>
      </c>
      <c r="N900">
        <v>0</v>
      </c>
      <c r="O900">
        <v>0</v>
      </c>
      <c r="P900" t="s">
        <v>24</v>
      </c>
      <c r="Q900" t="s">
        <v>36</v>
      </c>
      <c r="R900" t="s">
        <v>26</v>
      </c>
      <c r="S900" t="s">
        <v>45</v>
      </c>
      <c r="T900" t="s">
        <v>31</v>
      </c>
      <c r="U900">
        <f t="shared" si="14"/>
        <v>1</v>
      </c>
    </row>
    <row r="901" spans="1:21" x14ac:dyDescent="0.2">
      <c r="A901">
        <v>522</v>
      </c>
      <c r="B901" t="s">
        <v>42</v>
      </c>
      <c r="C901" t="s">
        <v>32</v>
      </c>
      <c r="D901">
        <v>34</v>
      </c>
      <c r="E901">
        <v>3</v>
      </c>
      <c r="F901">
        <v>0</v>
      </c>
      <c r="G901">
        <v>2</v>
      </c>
      <c r="H901" t="s">
        <v>22</v>
      </c>
      <c r="I901" t="s">
        <v>22</v>
      </c>
      <c r="J901">
        <v>3894.34</v>
      </c>
      <c r="K901" t="s">
        <v>23</v>
      </c>
      <c r="L901">
        <v>6.6739456819992021E-2</v>
      </c>
      <c r="M901" t="s">
        <v>23</v>
      </c>
      <c r="N901">
        <v>0</v>
      </c>
      <c r="O901">
        <v>0</v>
      </c>
      <c r="P901" t="s">
        <v>34</v>
      </c>
      <c r="Q901" t="s">
        <v>33</v>
      </c>
      <c r="R901" t="s">
        <v>29</v>
      </c>
      <c r="S901" t="s">
        <v>30</v>
      </c>
      <c r="T901" t="s">
        <v>35</v>
      </c>
      <c r="U901">
        <f t="shared" si="14"/>
        <v>1</v>
      </c>
    </row>
    <row r="902" spans="1:21" x14ac:dyDescent="0.2">
      <c r="A902">
        <v>805</v>
      </c>
      <c r="B902" t="s">
        <v>41</v>
      </c>
      <c r="C902" t="s">
        <v>32</v>
      </c>
      <c r="D902">
        <v>26</v>
      </c>
      <c r="E902">
        <v>8</v>
      </c>
      <c r="F902">
        <v>42712.87</v>
      </c>
      <c r="G902">
        <v>2</v>
      </c>
      <c r="H902" t="s">
        <v>22</v>
      </c>
      <c r="I902" t="s">
        <v>22</v>
      </c>
      <c r="J902">
        <v>28861.69</v>
      </c>
      <c r="K902" t="s">
        <v>23</v>
      </c>
      <c r="L902">
        <v>6.8394608647817615E-2</v>
      </c>
      <c r="M902" t="s">
        <v>23</v>
      </c>
      <c r="N902">
        <v>0</v>
      </c>
      <c r="O902">
        <v>0</v>
      </c>
      <c r="P902" t="s">
        <v>34</v>
      </c>
      <c r="Q902" t="s">
        <v>36</v>
      </c>
      <c r="R902" t="s">
        <v>48</v>
      </c>
      <c r="S902" t="s">
        <v>39</v>
      </c>
      <c r="T902" t="s">
        <v>35</v>
      </c>
      <c r="U902">
        <f t="shared" si="14"/>
        <v>1</v>
      </c>
    </row>
    <row r="903" spans="1:21" x14ac:dyDescent="0.2">
      <c r="A903">
        <v>689</v>
      </c>
      <c r="B903" t="s">
        <v>20</v>
      </c>
      <c r="C903" t="s">
        <v>32</v>
      </c>
      <c r="D903">
        <v>57</v>
      </c>
      <c r="E903">
        <v>4</v>
      </c>
      <c r="F903">
        <v>0</v>
      </c>
      <c r="G903">
        <v>2</v>
      </c>
      <c r="H903" t="s">
        <v>22</v>
      </c>
      <c r="I903" t="s">
        <v>23</v>
      </c>
      <c r="J903">
        <v>136649.79999999999</v>
      </c>
      <c r="K903" t="s">
        <v>22</v>
      </c>
      <c r="L903">
        <v>0.53273097859692886</v>
      </c>
      <c r="M903" t="s">
        <v>22</v>
      </c>
      <c r="N903">
        <v>1</v>
      </c>
      <c r="O903">
        <v>1</v>
      </c>
      <c r="P903" t="s">
        <v>43</v>
      </c>
      <c r="Q903" t="s">
        <v>44</v>
      </c>
      <c r="R903" t="s">
        <v>29</v>
      </c>
      <c r="S903" t="s">
        <v>27</v>
      </c>
      <c r="T903" t="s">
        <v>28</v>
      </c>
      <c r="U903">
        <f t="shared" si="14"/>
        <v>1</v>
      </c>
    </row>
    <row r="904" spans="1:21" x14ac:dyDescent="0.2">
      <c r="A904">
        <v>670</v>
      </c>
      <c r="B904" t="s">
        <v>42</v>
      </c>
      <c r="C904" t="s">
        <v>21</v>
      </c>
      <c r="D904">
        <v>33</v>
      </c>
      <c r="E904">
        <v>2</v>
      </c>
      <c r="F904">
        <v>141204.65</v>
      </c>
      <c r="G904">
        <v>2</v>
      </c>
      <c r="H904" t="s">
        <v>22</v>
      </c>
      <c r="I904" t="s">
        <v>23</v>
      </c>
      <c r="J904">
        <v>76257.460000000006</v>
      </c>
      <c r="K904" t="s">
        <v>23</v>
      </c>
      <c r="L904">
        <v>0.13637783139165999</v>
      </c>
      <c r="M904" t="s">
        <v>23</v>
      </c>
      <c r="N904">
        <v>0</v>
      </c>
      <c r="O904">
        <v>0</v>
      </c>
      <c r="P904" t="s">
        <v>34</v>
      </c>
      <c r="Q904" t="s">
        <v>33</v>
      </c>
      <c r="R904" t="s">
        <v>26</v>
      </c>
      <c r="S904" t="s">
        <v>27</v>
      </c>
      <c r="T904" t="s">
        <v>40</v>
      </c>
      <c r="U904">
        <f t="shared" si="14"/>
        <v>1</v>
      </c>
    </row>
    <row r="905" spans="1:21" x14ac:dyDescent="0.2">
      <c r="A905">
        <v>524</v>
      </c>
      <c r="B905" t="s">
        <v>41</v>
      </c>
      <c r="C905" t="s">
        <v>32</v>
      </c>
      <c r="D905">
        <v>25</v>
      </c>
      <c r="E905">
        <v>7</v>
      </c>
      <c r="F905">
        <v>131402.21</v>
      </c>
      <c r="G905">
        <v>1</v>
      </c>
      <c r="H905" t="s">
        <v>23</v>
      </c>
      <c r="I905" t="s">
        <v>23</v>
      </c>
      <c r="J905">
        <v>193668.49</v>
      </c>
      <c r="K905" t="s">
        <v>23</v>
      </c>
      <c r="L905">
        <v>0.28424194633028271</v>
      </c>
      <c r="M905" t="s">
        <v>23</v>
      </c>
      <c r="N905">
        <v>0</v>
      </c>
      <c r="O905">
        <v>0</v>
      </c>
      <c r="P905" t="s">
        <v>24</v>
      </c>
      <c r="Q905" t="s">
        <v>36</v>
      </c>
      <c r="R905" t="s">
        <v>26</v>
      </c>
      <c r="S905" t="s">
        <v>30</v>
      </c>
      <c r="T905" t="s">
        <v>31</v>
      </c>
      <c r="U905">
        <f t="shared" si="14"/>
        <v>1</v>
      </c>
    </row>
    <row r="906" spans="1:21" x14ac:dyDescent="0.2">
      <c r="A906">
        <v>578</v>
      </c>
      <c r="B906" t="s">
        <v>41</v>
      </c>
      <c r="C906" t="s">
        <v>32</v>
      </c>
      <c r="D906">
        <v>31</v>
      </c>
      <c r="E906">
        <v>5</v>
      </c>
      <c r="F906">
        <v>102088.68</v>
      </c>
      <c r="G906">
        <v>4</v>
      </c>
      <c r="H906" t="s">
        <v>23</v>
      </c>
      <c r="I906" t="s">
        <v>23</v>
      </c>
      <c r="J906">
        <v>187866.21</v>
      </c>
      <c r="K906" t="s">
        <v>22</v>
      </c>
      <c r="L906">
        <v>0.29579112340211938</v>
      </c>
      <c r="M906" t="s">
        <v>23</v>
      </c>
      <c r="N906">
        <v>1</v>
      </c>
      <c r="O906">
        <v>0</v>
      </c>
      <c r="P906" t="s">
        <v>24</v>
      </c>
      <c r="Q906" t="s">
        <v>33</v>
      </c>
      <c r="R906" t="s">
        <v>26</v>
      </c>
      <c r="S906" t="s">
        <v>30</v>
      </c>
      <c r="T906" t="s">
        <v>31</v>
      </c>
      <c r="U906">
        <f t="shared" si="14"/>
        <v>0</v>
      </c>
    </row>
    <row r="907" spans="1:21" x14ac:dyDescent="0.2">
      <c r="A907">
        <v>687</v>
      </c>
      <c r="B907" t="s">
        <v>42</v>
      </c>
      <c r="C907" t="s">
        <v>21</v>
      </c>
      <c r="D907">
        <v>48</v>
      </c>
      <c r="E907">
        <v>4</v>
      </c>
      <c r="F907">
        <v>0</v>
      </c>
      <c r="G907">
        <v>2</v>
      </c>
      <c r="H907" t="s">
        <v>22</v>
      </c>
      <c r="I907" t="s">
        <v>22</v>
      </c>
      <c r="J907">
        <v>170893.85</v>
      </c>
      <c r="K907" t="s">
        <v>23</v>
      </c>
      <c r="L907">
        <v>0.1006478508402968</v>
      </c>
      <c r="M907" t="s">
        <v>23</v>
      </c>
      <c r="N907">
        <v>0</v>
      </c>
      <c r="O907">
        <v>0</v>
      </c>
      <c r="P907" t="s">
        <v>34</v>
      </c>
      <c r="Q907" t="s">
        <v>25</v>
      </c>
      <c r="R907" t="s">
        <v>29</v>
      </c>
      <c r="S907" t="s">
        <v>27</v>
      </c>
      <c r="T907" t="s">
        <v>31</v>
      </c>
      <c r="U907">
        <f t="shared" si="14"/>
        <v>1</v>
      </c>
    </row>
    <row r="908" spans="1:21" x14ac:dyDescent="0.2">
      <c r="A908">
        <v>410</v>
      </c>
      <c r="B908" t="s">
        <v>41</v>
      </c>
      <c r="C908" t="s">
        <v>32</v>
      </c>
      <c r="D908">
        <v>50</v>
      </c>
      <c r="E908">
        <v>2</v>
      </c>
      <c r="F908">
        <v>102278.79</v>
      </c>
      <c r="G908">
        <v>2</v>
      </c>
      <c r="H908" t="s">
        <v>22</v>
      </c>
      <c r="I908" t="s">
        <v>23</v>
      </c>
      <c r="J908">
        <v>89822.48</v>
      </c>
      <c r="K908" t="s">
        <v>23</v>
      </c>
      <c r="L908">
        <v>0.6973625782998506</v>
      </c>
      <c r="M908" t="s">
        <v>22</v>
      </c>
      <c r="N908">
        <v>0</v>
      </c>
      <c r="O908">
        <v>1</v>
      </c>
      <c r="P908" t="s">
        <v>43</v>
      </c>
      <c r="Q908" t="s">
        <v>25</v>
      </c>
      <c r="R908" t="s">
        <v>26</v>
      </c>
      <c r="S908" t="s">
        <v>45</v>
      </c>
      <c r="T908" t="s">
        <v>40</v>
      </c>
      <c r="U908">
        <f t="shared" si="14"/>
        <v>0</v>
      </c>
    </row>
    <row r="909" spans="1:21" x14ac:dyDescent="0.2">
      <c r="A909">
        <v>537</v>
      </c>
      <c r="B909" t="s">
        <v>42</v>
      </c>
      <c r="C909" t="s">
        <v>32</v>
      </c>
      <c r="D909">
        <v>41</v>
      </c>
      <c r="E909">
        <v>0</v>
      </c>
      <c r="F909">
        <v>0</v>
      </c>
      <c r="G909">
        <v>2</v>
      </c>
      <c r="H909" t="s">
        <v>23</v>
      </c>
      <c r="I909" t="s">
        <v>22</v>
      </c>
      <c r="J909">
        <v>175262.49</v>
      </c>
      <c r="K909" t="s">
        <v>23</v>
      </c>
      <c r="L909">
        <v>0.1253331243786534</v>
      </c>
      <c r="M909" t="s">
        <v>23</v>
      </c>
      <c r="N909">
        <v>0</v>
      </c>
      <c r="O909">
        <v>0</v>
      </c>
      <c r="P909" t="s">
        <v>34</v>
      </c>
      <c r="Q909" t="s">
        <v>25</v>
      </c>
      <c r="R909" t="s">
        <v>29</v>
      </c>
      <c r="S909" t="s">
        <v>30</v>
      </c>
      <c r="T909" t="s">
        <v>31</v>
      </c>
      <c r="U909">
        <f t="shared" si="14"/>
        <v>1</v>
      </c>
    </row>
    <row r="910" spans="1:21" x14ac:dyDescent="0.2">
      <c r="A910">
        <v>780</v>
      </c>
      <c r="B910" t="s">
        <v>42</v>
      </c>
      <c r="C910" t="s">
        <v>32</v>
      </c>
      <c r="D910">
        <v>43</v>
      </c>
      <c r="E910">
        <v>0</v>
      </c>
      <c r="F910">
        <v>0</v>
      </c>
      <c r="G910">
        <v>1</v>
      </c>
      <c r="H910" t="s">
        <v>23</v>
      </c>
      <c r="I910" t="s">
        <v>22</v>
      </c>
      <c r="J910">
        <v>15705.27</v>
      </c>
      <c r="K910" t="s">
        <v>23</v>
      </c>
      <c r="L910">
        <v>0.12468709752017421</v>
      </c>
      <c r="M910" t="s">
        <v>23</v>
      </c>
      <c r="N910">
        <v>0</v>
      </c>
      <c r="O910">
        <v>0</v>
      </c>
      <c r="P910" t="s">
        <v>34</v>
      </c>
      <c r="Q910" t="s">
        <v>25</v>
      </c>
      <c r="R910" t="s">
        <v>29</v>
      </c>
      <c r="S910" t="s">
        <v>37</v>
      </c>
      <c r="T910" t="s">
        <v>35</v>
      </c>
      <c r="U910">
        <f t="shared" si="14"/>
        <v>1</v>
      </c>
    </row>
    <row r="911" spans="1:21" x14ac:dyDescent="0.2">
      <c r="A911">
        <v>620</v>
      </c>
      <c r="B911" t="s">
        <v>41</v>
      </c>
      <c r="C911" t="s">
        <v>21</v>
      </c>
      <c r="D911">
        <v>35</v>
      </c>
      <c r="E911">
        <v>0</v>
      </c>
      <c r="F911">
        <v>76989.97</v>
      </c>
      <c r="G911">
        <v>1</v>
      </c>
      <c r="H911" t="s">
        <v>22</v>
      </c>
      <c r="I911" t="s">
        <v>22</v>
      </c>
      <c r="J911">
        <v>17242.79</v>
      </c>
      <c r="K911" t="s">
        <v>23</v>
      </c>
      <c r="L911">
        <v>0.11703440073968011</v>
      </c>
      <c r="M911" t="s">
        <v>23</v>
      </c>
      <c r="N911">
        <v>0</v>
      </c>
      <c r="O911">
        <v>0</v>
      </c>
      <c r="P911" t="s">
        <v>34</v>
      </c>
      <c r="Q911" t="s">
        <v>33</v>
      </c>
      <c r="R911" t="s">
        <v>38</v>
      </c>
      <c r="S911" t="s">
        <v>27</v>
      </c>
      <c r="T911" t="s">
        <v>35</v>
      </c>
      <c r="U911">
        <f t="shared" si="14"/>
        <v>1</v>
      </c>
    </row>
    <row r="912" spans="1:21" x14ac:dyDescent="0.2">
      <c r="A912">
        <v>809</v>
      </c>
      <c r="B912" t="s">
        <v>42</v>
      </c>
      <c r="C912" t="s">
        <v>21</v>
      </c>
      <c r="D912">
        <v>24</v>
      </c>
      <c r="E912">
        <v>7</v>
      </c>
      <c r="F912">
        <v>109558.36</v>
      </c>
      <c r="G912">
        <v>1</v>
      </c>
      <c r="H912" t="s">
        <v>22</v>
      </c>
      <c r="I912" t="s">
        <v>23</v>
      </c>
      <c r="J912">
        <v>183515.13</v>
      </c>
      <c r="K912" t="s">
        <v>23</v>
      </c>
      <c r="L912">
        <v>6.7532962752967912E-2</v>
      </c>
      <c r="M912" t="s">
        <v>23</v>
      </c>
      <c r="N912">
        <v>0</v>
      </c>
      <c r="O912">
        <v>0</v>
      </c>
      <c r="P912" t="s">
        <v>34</v>
      </c>
      <c r="Q912" t="s">
        <v>36</v>
      </c>
      <c r="R912" t="s">
        <v>26</v>
      </c>
      <c r="S912" t="s">
        <v>39</v>
      </c>
      <c r="T912" t="s">
        <v>31</v>
      </c>
      <c r="U912">
        <f t="shared" si="14"/>
        <v>1</v>
      </c>
    </row>
    <row r="913" spans="1:21" x14ac:dyDescent="0.2">
      <c r="A913">
        <v>537</v>
      </c>
      <c r="B913" t="s">
        <v>20</v>
      </c>
      <c r="C913" t="s">
        <v>21</v>
      </c>
      <c r="D913">
        <v>42</v>
      </c>
      <c r="E913">
        <v>1</v>
      </c>
      <c r="F913">
        <v>190569.23</v>
      </c>
      <c r="G913">
        <v>1</v>
      </c>
      <c r="H913" t="s">
        <v>23</v>
      </c>
      <c r="I913" t="s">
        <v>22</v>
      </c>
      <c r="J913">
        <v>127154.8</v>
      </c>
      <c r="K913" t="s">
        <v>23</v>
      </c>
      <c r="L913">
        <v>0.13858404849222869</v>
      </c>
      <c r="M913" t="s">
        <v>23</v>
      </c>
      <c r="N913">
        <v>0</v>
      </c>
      <c r="O913">
        <v>0</v>
      </c>
      <c r="P913" t="s">
        <v>34</v>
      </c>
      <c r="Q913" t="s">
        <v>25</v>
      </c>
      <c r="R913" t="s">
        <v>47</v>
      </c>
      <c r="S913" t="s">
        <v>30</v>
      </c>
      <c r="T913" t="s">
        <v>28</v>
      </c>
      <c r="U913">
        <f t="shared" si="14"/>
        <v>1</v>
      </c>
    </row>
    <row r="914" spans="1:21" x14ac:dyDescent="0.2">
      <c r="A914">
        <v>536</v>
      </c>
      <c r="B914" t="s">
        <v>20</v>
      </c>
      <c r="C914" t="s">
        <v>21</v>
      </c>
      <c r="D914">
        <v>53</v>
      </c>
      <c r="E914">
        <v>2</v>
      </c>
      <c r="F914">
        <v>143923.96</v>
      </c>
      <c r="G914">
        <v>1</v>
      </c>
      <c r="H914" t="s">
        <v>22</v>
      </c>
      <c r="I914" t="s">
        <v>23</v>
      </c>
      <c r="J914">
        <v>2019.78</v>
      </c>
      <c r="K914" t="s">
        <v>22</v>
      </c>
      <c r="L914">
        <v>0.45871341501293111</v>
      </c>
      <c r="M914" t="s">
        <v>23</v>
      </c>
      <c r="N914">
        <v>1</v>
      </c>
      <c r="O914">
        <v>0</v>
      </c>
      <c r="P914" t="s">
        <v>24</v>
      </c>
      <c r="Q914" t="s">
        <v>44</v>
      </c>
      <c r="R914" t="s">
        <v>26</v>
      </c>
      <c r="S914" t="s">
        <v>30</v>
      </c>
      <c r="T914" t="s">
        <v>35</v>
      </c>
      <c r="U914">
        <f t="shared" si="14"/>
        <v>0</v>
      </c>
    </row>
    <row r="915" spans="1:21" x14ac:dyDescent="0.2">
      <c r="A915">
        <v>543</v>
      </c>
      <c r="B915" t="s">
        <v>42</v>
      </c>
      <c r="C915" t="s">
        <v>32</v>
      </c>
      <c r="D915">
        <v>32</v>
      </c>
      <c r="E915">
        <v>7</v>
      </c>
      <c r="F915">
        <v>147256.85999999999</v>
      </c>
      <c r="G915">
        <v>1</v>
      </c>
      <c r="H915" t="s">
        <v>22</v>
      </c>
      <c r="I915" t="s">
        <v>23</v>
      </c>
      <c r="J915">
        <v>112771.95</v>
      </c>
      <c r="K915" t="s">
        <v>23</v>
      </c>
      <c r="L915">
        <v>0.22382498420078231</v>
      </c>
      <c r="M915" t="s">
        <v>23</v>
      </c>
      <c r="N915">
        <v>0</v>
      </c>
      <c r="O915">
        <v>0</v>
      </c>
      <c r="P915" t="s">
        <v>24</v>
      </c>
      <c r="Q915" t="s">
        <v>33</v>
      </c>
      <c r="R915" t="s">
        <v>26</v>
      </c>
      <c r="S915" t="s">
        <v>30</v>
      </c>
      <c r="T915" t="s">
        <v>28</v>
      </c>
      <c r="U915">
        <f t="shared" si="14"/>
        <v>1</v>
      </c>
    </row>
    <row r="916" spans="1:21" x14ac:dyDescent="0.2">
      <c r="A916">
        <v>537</v>
      </c>
      <c r="B916" t="s">
        <v>41</v>
      </c>
      <c r="C916" t="s">
        <v>21</v>
      </c>
      <c r="D916">
        <v>48</v>
      </c>
      <c r="E916">
        <v>4</v>
      </c>
      <c r="F916">
        <v>131834.79999999999</v>
      </c>
      <c r="G916">
        <v>1</v>
      </c>
      <c r="H916" t="s">
        <v>22</v>
      </c>
      <c r="I916" t="s">
        <v>23</v>
      </c>
      <c r="J916">
        <v>166476.95000000001</v>
      </c>
      <c r="K916" t="s">
        <v>22</v>
      </c>
      <c r="L916">
        <v>0.55845891796657565</v>
      </c>
      <c r="M916" t="s">
        <v>22</v>
      </c>
      <c r="N916">
        <v>1</v>
      </c>
      <c r="O916">
        <v>1</v>
      </c>
      <c r="P916" t="s">
        <v>43</v>
      </c>
      <c r="Q916" t="s">
        <v>25</v>
      </c>
      <c r="R916" t="s">
        <v>26</v>
      </c>
      <c r="S916" t="s">
        <v>30</v>
      </c>
      <c r="T916" t="s">
        <v>31</v>
      </c>
      <c r="U916">
        <f t="shared" si="14"/>
        <v>1</v>
      </c>
    </row>
    <row r="917" spans="1:21" x14ac:dyDescent="0.2">
      <c r="A917">
        <v>692</v>
      </c>
      <c r="B917" t="s">
        <v>20</v>
      </c>
      <c r="C917" t="s">
        <v>32</v>
      </c>
      <c r="D917">
        <v>44</v>
      </c>
      <c r="E917">
        <v>8</v>
      </c>
      <c r="F917">
        <v>0</v>
      </c>
      <c r="G917">
        <v>1</v>
      </c>
      <c r="H917" t="s">
        <v>23</v>
      </c>
      <c r="I917" t="s">
        <v>22</v>
      </c>
      <c r="J917">
        <v>159069.37</v>
      </c>
      <c r="K917" t="s">
        <v>23</v>
      </c>
      <c r="L917">
        <v>0.1354594535041333</v>
      </c>
      <c r="M917" t="s">
        <v>23</v>
      </c>
      <c r="N917">
        <v>0</v>
      </c>
      <c r="O917">
        <v>0</v>
      </c>
      <c r="P917" t="s">
        <v>34</v>
      </c>
      <c r="Q917" t="s">
        <v>25</v>
      </c>
      <c r="R917" t="s">
        <v>29</v>
      </c>
      <c r="S917" t="s">
        <v>27</v>
      </c>
      <c r="T917" t="s">
        <v>31</v>
      </c>
      <c r="U917">
        <f t="shared" si="14"/>
        <v>1</v>
      </c>
    </row>
    <row r="918" spans="1:21" x14ac:dyDescent="0.2">
      <c r="A918">
        <v>554</v>
      </c>
      <c r="B918" t="s">
        <v>42</v>
      </c>
      <c r="C918" t="s">
        <v>21</v>
      </c>
      <c r="D918">
        <v>31</v>
      </c>
      <c r="E918">
        <v>1</v>
      </c>
      <c r="F918">
        <v>0</v>
      </c>
      <c r="G918">
        <v>2</v>
      </c>
      <c r="H918" t="s">
        <v>23</v>
      </c>
      <c r="I918" t="s">
        <v>22</v>
      </c>
      <c r="J918">
        <v>192660.55</v>
      </c>
      <c r="K918" t="s">
        <v>23</v>
      </c>
      <c r="L918">
        <v>3.7251652017120107E-2</v>
      </c>
      <c r="M918" t="s">
        <v>23</v>
      </c>
      <c r="N918">
        <v>0</v>
      </c>
      <c r="O918">
        <v>0</v>
      </c>
      <c r="P918" t="s">
        <v>34</v>
      </c>
      <c r="Q918" t="s">
        <v>33</v>
      </c>
      <c r="R918" t="s">
        <v>29</v>
      </c>
      <c r="S918" t="s">
        <v>30</v>
      </c>
      <c r="T918" t="s">
        <v>31</v>
      </c>
      <c r="U918">
        <f t="shared" si="14"/>
        <v>1</v>
      </c>
    </row>
    <row r="919" spans="1:21" x14ac:dyDescent="0.2">
      <c r="A919">
        <v>585</v>
      </c>
      <c r="B919" t="s">
        <v>41</v>
      </c>
      <c r="C919" t="s">
        <v>32</v>
      </c>
      <c r="D919">
        <v>40</v>
      </c>
      <c r="E919">
        <v>3</v>
      </c>
      <c r="F919">
        <v>162261.01</v>
      </c>
      <c r="G919">
        <v>2</v>
      </c>
      <c r="H919" t="s">
        <v>22</v>
      </c>
      <c r="I919" t="s">
        <v>23</v>
      </c>
      <c r="J919">
        <v>137028.51</v>
      </c>
      <c r="K919" t="s">
        <v>23</v>
      </c>
      <c r="L919">
        <v>0.53388938785243623</v>
      </c>
      <c r="M919" t="s">
        <v>22</v>
      </c>
      <c r="N919">
        <v>0</v>
      </c>
      <c r="O919">
        <v>1</v>
      </c>
      <c r="P919" t="s">
        <v>43</v>
      </c>
      <c r="Q919" t="s">
        <v>33</v>
      </c>
      <c r="R919" t="s">
        <v>47</v>
      </c>
      <c r="S919" t="s">
        <v>30</v>
      </c>
      <c r="T919" t="s">
        <v>28</v>
      </c>
      <c r="U919">
        <f t="shared" si="14"/>
        <v>0</v>
      </c>
    </row>
    <row r="920" spans="1:21" x14ac:dyDescent="0.2">
      <c r="A920">
        <v>646</v>
      </c>
      <c r="B920" t="s">
        <v>42</v>
      </c>
      <c r="C920" t="s">
        <v>21</v>
      </c>
      <c r="D920">
        <v>18</v>
      </c>
      <c r="E920">
        <v>10</v>
      </c>
      <c r="F920">
        <v>0</v>
      </c>
      <c r="G920">
        <v>2</v>
      </c>
      <c r="H920" t="s">
        <v>23</v>
      </c>
      <c r="I920" t="s">
        <v>22</v>
      </c>
      <c r="J920">
        <v>52795.15</v>
      </c>
      <c r="K920" t="s">
        <v>23</v>
      </c>
      <c r="L920">
        <v>1.062313372821682E-2</v>
      </c>
      <c r="M920" t="s">
        <v>23</v>
      </c>
      <c r="N920">
        <v>0</v>
      </c>
      <c r="O920">
        <v>0</v>
      </c>
      <c r="P920" t="s">
        <v>34</v>
      </c>
      <c r="R920" t="s">
        <v>29</v>
      </c>
      <c r="S920" t="s">
        <v>27</v>
      </c>
      <c r="T920" t="s">
        <v>40</v>
      </c>
      <c r="U920">
        <f t="shared" si="14"/>
        <v>1</v>
      </c>
    </row>
    <row r="921" spans="1:21" x14ac:dyDescent="0.2">
      <c r="A921">
        <v>627</v>
      </c>
      <c r="B921" t="s">
        <v>41</v>
      </c>
      <c r="C921" t="s">
        <v>21</v>
      </c>
      <c r="D921">
        <v>38</v>
      </c>
      <c r="E921">
        <v>8</v>
      </c>
      <c r="F921">
        <v>106922.92</v>
      </c>
      <c r="G921">
        <v>2</v>
      </c>
      <c r="H921" t="s">
        <v>23</v>
      </c>
      <c r="I921" t="s">
        <v>22</v>
      </c>
      <c r="J921">
        <v>84270.09</v>
      </c>
      <c r="K921" t="s">
        <v>23</v>
      </c>
      <c r="L921">
        <v>0.12805076731743831</v>
      </c>
      <c r="M921" t="s">
        <v>23</v>
      </c>
      <c r="N921">
        <v>0</v>
      </c>
      <c r="O921">
        <v>0</v>
      </c>
      <c r="P921" t="s">
        <v>34</v>
      </c>
      <c r="Q921" t="s">
        <v>33</v>
      </c>
      <c r="R921" t="s">
        <v>26</v>
      </c>
      <c r="S921" t="s">
        <v>27</v>
      </c>
      <c r="T921" t="s">
        <v>40</v>
      </c>
      <c r="U921">
        <f t="shared" si="14"/>
        <v>1</v>
      </c>
    </row>
    <row r="922" spans="1:21" x14ac:dyDescent="0.2">
      <c r="A922">
        <v>658</v>
      </c>
      <c r="B922" t="s">
        <v>42</v>
      </c>
      <c r="C922" t="s">
        <v>32</v>
      </c>
      <c r="D922">
        <v>43</v>
      </c>
      <c r="E922">
        <v>7</v>
      </c>
      <c r="F922">
        <v>140260.35999999999</v>
      </c>
      <c r="G922">
        <v>2</v>
      </c>
      <c r="H922" t="s">
        <v>22</v>
      </c>
      <c r="I922" t="s">
        <v>23</v>
      </c>
      <c r="J922">
        <v>2748.72</v>
      </c>
      <c r="K922" t="s">
        <v>23</v>
      </c>
      <c r="L922">
        <v>0.33347576887341929</v>
      </c>
      <c r="M922" t="s">
        <v>23</v>
      </c>
      <c r="N922">
        <v>0</v>
      </c>
      <c r="O922">
        <v>0</v>
      </c>
      <c r="P922" t="s">
        <v>24</v>
      </c>
      <c r="Q922" t="s">
        <v>25</v>
      </c>
      <c r="R922" t="s">
        <v>26</v>
      </c>
      <c r="S922" t="s">
        <v>27</v>
      </c>
      <c r="T922" t="s">
        <v>35</v>
      </c>
      <c r="U922">
        <f t="shared" si="14"/>
        <v>1</v>
      </c>
    </row>
    <row r="923" spans="1:21" x14ac:dyDescent="0.2">
      <c r="A923">
        <v>663</v>
      </c>
      <c r="B923" t="s">
        <v>20</v>
      </c>
      <c r="C923" t="s">
        <v>21</v>
      </c>
      <c r="D923">
        <v>64</v>
      </c>
      <c r="E923">
        <v>6</v>
      </c>
      <c r="F923">
        <v>0</v>
      </c>
      <c r="G923">
        <v>2</v>
      </c>
      <c r="H923" t="s">
        <v>23</v>
      </c>
      <c r="I923" t="s">
        <v>22</v>
      </c>
      <c r="J923">
        <v>15876.52</v>
      </c>
      <c r="K923" t="s">
        <v>23</v>
      </c>
      <c r="L923">
        <v>0.26014654802620618</v>
      </c>
      <c r="M923" t="s">
        <v>23</v>
      </c>
      <c r="N923">
        <v>0</v>
      </c>
      <c r="O923">
        <v>0</v>
      </c>
      <c r="P923" t="s">
        <v>24</v>
      </c>
      <c r="Q923" t="s">
        <v>46</v>
      </c>
      <c r="R923" t="s">
        <v>29</v>
      </c>
      <c r="S923" t="s">
        <v>27</v>
      </c>
      <c r="T923" t="s">
        <v>35</v>
      </c>
      <c r="U923">
        <f t="shared" si="14"/>
        <v>1</v>
      </c>
    </row>
    <row r="924" spans="1:21" x14ac:dyDescent="0.2">
      <c r="A924">
        <v>659</v>
      </c>
      <c r="B924" t="s">
        <v>42</v>
      </c>
      <c r="C924" t="s">
        <v>21</v>
      </c>
      <c r="D924">
        <v>54</v>
      </c>
      <c r="E924">
        <v>8</v>
      </c>
      <c r="F924">
        <v>133436.51999999999</v>
      </c>
      <c r="G924">
        <v>1</v>
      </c>
      <c r="H924" t="s">
        <v>22</v>
      </c>
      <c r="I924" t="s">
        <v>23</v>
      </c>
      <c r="J924">
        <v>56787.8</v>
      </c>
      <c r="K924" t="s">
        <v>23</v>
      </c>
      <c r="L924">
        <v>0.4181490435511242</v>
      </c>
      <c r="M924" t="s">
        <v>23</v>
      </c>
      <c r="N924">
        <v>0</v>
      </c>
      <c r="O924">
        <v>0</v>
      </c>
      <c r="P924" t="s">
        <v>24</v>
      </c>
      <c r="Q924" t="s">
        <v>44</v>
      </c>
      <c r="R924" t="s">
        <v>26</v>
      </c>
      <c r="S924" t="s">
        <v>27</v>
      </c>
      <c r="T924" t="s">
        <v>40</v>
      </c>
      <c r="U924">
        <f t="shared" si="14"/>
        <v>1</v>
      </c>
    </row>
    <row r="925" spans="1:21" x14ac:dyDescent="0.2">
      <c r="A925">
        <v>752</v>
      </c>
      <c r="B925" t="s">
        <v>42</v>
      </c>
      <c r="C925" t="s">
        <v>21</v>
      </c>
      <c r="D925">
        <v>38</v>
      </c>
      <c r="E925">
        <v>0</v>
      </c>
      <c r="F925">
        <v>145974.79</v>
      </c>
      <c r="G925">
        <v>2</v>
      </c>
      <c r="H925" t="s">
        <v>22</v>
      </c>
      <c r="I925" t="s">
        <v>22</v>
      </c>
      <c r="J925">
        <v>137694.23000000001</v>
      </c>
      <c r="K925" t="s">
        <v>23</v>
      </c>
      <c r="L925">
        <v>7.3368119614582977E-2</v>
      </c>
      <c r="M925" t="s">
        <v>23</v>
      </c>
      <c r="N925">
        <v>0</v>
      </c>
      <c r="O925">
        <v>0</v>
      </c>
      <c r="P925" t="s">
        <v>34</v>
      </c>
      <c r="Q925" t="s">
        <v>33</v>
      </c>
      <c r="R925" t="s">
        <v>26</v>
      </c>
      <c r="S925" t="s">
        <v>37</v>
      </c>
      <c r="T925" t="s">
        <v>28</v>
      </c>
      <c r="U925">
        <f t="shared" si="14"/>
        <v>1</v>
      </c>
    </row>
    <row r="926" spans="1:21" x14ac:dyDescent="0.2">
      <c r="A926">
        <v>685</v>
      </c>
      <c r="B926" t="s">
        <v>20</v>
      </c>
      <c r="C926" t="s">
        <v>21</v>
      </c>
      <c r="D926">
        <v>39</v>
      </c>
      <c r="E926">
        <v>9</v>
      </c>
      <c r="F926">
        <v>0</v>
      </c>
      <c r="G926">
        <v>2</v>
      </c>
      <c r="H926" t="s">
        <v>22</v>
      </c>
      <c r="I926" t="s">
        <v>22</v>
      </c>
      <c r="J926">
        <v>18826.060000000001</v>
      </c>
      <c r="K926" t="s">
        <v>23</v>
      </c>
      <c r="L926">
        <v>4.7417139150674331E-2</v>
      </c>
      <c r="M926" t="s">
        <v>23</v>
      </c>
      <c r="N926">
        <v>0</v>
      </c>
      <c r="O926">
        <v>0</v>
      </c>
      <c r="P926" t="s">
        <v>34</v>
      </c>
      <c r="Q926" t="s">
        <v>33</v>
      </c>
      <c r="R926" t="s">
        <v>29</v>
      </c>
      <c r="S926" t="s">
        <v>27</v>
      </c>
      <c r="T926" t="s">
        <v>35</v>
      </c>
      <c r="U926">
        <f t="shared" si="14"/>
        <v>1</v>
      </c>
    </row>
    <row r="927" spans="1:21" x14ac:dyDescent="0.2">
      <c r="A927">
        <v>487</v>
      </c>
      <c r="B927" t="s">
        <v>20</v>
      </c>
      <c r="C927" t="s">
        <v>21</v>
      </c>
      <c r="D927">
        <v>44</v>
      </c>
      <c r="E927">
        <v>6</v>
      </c>
      <c r="F927">
        <v>61691.45</v>
      </c>
      <c r="G927">
        <v>1</v>
      </c>
      <c r="H927" t="s">
        <v>22</v>
      </c>
      <c r="I927" t="s">
        <v>22</v>
      </c>
      <c r="J927">
        <v>53087.98</v>
      </c>
      <c r="K927" t="s">
        <v>23</v>
      </c>
      <c r="L927">
        <v>0.1042272642922198</v>
      </c>
      <c r="M927" t="s">
        <v>23</v>
      </c>
      <c r="N927">
        <v>0</v>
      </c>
      <c r="O927">
        <v>0</v>
      </c>
      <c r="P927" t="s">
        <v>34</v>
      </c>
      <c r="Q927" t="s">
        <v>25</v>
      </c>
      <c r="R927" t="s">
        <v>38</v>
      </c>
      <c r="S927" t="s">
        <v>45</v>
      </c>
      <c r="T927" t="s">
        <v>40</v>
      </c>
      <c r="U927">
        <f t="shared" si="14"/>
        <v>1</v>
      </c>
    </row>
    <row r="928" spans="1:21" x14ac:dyDescent="0.2">
      <c r="A928">
        <v>737</v>
      </c>
      <c r="B928" t="s">
        <v>20</v>
      </c>
      <c r="C928" t="s">
        <v>32</v>
      </c>
      <c r="D928">
        <v>45</v>
      </c>
      <c r="E928">
        <v>2</v>
      </c>
      <c r="F928">
        <v>0</v>
      </c>
      <c r="G928">
        <v>2</v>
      </c>
      <c r="H928" t="s">
        <v>23</v>
      </c>
      <c r="I928" t="s">
        <v>22</v>
      </c>
      <c r="J928">
        <v>177695.67</v>
      </c>
      <c r="K928" t="s">
        <v>23</v>
      </c>
      <c r="L928">
        <v>0.14366825463618349</v>
      </c>
      <c r="M928" t="s">
        <v>23</v>
      </c>
      <c r="N928">
        <v>0</v>
      </c>
      <c r="O928">
        <v>0</v>
      </c>
      <c r="P928" t="s">
        <v>34</v>
      </c>
      <c r="Q928" t="s">
        <v>25</v>
      </c>
      <c r="R928" t="s">
        <v>29</v>
      </c>
      <c r="S928" t="s">
        <v>37</v>
      </c>
      <c r="T928" t="s">
        <v>31</v>
      </c>
      <c r="U928">
        <f t="shared" si="14"/>
        <v>1</v>
      </c>
    </row>
    <row r="929" spans="1:21" x14ac:dyDescent="0.2">
      <c r="A929">
        <v>613</v>
      </c>
      <c r="B929" t="s">
        <v>41</v>
      </c>
      <c r="C929" t="s">
        <v>21</v>
      </c>
      <c r="D929">
        <v>40</v>
      </c>
      <c r="E929">
        <v>1</v>
      </c>
      <c r="F929">
        <v>147856.82</v>
      </c>
      <c r="G929">
        <v>3</v>
      </c>
      <c r="H929" t="s">
        <v>23</v>
      </c>
      <c r="I929" t="s">
        <v>23</v>
      </c>
      <c r="J929">
        <v>107961.11</v>
      </c>
      <c r="K929" t="s">
        <v>22</v>
      </c>
      <c r="L929">
        <v>0.37366885826730861</v>
      </c>
      <c r="M929" t="s">
        <v>23</v>
      </c>
      <c r="N929">
        <v>1</v>
      </c>
      <c r="O929">
        <v>0</v>
      </c>
      <c r="P929" t="s">
        <v>24</v>
      </c>
      <c r="Q929" t="s">
        <v>33</v>
      </c>
      <c r="R929" t="s">
        <v>26</v>
      </c>
      <c r="S929" t="s">
        <v>27</v>
      </c>
      <c r="T929" t="s">
        <v>28</v>
      </c>
      <c r="U929">
        <f t="shared" si="14"/>
        <v>0</v>
      </c>
    </row>
    <row r="930" spans="1:21" x14ac:dyDescent="0.2">
      <c r="A930">
        <v>711</v>
      </c>
      <c r="B930" t="s">
        <v>20</v>
      </c>
      <c r="C930" t="s">
        <v>21</v>
      </c>
      <c r="D930">
        <v>36</v>
      </c>
      <c r="E930">
        <v>8</v>
      </c>
      <c r="F930">
        <v>0</v>
      </c>
      <c r="G930">
        <v>2</v>
      </c>
      <c r="H930" t="s">
        <v>22</v>
      </c>
      <c r="I930" t="s">
        <v>23</v>
      </c>
      <c r="J930">
        <v>55207.41</v>
      </c>
      <c r="K930" t="s">
        <v>23</v>
      </c>
      <c r="L930">
        <v>0.10811280971080869</v>
      </c>
      <c r="M930" t="s">
        <v>23</v>
      </c>
      <c r="N930">
        <v>0</v>
      </c>
      <c r="O930">
        <v>0</v>
      </c>
      <c r="P930" t="s">
        <v>34</v>
      </c>
      <c r="Q930" t="s">
        <v>33</v>
      </c>
      <c r="R930" t="s">
        <v>29</v>
      </c>
      <c r="S930" t="s">
        <v>37</v>
      </c>
      <c r="T930" t="s">
        <v>40</v>
      </c>
      <c r="U930">
        <f t="shared" si="14"/>
        <v>1</v>
      </c>
    </row>
    <row r="931" spans="1:21" x14ac:dyDescent="0.2">
      <c r="A931">
        <v>752</v>
      </c>
      <c r="B931" t="s">
        <v>42</v>
      </c>
      <c r="C931" t="s">
        <v>32</v>
      </c>
      <c r="D931">
        <v>53</v>
      </c>
      <c r="E931">
        <v>8</v>
      </c>
      <c r="F931">
        <v>114233.18</v>
      </c>
      <c r="G931">
        <v>1</v>
      </c>
      <c r="H931" t="s">
        <v>22</v>
      </c>
      <c r="I931" t="s">
        <v>22</v>
      </c>
      <c r="J931">
        <v>51587.040000000001</v>
      </c>
      <c r="K931" t="s">
        <v>23</v>
      </c>
      <c r="L931">
        <v>0.25657818960733159</v>
      </c>
      <c r="M931" t="s">
        <v>23</v>
      </c>
      <c r="N931">
        <v>0</v>
      </c>
      <c r="O931">
        <v>0</v>
      </c>
      <c r="P931" t="s">
        <v>24</v>
      </c>
      <c r="Q931" t="s">
        <v>44</v>
      </c>
      <c r="R931" t="s">
        <v>26</v>
      </c>
      <c r="S931" t="s">
        <v>37</v>
      </c>
      <c r="T931" t="s">
        <v>40</v>
      </c>
      <c r="U931">
        <f t="shared" si="14"/>
        <v>1</v>
      </c>
    </row>
    <row r="932" spans="1:21" x14ac:dyDescent="0.2">
      <c r="A932">
        <v>529</v>
      </c>
      <c r="B932" t="s">
        <v>42</v>
      </c>
      <c r="C932" t="s">
        <v>21</v>
      </c>
      <c r="D932">
        <v>42</v>
      </c>
      <c r="E932">
        <v>1</v>
      </c>
      <c r="F932">
        <v>157498.9</v>
      </c>
      <c r="G932">
        <v>1</v>
      </c>
      <c r="H932" t="s">
        <v>22</v>
      </c>
      <c r="I932" t="s">
        <v>22</v>
      </c>
      <c r="J932">
        <v>82276.62</v>
      </c>
      <c r="K932" t="s">
        <v>23</v>
      </c>
      <c r="L932">
        <v>0.1188863078511805</v>
      </c>
      <c r="M932" t="s">
        <v>23</v>
      </c>
      <c r="N932">
        <v>0</v>
      </c>
      <c r="O932">
        <v>0</v>
      </c>
      <c r="P932" t="s">
        <v>34</v>
      </c>
      <c r="Q932" t="s">
        <v>25</v>
      </c>
      <c r="R932" t="s">
        <v>47</v>
      </c>
      <c r="S932" t="s">
        <v>30</v>
      </c>
      <c r="T932" t="s">
        <v>40</v>
      </c>
      <c r="U932">
        <f t="shared" si="14"/>
        <v>1</v>
      </c>
    </row>
    <row r="933" spans="1:21" x14ac:dyDescent="0.2">
      <c r="A933">
        <v>705</v>
      </c>
      <c r="B933" t="s">
        <v>42</v>
      </c>
      <c r="C933" t="s">
        <v>32</v>
      </c>
      <c r="D933">
        <v>39</v>
      </c>
      <c r="E933">
        <v>5</v>
      </c>
      <c r="F933">
        <v>149379.66</v>
      </c>
      <c r="G933">
        <v>2</v>
      </c>
      <c r="H933" t="s">
        <v>22</v>
      </c>
      <c r="I933" t="s">
        <v>23</v>
      </c>
      <c r="J933">
        <v>96075.55</v>
      </c>
      <c r="K933" t="s">
        <v>23</v>
      </c>
      <c r="L933">
        <v>0.28790241151929769</v>
      </c>
      <c r="M933" t="s">
        <v>23</v>
      </c>
      <c r="N933">
        <v>0</v>
      </c>
      <c r="O933">
        <v>0</v>
      </c>
      <c r="P933" t="s">
        <v>24</v>
      </c>
      <c r="Q933" t="s">
        <v>33</v>
      </c>
      <c r="R933" t="s">
        <v>26</v>
      </c>
      <c r="S933" t="s">
        <v>37</v>
      </c>
      <c r="T933" t="s">
        <v>40</v>
      </c>
      <c r="U933">
        <f t="shared" si="14"/>
        <v>1</v>
      </c>
    </row>
    <row r="934" spans="1:21" x14ac:dyDescent="0.2">
      <c r="A934">
        <v>551</v>
      </c>
      <c r="B934" t="s">
        <v>42</v>
      </c>
      <c r="C934" t="s">
        <v>21</v>
      </c>
      <c r="D934">
        <v>52</v>
      </c>
      <c r="E934">
        <v>1</v>
      </c>
      <c r="F934">
        <v>0</v>
      </c>
      <c r="G934">
        <v>1</v>
      </c>
      <c r="H934" t="s">
        <v>23</v>
      </c>
      <c r="I934" t="s">
        <v>23</v>
      </c>
      <c r="J934">
        <v>63584.55</v>
      </c>
      <c r="K934" t="s">
        <v>22</v>
      </c>
      <c r="L934">
        <v>0.36010692113577142</v>
      </c>
      <c r="M934" t="s">
        <v>23</v>
      </c>
      <c r="N934">
        <v>1</v>
      </c>
      <c r="O934">
        <v>0</v>
      </c>
      <c r="P934" t="s">
        <v>24</v>
      </c>
      <c r="Q934" t="s">
        <v>44</v>
      </c>
      <c r="R934" t="s">
        <v>29</v>
      </c>
      <c r="S934" t="s">
        <v>30</v>
      </c>
      <c r="T934" t="s">
        <v>40</v>
      </c>
      <c r="U934">
        <f t="shared" si="14"/>
        <v>0</v>
      </c>
    </row>
    <row r="935" spans="1:21" x14ac:dyDescent="0.2">
      <c r="A935">
        <v>823</v>
      </c>
      <c r="B935" t="s">
        <v>42</v>
      </c>
      <c r="C935" t="s">
        <v>21</v>
      </c>
      <c r="D935">
        <v>71</v>
      </c>
      <c r="E935">
        <v>5</v>
      </c>
      <c r="F935">
        <v>149105.07999999999</v>
      </c>
      <c r="G935">
        <v>1</v>
      </c>
      <c r="H935" t="s">
        <v>23</v>
      </c>
      <c r="I935" t="s">
        <v>22</v>
      </c>
      <c r="J935">
        <v>162683.06</v>
      </c>
      <c r="K935" t="s">
        <v>23</v>
      </c>
      <c r="L935">
        <v>0.47889532130724061</v>
      </c>
      <c r="M935" t="s">
        <v>23</v>
      </c>
      <c r="N935">
        <v>0</v>
      </c>
      <c r="O935">
        <v>0</v>
      </c>
      <c r="P935" t="s">
        <v>24</v>
      </c>
      <c r="Q935" t="s">
        <v>46</v>
      </c>
      <c r="R935" t="s">
        <v>26</v>
      </c>
      <c r="S935" t="s">
        <v>39</v>
      </c>
      <c r="T935" t="s">
        <v>31</v>
      </c>
      <c r="U935">
        <f t="shared" si="14"/>
        <v>1</v>
      </c>
    </row>
    <row r="936" spans="1:21" x14ac:dyDescent="0.2">
      <c r="A936">
        <v>802</v>
      </c>
      <c r="B936" t="s">
        <v>20</v>
      </c>
      <c r="C936" t="s">
        <v>21</v>
      </c>
      <c r="D936">
        <v>41</v>
      </c>
      <c r="E936">
        <v>5</v>
      </c>
      <c r="F936">
        <v>0</v>
      </c>
      <c r="G936">
        <v>2</v>
      </c>
      <c r="H936" t="s">
        <v>22</v>
      </c>
      <c r="I936" t="s">
        <v>22</v>
      </c>
      <c r="J936">
        <v>134626.29999999999</v>
      </c>
      <c r="K936" t="s">
        <v>23</v>
      </c>
      <c r="L936">
        <v>5.7906711653035917E-2</v>
      </c>
      <c r="M936" t="s">
        <v>23</v>
      </c>
      <c r="N936">
        <v>0</v>
      </c>
      <c r="O936">
        <v>0</v>
      </c>
      <c r="P936" t="s">
        <v>34</v>
      </c>
      <c r="Q936" t="s">
        <v>25</v>
      </c>
      <c r="R936" t="s">
        <v>29</v>
      </c>
      <c r="S936" t="s">
        <v>39</v>
      </c>
      <c r="T936" t="s">
        <v>28</v>
      </c>
      <c r="U936">
        <f t="shared" si="14"/>
        <v>1</v>
      </c>
    </row>
    <row r="937" spans="1:21" x14ac:dyDescent="0.2">
      <c r="A937">
        <v>450</v>
      </c>
      <c r="B937" t="s">
        <v>20</v>
      </c>
      <c r="C937" t="s">
        <v>32</v>
      </c>
      <c r="D937">
        <v>34</v>
      </c>
      <c r="E937">
        <v>2</v>
      </c>
      <c r="F937">
        <v>0</v>
      </c>
      <c r="G937">
        <v>2</v>
      </c>
      <c r="H937" t="s">
        <v>22</v>
      </c>
      <c r="I937" t="s">
        <v>23</v>
      </c>
      <c r="J937">
        <v>175480.93</v>
      </c>
      <c r="K937" t="s">
        <v>23</v>
      </c>
      <c r="L937">
        <v>0.2068589080795625</v>
      </c>
      <c r="M937" t="s">
        <v>23</v>
      </c>
      <c r="N937">
        <v>0</v>
      </c>
      <c r="O937">
        <v>0</v>
      </c>
      <c r="P937" t="s">
        <v>24</v>
      </c>
      <c r="Q937" t="s">
        <v>33</v>
      </c>
      <c r="R937" t="s">
        <v>29</v>
      </c>
      <c r="S937" t="s">
        <v>45</v>
      </c>
      <c r="T937" t="s">
        <v>31</v>
      </c>
      <c r="U937">
        <f t="shared" si="14"/>
        <v>1</v>
      </c>
    </row>
    <row r="938" spans="1:21" x14ac:dyDescent="0.2">
      <c r="A938">
        <v>822</v>
      </c>
      <c r="B938" t="s">
        <v>42</v>
      </c>
      <c r="C938" t="s">
        <v>21</v>
      </c>
      <c r="D938">
        <v>37</v>
      </c>
      <c r="E938">
        <v>3</v>
      </c>
      <c r="F938">
        <v>105563</v>
      </c>
      <c r="G938">
        <v>1</v>
      </c>
      <c r="H938" t="s">
        <v>22</v>
      </c>
      <c r="I938" t="s">
        <v>23</v>
      </c>
      <c r="J938">
        <v>182624.93</v>
      </c>
      <c r="K938" t="s">
        <v>23</v>
      </c>
      <c r="L938">
        <v>0.16742194794679169</v>
      </c>
      <c r="M938" t="s">
        <v>23</v>
      </c>
      <c r="N938">
        <v>0</v>
      </c>
      <c r="O938">
        <v>0</v>
      </c>
      <c r="P938" t="s">
        <v>34</v>
      </c>
      <c r="Q938" t="s">
        <v>33</v>
      </c>
      <c r="R938" t="s">
        <v>26</v>
      </c>
      <c r="S938" t="s">
        <v>39</v>
      </c>
      <c r="T938" t="s">
        <v>31</v>
      </c>
      <c r="U938">
        <f t="shared" si="14"/>
        <v>1</v>
      </c>
    </row>
    <row r="939" spans="1:21" x14ac:dyDescent="0.2">
      <c r="A939">
        <v>672</v>
      </c>
      <c r="B939" t="s">
        <v>42</v>
      </c>
      <c r="C939" t="s">
        <v>21</v>
      </c>
      <c r="D939">
        <v>31</v>
      </c>
      <c r="E939">
        <v>6</v>
      </c>
      <c r="F939">
        <v>91125.75</v>
      </c>
      <c r="G939">
        <v>1</v>
      </c>
      <c r="H939" t="s">
        <v>22</v>
      </c>
      <c r="I939" t="s">
        <v>23</v>
      </c>
      <c r="J939">
        <v>177295.92</v>
      </c>
      <c r="K939" t="s">
        <v>23</v>
      </c>
      <c r="L939">
        <v>0.11467197446658869</v>
      </c>
      <c r="M939" t="s">
        <v>23</v>
      </c>
      <c r="N939">
        <v>0</v>
      </c>
      <c r="O939">
        <v>0</v>
      </c>
      <c r="P939" t="s">
        <v>34</v>
      </c>
      <c r="Q939" t="s">
        <v>33</v>
      </c>
      <c r="R939" t="s">
        <v>38</v>
      </c>
      <c r="S939" t="s">
        <v>27</v>
      </c>
      <c r="T939" t="s">
        <v>31</v>
      </c>
      <c r="U939">
        <f t="shared" si="14"/>
        <v>1</v>
      </c>
    </row>
    <row r="940" spans="1:21" x14ac:dyDescent="0.2">
      <c r="A940">
        <v>613</v>
      </c>
      <c r="B940" t="s">
        <v>42</v>
      </c>
      <c r="C940" t="s">
        <v>21</v>
      </c>
      <c r="D940">
        <v>26</v>
      </c>
      <c r="E940">
        <v>4</v>
      </c>
      <c r="F940">
        <v>100446.57</v>
      </c>
      <c r="G940">
        <v>1</v>
      </c>
      <c r="H940" t="s">
        <v>23</v>
      </c>
      <c r="I940" t="s">
        <v>22</v>
      </c>
      <c r="J940">
        <v>149653.81</v>
      </c>
      <c r="K940" t="s">
        <v>23</v>
      </c>
      <c r="L940">
        <v>3.2850512529023997E-2</v>
      </c>
      <c r="M940" t="s">
        <v>23</v>
      </c>
      <c r="N940">
        <v>0</v>
      </c>
      <c r="O940">
        <v>0</v>
      </c>
      <c r="P940" t="s">
        <v>34</v>
      </c>
      <c r="Q940" t="s">
        <v>36</v>
      </c>
      <c r="R940" t="s">
        <v>26</v>
      </c>
      <c r="S940" t="s">
        <v>27</v>
      </c>
      <c r="T940" t="s">
        <v>28</v>
      </c>
      <c r="U940">
        <f t="shared" si="14"/>
        <v>1</v>
      </c>
    </row>
    <row r="941" spans="1:21" x14ac:dyDescent="0.2">
      <c r="A941">
        <v>794</v>
      </c>
      <c r="B941" t="s">
        <v>42</v>
      </c>
      <c r="C941" t="s">
        <v>21</v>
      </c>
      <c r="D941">
        <v>24</v>
      </c>
      <c r="E941">
        <v>10</v>
      </c>
      <c r="F941">
        <v>146126.75</v>
      </c>
      <c r="G941">
        <v>1</v>
      </c>
      <c r="H941" t="s">
        <v>22</v>
      </c>
      <c r="I941" t="s">
        <v>22</v>
      </c>
      <c r="J941">
        <v>88992.05</v>
      </c>
      <c r="K941" t="s">
        <v>23</v>
      </c>
      <c r="L941">
        <v>2.3610533282453439E-2</v>
      </c>
      <c r="M941" t="s">
        <v>23</v>
      </c>
      <c r="N941">
        <v>0</v>
      </c>
      <c r="O941">
        <v>0</v>
      </c>
      <c r="P941" t="s">
        <v>34</v>
      </c>
      <c r="Q941" t="s">
        <v>36</v>
      </c>
      <c r="R941" t="s">
        <v>26</v>
      </c>
      <c r="S941" t="s">
        <v>37</v>
      </c>
      <c r="T941" t="s">
        <v>40</v>
      </c>
      <c r="U941">
        <f t="shared" si="14"/>
        <v>1</v>
      </c>
    </row>
    <row r="942" spans="1:21" x14ac:dyDescent="0.2">
      <c r="A942">
        <v>556</v>
      </c>
      <c r="B942" t="s">
        <v>42</v>
      </c>
      <c r="C942" t="s">
        <v>32</v>
      </c>
      <c r="D942">
        <v>40</v>
      </c>
      <c r="E942">
        <v>9</v>
      </c>
      <c r="F942">
        <v>129860.37</v>
      </c>
      <c r="G942">
        <v>1</v>
      </c>
      <c r="H942" t="s">
        <v>23</v>
      </c>
      <c r="I942" t="s">
        <v>23</v>
      </c>
      <c r="J942">
        <v>17992.939999999999</v>
      </c>
      <c r="K942" t="s">
        <v>23</v>
      </c>
      <c r="L942">
        <v>0.31733529444211711</v>
      </c>
      <c r="M942" t="s">
        <v>23</v>
      </c>
      <c r="N942">
        <v>0</v>
      </c>
      <c r="O942">
        <v>0</v>
      </c>
      <c r="P942" t="s">
        <v>24</v>
      </c>
      <c r="Q942" t="s">
        <v>33</v>
      </c>
      <c r="R942" t="s">
        <v>26</v>
      </c>
      <c r="S942" t="s">
        <v>30</v>
      </c>
      <c r="T942" t="s">
        <v>35</v>
      </c>
      <c r="U942">
        <f t="shared" si="14"/>
        <v>1</v>
      </c>
    </row>
    <row r="943" spans="1:21" x14ac:dyDescent="0.2">
      <c r="A943">
        <v>411</v>
      </c>
      <c r="B943" t="s">
        <v>42</v>
      </c>
      <c r="C943" t="s">
        <v>32</v>
      </c>
      <c r="D943">
        <v>35</v>
      </c>
      <c r="E943">
        <v>2</v>
      </c>
      <c r="F943">
        <v>0</v>
      </c>
      <c r="G943">
        <v>2</v>
      </c>
      <c r="H943" t="s">
        <v>22</v>
      </c>
      <c r="I943" t="s">
        <v>22</v>
      </c>
      <c r="J943">
        <v>93825.78</v>
      </c>
      <c r="K943" t="s">
        <v>23</v>
      </c>
      <c r="L943">
        <v>8.1889672736930083E-2</v>
      </c>
      <c r="M943" t="s">
        <v>23</v>
      </c>
      <c r="N943">
        <v>0</v>
      </c>
      <c r="O943">
        <v>0</v>
      </c>
      <c r="P943" t="s">
        <v>34</v>
      </c>
      <c r="Q943" t="s">
        <v>33</v>
      </c>
      <c r="R943" t="s">
        <v>29</v>
      </c>
      <c r="S943" t="s">
        <v>45</v>
      </c>
      <c r="T943" t="s">
        <v>40</v>
      </c>
      <c r="U943">
        <f t="shared" si="14"/>
        <v>1</v>
      </c>
    </row>
    <row r="944" spans="1:21" x14ac:dyDescent="0.2">
      <c r="A944">
        <v>683</v>
      </c>
      <c r="B944" t="s">
        <v>20</v>
      </c>
      <c r="C944" t="s">
        <v>21</v>
      </c>
      <c r="D944">
        <v>56</v>
      </c>
      <c r="E944">
        <v>7</v>
      </c>
      <c r="F944">
        <v>50911.21</v>
      </c>
      <c r="G944">
        <v>3</v>
      </c>
      <c r="H944" t="s">
        <v>23</v>
      </c>
      <c r="I944" t="s">
        <v>23</v>
      </c>
      <c r="J944">
        <v>97629.31</v>
      </c>
      <c r="K944" t="s">
        <v>22</v>
      </c>
      <c r="L944">
        <v>0.3759343535767688</v>
      </c>
      <c r="M944" t="s">
        <v>23</v>
      </c>
      <c r="N944">
        <v>1</v>
      </c>
      <c r="O944">
        <v>0</v>
      </c>
      <c r="P944" t="s">
        <v>24</v>
      </c>
      <c r="Q944" t="s">
        <v>44</v>
      </c>
      <c r="R944" t="s">
        <v>38</v>
      </c>
      <c r="S944" t="s">
        <v>27</v>
      </c>
      <c r="T944" t="s">
        <v>40</v>
      </c>
      <c r="U944">
        <f t="shared" si="14"/>
        <v>0</v>
      </c>
    </row>
    <row r="945" spans="1:21" x14ac:dyDescent="0.2">
      <c r="A945">
        <v>534</v>
      </c>
      <c r="B945" t="s">
        <v>42</v>
      </c>
      <c r="C945" t="s">
        <v>32</v>
      </c>
      <c r="D945">
        <v>23</v>
      </c>
      <c r="E945">
        <v>5</v>
      </c>
      <c r="F945">
        <v>104822.45</v>
      </c>
      <c r="G945">
        <v>1</v>
      </c>
      <c r="H945" t="s">
        <v>23</v>
      </c>
      <c r="I945" t="s">
        <v>22</v>
      </c>
      <c r="J945">
        <v>160176.47</v>
      </c>
      <c r="K945" t="s">
        <v>23</v>
      </c>
      <c r="L945">
        <v>4.7211404147028367E-2</v>
      </c>
      <c r="M945" t="s">
        <v>23</v>
      </c>
      <c r="N945">
        <v>0</v>
      </c>
      <c r="O945">
        <v>0</v>
      </c>
      <c r="P945" t="s">
        <v>34</v>
      </c>
      <c r="Q945" t="s">
        <v>36</v>
      </c>
      <c r="R945" t="s">
        <v>26</v>
      </c>
      <c r="S945" t="s">
        <v>30</v>
      </c>
      <c r="T945" t="s">
        <v>31</v>
      </c>
      <c r="U945">
        <f t="shared" si="14"/>
        <v>1</v>
      </c>
    </row>
    <row r="946" spans="1:21" x14ac:dyDescent="0.2">
      <c r="A946">
        <v>849</v>
      </c>
      <c r="B946" t="s">
        <v>42</v>
      </c>
      <c r="C946" t="s">
        <v>21</v>
      </c>
      <c r="D946">
        <v>27</v>
      </c>
      <c r="E946">
        <v>0</v>
      </c>
      <c r="F946">
        <v>0</v>
      </c>
      <c r="G946">
        <v>2</v>
      </c>
      <c r="H946" t="s">
        <v>23</v>
      </c>
      <c r="I946" t="s">
        <v>22</v>
      </c>
      <c r="J946">
        <v>157891.85999999999</v>
      </c>
      <c r="K946" t="s">
        <v>23</v>
      </c>
      <c r="L946">
        <v>2.293320996056936E-2</v>
      </c>
      <c r="M946" t="s">
        <v>23</v>
      </c>
      <c r="N946">
        <v>0</v>
      </c>
      <c r="O946">
        <v>0</v>
      </c>
      <c r="P946" t="s">
        <v>34</v>
      </c>
      <c r="Q946" t="s">
        <v>36</v>
      </c>
      <c r="R946" t="s">
        <v>29</v>
      </c>
      <c r="S946" t="s">
        <v>39</v>
      </c>
      <c r="T946" t="s">
        <v>31</v>
      </c>
      <c r="U946">
        <f t="shared" si="14"/>
        <v>1</v>
      </c>
    </row>
    <row r="947" spans="1:21" x14ac:dyDescent="0.2">
      <c r="A947">
        <v>794</v>
      </c>
      <c r="B947" t="s">
        <v>20</v>
      </c>
      <c r="C947" t="s">
        <v>32</v>
      </c>
      <c r="D947">
        <v>22</v>
      </c>
      <c r="E947">
        <v>4</v>
      </c>
      <c r="F947">
        <v>114440.24</v>
      </c>
      <c r="G947">
        <v>1</v>
      </c>
      <c r="H947" t="s">
        <v>22</v>
      </c>
      <c r="I947" t="s">
        <v>22</v>
      </c>
      <c r="J947">
        <v>107753.07</v>
      </c>
      <c r="K947" t="s">
        <v>23</v>
      </c>
      <c r="L947">
        <v>3.7791023881202222E-2</v>
      </c>
      <c r="M947" t="s">
        <v>23</v>
      </c>
      <c r="N947">
        <v>0</v>
      </c>
      <c r="O947">
        <v>0</v>
      </c>
      <c r="P947" t="s">
        <v>34</v>
      </c>
      <c r="Q947" t="s">
        <v>36</v>
      </c>
      <c r="R947" t="s">
        <v>26</v>
      </c>
      <c r="S947" t="s">
        <v>37</v>
      </c>
      <c r="T947" t="s">
        <v>28</v>
      </c>
      <c r="U947">
        <f t="shared" si="14"/>
        <v>1</v>
      </c>
    </row>
    <row r="948" spans="1:21" x14ac:dyDescent="0.2">
      <c r="A948">
        <v>737</v>
      </c>
      <c r="B948" t="s">
        <v>42</v>
      </c>
      <c r="C948" t="s">
        <v>21</v>
      </c>
      <c r="D948">
        <v>54</v>
      </c>
      <c r="E948">
        <v>9</v>
      </c>
      <c r="F948">
        <v>0</v>
      </c>
      <c r="G948">
        <v>1</v>
      </c>
      <c r="H948" t="s">
        <v>22</v>
      </c>
      <c r="I948" t="s">
        <v>23</v>
      </c>
      <c r="J948">
        <v>83470.399999999994</v>
      </c>
      <c r="K948" t="s">
        <v>22</v>
      </c>
      <c r="L948">
        <v>0.32408167910486152</v>
      </c>
      <c r="M948" t="s">
        <v>23</v>
      </c>
      <c r="N948">
        <v>1</v>
      </c>
      <c r="O948">
        <v>0</v>
      </c>
      <c r="P948" t="s">
        <v>24</v>
      </c>
      <c r="Q948" t="s">
        <v>44</v>
      </c>
      <c r="R948" t="s">
        <v>29</v>
      </c>
      <c r="S948" t="s">
        <v>37</v>
      </c>
      <c r="T948" t="s">
        <v>40</v>
      </c>
      <c r="U948">
        <f t="shared" si="14"/>
        <v>0</v>
      </c>
    </row>
    <row r="949" spans="1:21" x14ac:dyDescent="0.2">
      <c r="A949">
        <v>590</v>
      </c>
      <c r="B949" t="s">
        <v>42</v>
      </c>
      <c r="C949" t="s">
        <v>32</v>
      </c>
      <c r="D949">
        <v>29</v>
      </c>
      <c r="E949">
        <v>4</v>
      </c>
      <c r="F949">
        <v>0</v>
      </c>
      <c r="G949">
        <v>2</v>
      </c>
      <c r="H949" t="s">
        <v>22</v>
      </c>
      <c r="I949" t="s">
        <v>23</v>
      </c>
      <c r="J949">
        <v>121846.81</v>
      </c>
      <c r="K949" t="s">
        <v>23</v>
      </c>
      <c r="L949">
        <v>0.12798855800059189</v>
      </c>
      <c r="M949" t="s">
        <v>23</v>
      </c>
      <c r="N949">
        <v>0</v>
      </c>
      <c r="O949">
        <v>0</v>
      </c>
      <c r="P949" t="s">
        <v>34</v>
      </c>
      <c r="Q949" t="s">
        <v>36</v>
      </c>
      <c r="R949" t="s">
        <v>29</v>
      </c>
      <c r="S949" t="s">
        <v>30</v>
      </c>
      <c r="T949" t="s">
        <v>28</v>
      </c>
      <c r="U949">
        <f t="shared" si="14"/>
        <v>1</v>
      </c>
    </row>
    <row r="950" spans="1:21" x14ac:dyDescent="0.2">
      <c r="A950">
        <v>763</v>
      </c>
      <c r="B950" t="s">
        <v>42</v>
      </c>
      <c r="C950" t="s">
        <v>21</v>
      </c>
      <c r="D950">
        <v>40</v>
      </c>
      <c r="E950">
        <v>3</v>
      </c>
      <c r="F950">
        <v>0</v>
      </c>
      <c r="G950">
        <v>2</v>
      </c>
      <c r="H950" t="s">
        <v>22</v>
      </c>
      <c r="I950" t="s">
        <v>23</v>
      </c>
      <c r="J950">
        <v>134281.10999999999</v>
      </c>
      <c r="K950" t="s">
        <v>23</v>
      </c>
      <c r="L950">
        <v>0.14862349311327419</v>
      </c>
      <c r="M950" t="s">
        <v>23</v>
      </c>
      <c r="N950">
        <v>0</v>
      </c>
      <c r="O950">
        <v>0</v>
      </c>
      <c r="P950" t="s">
        <v>34</v>
      </c>
      <c r="Q950" t="s">
        <v>33</v>
      </c>
      <c r="R950" t="s">
        <v>29</v>
      </c>
      <c r="S950" t="s">
        <v>37</v>
      </c>
      <c r="T950" t="s">
        <v>28</v>
      </c>
      <c r="U950">
        <f t="shared" si="14"/>
        <v>1</v>
      </c>
    </row>
    <row r="951" spans="1:21" x14ac:dyDescent="0.2">
      <c r="A951">
        <v>790</v>
      </c>
      <c r="B951" t="s">
        <v>20</v>
      </c>
      <c r="C951" t="s">
        <v>21</v>
      </c>
      <c r="D951">
        <v>32</v>
      </c>
      <c r="E951">
        <v>3</v>
      </c>
      <c r="F951">
        <v>0</v>
      </c>
      <c r="G951">
        <v>1</v>
      </c>
      <c r="H951" t="s">
        <v>22</v>
      </c>
      <c r="I951" t="s">
        <v>23</v>
      </c>
      <c r="J951">
        <v>91044.47</v>
      </c>
      <c r="K951" t="s">
        <v>23</v>
      </c>
      <c r="L951">
        <v>9.6369473011884726E-2</v>
      </c>
      <c r="M951" t="s">
        <v>23</v>
      </c>
      <c r="N951">
        <v>0</v>
      </c>
      <c r="O951">
        <v>0</v>
      </c>
      <c r="P951" t="s">
        <v>34</v>
      </c>
      <c r="Q951" t="s">
        <v>33</v>
      </c>
      <c r="R951" t="s">
        <v>29</v>
      </c>
      <c r="S951" t="s">
        <v>37</v>
      </c>
      <c r="T951" t="s">
        <v>40</v>
      </c>
      <c r="U951">
        <f t="shared" si="14"/>
        <v>1</v>
      </c>
    </row>
    <row r="952" spans="1:21" x14ac:dyDescent="0.2">
      <c r="A952">
        <v>581</v>
      </c>
      <c r="B952" t="s">
        <v>42</v>
      </c>
      <c r="C952" t="s">
        <v>21</v>
      </c>
      <c r="D952">
        <v>37</v>
      </c>
      <c r="E952">
        <v>7</v>
      </c>
      <c r="F952">
        <v>0</v>
      </c>
      <c r="G952">
        <v>2</v>
      </c>
      <c r="H952" t="s">
        <v>22</v>
      </c>
      <c r="I952" t="s">
        <v>22</v>
      </c>
      <c r="J952">
        <v>74320.75</v>
      </c>
      <c r="K952" t="s">
        <v>23</v>
      </c>
      <c r="L952">
        <v>4.5478167102176753E-2</v>
      </c>
      <c r="M952" t="s">
        <v>23</v>
      </c>
      <c r="N952">
        <v>0</v>
      </c>
      <c r="O952">
        <v>0</v>
      </c>
      <c r="P952" t="s">
        <v>34</v>
      </c>
      <c r="Q952" t="s">
        <v>33</v>
      </c>
      <c r="R952" t="s">
        <v>29</v>
      </c>
      <c r="S952" t="s">
        <v>30</v>
      </c>
      <c r="T952" t="s">
        <v>40</v>
      </c>
      <c r="U952">
        <f t="shared" si="14"/>
        <v>1</v>
      </c>
    </row>
    <row r="953" spans="1:21" x14ac:dyDescent="0.2">
      <c r="A953">
        <v>737</v>
      </c>
      <c r="B953" t="s">
        <v>42</v>
      </c>
      <c r="C953" t="s">
        <v>21</v>
      </c>
      <c r="D953">
        <v>44</v>
      </c>
      <c r="E953">
        <v>7</v>
      </c>
      <c r="F953">
        <v>0</v>
      </c>
      <c r="G953">
        <v>2</v>
      </c>
      <c r="H953" t="s">
        <v>23</v>
      </c>
      <c r="I953" t="s">
        <v>23</v>
      </c>
      <c r="J953">
        <v>57898.58</v>
      </c>
      <c r="K953" t="s">
        <v>23</v>
      </c>
      <c r="L953">
        <v>0.17929423333815789</v>
      </c>
      <c r="M953" t="s">
        <v>23</v>
      </c>
      <c r="N953">
        <v>0</v>
      </c>
      <c r="O953">
        <v>0</v>
      </c>
      <c r="P953" t="s">
        <v>34</v>
      </c>
      <c r="Q953" t="s">
        <v>25</v>
      </c>
      <c r="R953" t="s">
        <v>29</v>
      </c>
      <c r="S953" t="s">
        <v>37</v>
      </c>
      <c r="T953" t="s">
        <v>40</v>
      </c>
      <c r="U953">
        <f t="shared" si="14"/>
        <v>1</v>
      </c>
    </row>
    <row r="954" spans="1:21" x14ac:dyDescent="0.2">
      <c r="A954">
        <v>579</v>
      </c>
      <c r="B954" t="s">
        <v>42</v>
      </c>
      <c r="C954" t="s">
        <v>21</v>
      </c>
      <c r="D954">
        <v>31</v>
      </c>
      <c r="E954">
        <v>6</v>
      </c>
      <c r="F954">
        <v>0</v>
      </c>
      <c r="G954">
        <v>2</v>
      </c>
      <c r="H954" t="s">
        <v>22</v>
      </c>
      <c r="I954" t="s">
        <v>23</v>
      </c>
      <c r="J954">
        <v>26149.25</v>
      </c>
      <c r="K954" t="s">
        <v>23</v>
      </c>
      <c r="L954">
        <v>8.2879687968412982E-2</v>
      </c>
      <c r="M954" t="s">
        <v>23</v>
      </c>
      <c r="N954">
        <v>0</v>
      </c>
      <c r="O954">
        <v>0</v>
      </c>
      <c r="P954" t="s">
        <v>34</v>
      </c>
      <c r="Q954" t="s">
        <v>33</v>
      </c>
      <c r="R954" t="s">
        <v>29</v>
      </c>
      <c r="S954" t="s">
        <v>30</v>
      </c>
      <c r="T954" t="s">
        <v>35</v>
      </c>
      <c r="U954">
        <f t="shared" si="14"/>
        <v>1</v>
      </c>
    </row>
    <row r="955" spans="1:21" x14ac:dyDescent="0.2">
      <c r="A955">
        <v>437</v>
      </c>
      <c r="B955" t="s">
        <v>42</v>
      </c>
      <c r="C955" t="s">
        <v>21</v>
      </c>
      <c r="D955">
        <v>49</v>
      </c>
      <c r="E955">
        <v>9</v>
      </c>
      <c r="F955">
        <v>111634.29</v>
      </c>
      <c r="G955">
        <v>2</v>
      </c>
      <c r="H955" t="s">
        <v>23</v>
      </c>
      <c r="I955" t="s">
        <v>22</v>
      </c>
      <c r="J955">
        <v>166440.32000000001</v>
      </c>
      <c r="K955" t="s">
        <v>23</v>
      </c>
      <c r="L955">
        <v>0.1515036326434244</v>
      </c>
      <c r="M955" t="s">
        <v>23</v>
      </c>
      <c r="N955">
        <v>0</v>
      </c>
      <c r="O955">
        <v>0</v>
      </c>
      <c r="P955" t="s">
        <v>34</v>
      </c>
      <c r="Q955" t="s">
        <v>25</v>
      </c>
      <c r="R955" t="s">
        <v>26</v>
      </c>
      <c r="S955" t="s">
        <v>45</v>
      </c>
      <c r="T955" t="s">
        <v>31</v>
      </c>
      <c r="U955">
        <f t="shared" si="14"/>
        <v>1</v>
      </c>
    </row>
    <row r="956" spans="1:21" x14ac:dyDescent="0.2">
      <c r="A956">
        <v>764</v>
      </c>
      <c r="B956" t="s">
        <v>20</v>
      </c>
      <c r="C956" t="s">
        <v>21</v>
      </c>
      <c r="D956">
        <v>29</v>
      </c>
      <c r="E956">
        <v>5</v>
      </c>
      <c r="F956">
        <v>0</v>
      </c>
      <c r="G956">
        <v>2</v>
      </c>
      <c r="H956" t="s">
        <v>22</v>
      </c>
      <c r="I956" t="s">
        <v>23</v>
      </c>
      <c r="J956">
        <v>65868.28</v>
      </c>
      <c r="K956" t="s">
        <v>23</v>
      </c>
      <c r="L956">
        <v>6.9171769849942666E-2</v>
      </c>
      <c r="M956" t="s">
        <v>23</v>
      </c>
      <c r="N956">
        <v>0</v>
      </c>
      <c r="O956">
        <v>0</v>
      </c>
      <c r="P956" t="s">
        <v>34</v>
      </c>
      <c r="Q956" t="s">
        <v>36</v>
      </c>
      <c r="R956" t="s">
        <v>29</v>
      </c>
      <c r="S956" t="s">
        <v>37</v>
      </c>
      <c r="T956" t="s">
        <v>40</v>
      </c>
      <c r="U956">
        <f t="shared" si="14"/>
        <v>1</v>
      </c>
    </row>
    <row r="957" spans="1:21" x14ac:dyDescent="0.2">
      <c r="A957">
        <v>699</v>
      </c>
      <c r="B957" t="s">
        <v>20</v>
      </c>
      <c r="C957" t="s">
        <v>21</v>
      </c>
      <c r="D957">
        <v>40</v>
      </c>
      <c r="E957">
        <v>2</v>
      </c>
      <c r="F957">
        <v>0</v>
      </c>
      <c r="G957">
        <v>1</v>
      </c>
      <c r="H957" t="s">
        <v>22</v>
      </c>
      <c r="I957" t="s">
        <v>23</v>
      </c>
      <c r="J957">
        <v>78387.320000000007</v>
      </c>
      <c r="K957" t="s">
        <v>23</v>
      </c>
      <c r="L957">
        <v>0.17213401404140269</v>
      </c>
      <c r="M957" t="s">
        <v>23</v>
      </c>
      <c r="N957">
        <v>0</v>
      </c>
      <c r="O957">
        <v>0</v>
      </c>
      <c r="P957" t="s">
        <v>34</v>
      </c>
      <c r="Q957" t="s">
        <v>33</v>
      </c>
      <c r="R957" t="s">
        <v>29</v>
      </c>
      <c r="S957" t="s">
        <v>27</v>
      </c>
      <c r="T957" t="s">
        <v>40</v>
      </c>
      <c r="U957">
        <f t="shared" si="14"/>
        <v>1</v>
      </c>
    </row>
    <row r="958" spans="1:21" x14ac:dyDescent="0.2">
      <c r="A958">
        <v>544</v>
      </c>
      <c r="B958" t="s">
        <v>42</v>
      </c>
      <c r="C958" t="s">
        <v>32</v>
      </c>
      <c r="D958">
        <v>40</v>
      </c>
      <c r="E958">
        <v>7</v>
      </c>
      <c r="F958">
        <v>0</v>
      </c>
      <c r="G958">
        <v>1</v>
      </c>
      <c r="H958" t="s">
        <v>23</v>
      </c>
      <c r="I958" t="s">
        <v>22</v>
      </c>
      <c r="J958">
        <v>161076.92000000001</v>
      </c>
      <c r="K958" t="s">
        <v>23</v>
      </c>
      <c r="L958">
        <v>0.11259072130611671</v>
      </c>
      <c r="M958" t="s">
        <v>23</v>
      </c>
      <c r="N958">
        <v>0</v>
      </c>
      <c r="O958">
        <v>0</v>
      </c>
      <c r="P958" t="s">
        <v>34</v>
      </c>
      <c r="Q958" t="s">
        <v>33</v>
      </c>
      <c r="R958" t="s">
        <v>29</v>
      </c>
      <c r="S958" t="s">
        <v>30</v>
      </c>
      <c r="T958" t="s">
        <v>31</v>
      </c>
      <c r="U958">
        <f t="shared" si="14"/>
        <v>1</v>
      </c>
    </row>
    <row r="959" spans="1:21" x14ac:dyDescent="0.2">
      <c r="A959">
        <v>694</v>
      </c>
      <c r="B959" t="s">
        <v>42</v>
      </c>
      <c r="C959" t="s">
        <v>21</v>
      </c>
      <c r="D959">
        <v>42</v>
      </c>
      <c r="E959">
        <v>3</v>
      </c>
      <c r="F959">
        <v>156864.20000000001</v>
      </c>
      <c r="G959">
        <v>2</v>
      </c>
      <c r="H959" t="s">
        <v>23</v>
      </c>
      <c r="I959" t="s">
        <v>23</v>
      </c>
      <c r="J959">
        <v>88890.75</v>
      </c>
      <c r="K959" t="s">
        <v>23</v>
      </c>
      <c r="L959">
        <v>0.242999695702806</v>
      </c>
      <c r="M959" t="s">
        <v>23</v>
      </c>
      <c r="N959">
        <v>0</v>
      </c>
      <c r="O959">
        <v>0</v>
      </c>
      <c r="P959" t="s">
        <v>24</v>
      </c>
      <c r="Q959" t="s">
        <v>25</v>
      </c>
      <c r="R959" t="s">
        <v>47</v>
      </c>
      <c r="S959" t="s">
        <v>27</v>
      </c>
      <c r="T959" t="s">
        <v>40</v>
      </c>
      <c r="U959">
        <f t="shared" si="14"/>
        <v>1</v>
      </c>
    </row>
    <row r="960" spans="1:21" x14ac:dyDescent="0.2">
      <c r="A960">
        <v>710</v>
      </c>
      <c r="B960" t="s">
        <v>42</v>
      </c>
      <c r="C960" t="s">
        <v>21</v>
      </c>
      <c r="D960">
        <v>45</v>
      </c>
      <c r="E960">
        <v>1</v>
      </c>
      <c r="F960">
        <v>0</v>
      </c>
      <c r="G960">
        <v>2</v>
      </c>
      <c r="H960" t="s">
        <v>22</v>
      </c>
      <c r="I960" t="s">
        <v>22</v>
      </c>
      <c r="J960">
        <v>36154.660000000003</v>
      </c>
      <c r="K960" t="s">
        <v>23</v>
      </c>
      <c r="L960">
        <v>7.9880657140066647E-2</v>
      </c>
      <c r="M960" t="s">
        <v>23</v>
      </c>
      <c r="N960">
        <v>0</v>
      </c>
      <c r="O960">
        <v>0</v>
      </c>
      <c r="P960" t="s">
        <v>34</v>
      </c>
      <c r="Q960" t="s">
        <v>25</v>
      </c>
      <c r="R960" t="s">
        <v>29</v>
      </c>
      <c r="S960" t="s">
        <v>37</v>
      </c>
      <c r="T960" t="s">
        <v>35</v>
      </c>
      <c r="U960">
        <f t="shared" si="14"/>
        <v>1</v>
      </c>
    </row>
    <row r="961" spans="1:21" x14ac:dyDescent="0.2">
      <c r="A961">
        <v>682</v>
      </c>
      <c r="B961" t="s">
        <v>20</v>
      </c>
      <c r="C961" t="s">
        <v>32</v>
      </c>
      <c r="D961">
        <v>50</v>
      </c>
      <c r="E961">
        <v>10</v>
      </c>
      <c r="F961">
        <v>128039.01</v>
      </c>
      <c r="G961">
        <v>1</v>
      </c>
      <c r="H961" t="s">
        <v>22</v>
      </c>
      <c r="I961" t="s">
        <v>22</v>
      </c>
      <c r="J961">
        <v>102260.16</v>
      </c>
      <c r="K961" t="s">
        <v>23</v>
      </c>
      <c r="L961">
        <v>0.23606666219476591</v>
      </c>
      <c r="M961" t="s">
        <v>23</v>
      </c>
      <c r="N961">
        <v>0</v>
      </c>
      <c r="O961">
        <v>0</v>
      </c>
      <c r="P961" t="s">
        <v>24</v>
      </c>
      <c r="Q961" t="s">
        <v>25</v>
      </c>
      <c r="R961" t="s">
        <v>26</v>
      </c>
      <c r="S961" t="s">
        <v>27</v>
      </c>
      <c r="T961" t="s">
        <v>28</v>
      </c>
      <c r="U961">
        <f t="shared" si="14"/>
        <v>1</v>
      </c>
    </row>
    <row r="962" spans="1:21" x14ac:dyDescent="0.2">
      <c r="A962">
        <v>817</v>
      </c>
      <c r="B962" t="s">
        <v>41</v>
      </c>
      <c r="C962" t="s">
        <v>21</v>
      </c>
      <c r="D962">
        <v>58</v>
      </c>
      <c r="E962">
        <v>3</v>
      </c>
      <c r="F962">
        <v>114327.59</v>
      </c>
      <c r="G962">
        <v>2</v>
      </c>
      <c r="H962" t="s">
        <v>22</v>
      </c>
      <c r="I962" t="s">
        <v>22</v>
      </c>
      <c r="J962">
        <v>42831.11</v>
      </c>
      <c r="K962" t="s">
        <v>23</v>
      </c>
      <c r="L962">
        <v>0.37583804958746059</v>
      </c>
      <c r="M962" t="s">
        <v>23</v>
      </c>
      <c r="N962">
        <v>0</v>
      </c>
      <c r="O962">
        <v>0</v>
      </c>
      <c r="P962" t="s">
        <v>24</v>
      </c>
      <c r="Q962" t="s">
        <v>44</v>
      </c>
      <c r="R962" t="s">
        <v>26</v>
      </c>
      <c r="S962" t="s">
        <v>39</v>
      </c>
      <c r="T962" t="s">
        <v>35</v>
      </c>
      <c r="U962">
        <f t="shared" ref="U962:U1025" si="15">IF(K962=M962,1,0)</f>
        <v>1</v>
      </c>
    </row>
    <row r="963" spans="1:21" x14ac:dyDescent="0.2">
      <c r="A963">
        <v>682</v>
      </c>
      <c r="B963" t="s">
        <v>41</v>
      </c>
      <c r="C963" t="s">
        <v>21</v>
      </c>
      <c r="D963">
        <v>81</v>
      </c>
      <c r="E963">
        <v>6</v>
      </c>
      <c r="F963">
        <v>122029.15</v>
      </c>
      <c r="G963">
        <v>1</v>
      </c>
      <c r="H963" t="s">
        <v>22</v>
      </c>
      <c r="I963" t="s">
        <v>22</v>
      </c>
      <c r="J963">
        <v>50783.88</v>
      </c>
      <c r="K963" t="s">
        <v>23</v>
      </c>
      <c r="L963">
        <v>0.79522487000844722</v>
      </c>
      <c r="M963" t="s">
        <v>22</v>
      </c>
      <c r="N963">
        <v>0</v>
      </c>
      <c r="O963">
        <v>1</v>
      </c>
      <c r="P963" t="s">
        <v>43</v>
      </c>
      <c r="Q963" t="s">
        <v>46</v>
      </c>
      <c r="R963" t="s">
        <v>26</v>
      </c>
      <c r="S963" t="s">
        <v>27</v>
      </c>
      <c r="T963" t="s">
        <v>40</v>
      </c>
      <c r="U963">
        <f t="shared" si="15"/>
        <v>0</v>
      </c>
    </row>
    <row r="964" spans="1:21" x14ac:dyDescent="0.2">
      <c r="A964">
        <v>670</v>
      </c>
      <c r="B964" t="s">
        <v>42</v>
      </c>
      <c r="C964" t="s">
        <v>32</v>
      </c>
      <c r="D964">
        <v>54</v>
      </c>
      <c r="E964">
        <v>2</v>
      </c>
      <c r="F964">
        <v>95507.12</v>
      </c>
      <c r="G964">
        <v>1</v>
      </c>
      <c r="H964" t="s">
        <v>22</v>
      </c>
      <c r="I964" t="s">
        <v>22</v>
      </c>
      <c r="J964">
        <v>63213.31</v>
      </c>
      <c r="K964" t="s">
        <v>23</v>
      </c>
      <c r="L964">
        <v>0.29809847983894988</v>
      </c>
      <c r="M964" t="s">
        <v>23</v>
      </c>
      <c r="N964">
        <v>0</v>
      </c>
      <c r="O964">
        <v>0</v>
      </c>
      <c r="P964" t="s">
        <v>24</v>
      </c>
      <c r="Q964" t="s">
        <v>44</v>
      </c>
      <c r="R964" t="s">
        <v>38</v>
      </c>
      <c r="S964" t="s">
        <v>27</v>
      </c>
      <c r="T964" t="s">
        <v>40</v>
      </c>
      <c r="U964">
        <f t="shared" si="15"/>
        <v>1</v>
      </c>
    </row>
    <row r="965" spans="1:21" x14ac:dyDescent="0.2">
      <c r="A965">
        <v>505</v>
      </c>
      <c r="B965" t="s">
        <v>41</v>
      </c>
      <c r="C965" t="s">
        <v>21</v>
      </c>
      <c r="D965">
        <v>43</v>
      </c>
      <c r="E965">
        <v>6</v>
      </c>
      <c r="F965">
        <v>127146.68</v>
      </c>
      <c r="G965">
        <v>1</v>
      </c>
      <c r="H965" t="s">
        <v>23</v>
      </c>
      <c r="I965" t="s">
        <v>23</v>
      </c>
      <c r="J965">
        <v>137565.87</v>
      </c>
      <c r="K965" t="s">
        <v>23</v>
      </c>
      <c r="L965">
        <v>0.46292106784602932</v>
      </c>
      <c r="M965" t="s">
        <v>23</v>
      </c>
      <c r="N965">
        <v>0</v>
      </c>
      <c r="O965">
        <v>0</v>
      </c>
      <c r="P965" t="s">
        <v>24</v>
      </c>
      <c r="Q965" t="s">
        <v>25</v>
      </c>
      <c r="R965" t="s">
        <v>26</v>
      </c>
      <c r="S965" t="s">
        <v>30</v>
      </c>
      <c r="T965" t="s">
        <v>28</v>
      </c>
      <c r="U965">
        <f t="shared" si="15"/>
        <v>1</v>
      </c>
    </row>
    <row r="966" spans="1:21" x14ac:dyDescent="0.2">
      <c r="A966">
        <v>592</v>
      </c>
      <c r="B966" t="s">
        <v>42</v>
      </c>
      <c r="C966" t="s">
        <v>21</v>
      </c>
      <c r="D966">
        <v>36</v>
      </c>
      <c r="E966">
        <v>1</v>
      </c>
      <c r="F966">
        <v>126477.42</v>
      </c>
      <c r="G966">
        <v>1</v>
      </c>
      <c r="H966" t="s">
        <v>23</v>
      </c>
      <c r="I966" t="s">
        <v>23</v>
      </c>
      <c r="J966">
        <v>179718.17</v>
      </c>
      <c r="K966" t="s">
        <v>23</v>
      </c>
      <c r="L966">
        <v>0.19870640807198511</v>
      </c>
      <c r="M966" t="s">
        <v>23</v>
      </c>
      <c r="N966">
        <v>0</v>
      </c>
      <c r="O966">
        <v>0</v>
      </c>
      <c r="P966" t="s">
        <v>34</v>
      </c>
      <c r="Q966" t="s">
        <v>33</v>
      </c>
      <c r="R966" t="s">
        <v>26</v>
      </c>
      <c r="S966" t="s">
        <v>30</v>
      </c>
      <c r="T966" t="s">
        <v>31</v>
      </c>
      <c r="U966">
        <f t="shared" si="15"/>
        <v>1</v>
      </c>
    </row>
    <row r="967" spans="1:21" x14ac:dyDescent="0.2">
      <c r="A967">
        <v>546</v>
      </c>
      <c r="B967" t="s">
        <v>42</v>
      </c>
      <c r="C967" t="s">
        <v>32</v>
      </c>
      <c r="D967">
        <v>47</v>
      </c>
      <c r="E967">
        <v>8</v>
      </c>
      <c r="F967">
        <v>0</v>
      </c>
      <c r="G967">
        <v>1</v>
      </c>
      <c r="H967" t="s">
        <v>22</v>
      </c>
      <c r="I967" t="s">
        <v>22</v>
      </c>
      <c r="J967">
        <v>66408.009999999995</v>
      </c>
      <c r="K967" t="s">
        <v>22</v>
      </c>
      <c r="L967">
        <v>0.160711171186285</v>
      </c>
      <c r="M967" t="s">
        <v>23</v>
      </c>
      <c r="N967">
        <v>1</v>
      </c>
      <c r="O967">
        <v>0</v>
      </c>
      <c r="P967" t="s">
        <v>34</v>
      </c>
      <c r="Q967" t="s">
        <v>25</v>
      </c>
      <c r="R967" t="s">
        <v>29</v>
      </c>
      <c r="S967" t="s">
        <v>30</v>
      </c>
      <c r="T967" t="s">
        <v>40</v>
      </c>
      <c r="U967">
        <f t="shared" si="15"/>
        <v>0</v>
      </c>
    </row>
    <row r="968" spans="1:21" x14ac:dyDescent="0.2">
      <c r="A968">
        <v>772</v>
      </c>
      <c r="B968" t="s">
        <v>20</v>
      </c>
      <c r="C968" t="s">
        <v>32</v>
      </c>
      <c r="D968">
        <v>39</v>
      </c>
      <c r="E968">
        <v>4</v>
      </c>
      <c r="F968">
        <v>122486.11</v>
      </c>
      <c r="G968">
        <v>2</v>
      </c>
      <c r="H968" t="s">
        <v>22</v>
      </c>
      <c r="I968" t="s">
        <v>22</v>
      </c>
      <c r="J968">
        <v>140709.25</v>
      </c>
      <c r="K968" t="s">
        <v>23</v>
      </c>
      <c r="L968">
        <v>0.1162567665451746</v>
      </c>
      <c r="M968" t="s">
        <v>23</v>
      </c>
      <c r="N968">
        <v>0</v>
      </c>
      <c r="O968">
        <v>0</v>
      </c>
      <c r="P968" t="s">
        <v>34</v>
      </c>
      <c r="Q968" t="s">
        <v>33</v>
      </c>
      <c r="R968" t="s">
        <v>26</v>
      </c>
      <c r="S968" t="s">
        <v>37</v>
      </c>
      <c r="T968" t="s">
        <v>28</v>
      </c>
      <c r="U968">
        <f t="shared" si="15"/>
        <v>1</v>
      </c>
    </row>
    <row r="969" spans="1:21" x14ac:dyDescent="0.2">
      <c r="A969">
        <v>679</v>
      </c>
      <c r="B969" t="s">
        <v>20</v>
      </c>
      <c r="C969" t="s">
        <v>21</v>
      </c>
      <c r="D969">
        <v>58</v>
      </c>
      <c r="E969">
        <v>9</v>
      </c>
      <c r="F969">
        <v>109327.65</v>
      </c>
      <c r="G969">
        <v>1</v>
      </c>
      <c r="H969" t="s">
        <v>22</v>
      </c>
      <c r="I969" t="s">
        <v>22</v>
      </c>
      <c r="J969">
        <v>3829.13</v>
      </c>
      <c r="K969" t="s">
        <v>23</v>
      </c>
      <c r="L969">
        <v>0.22941894390618531</v>
      </c>
      <c r="M969" t="s">
        <v>23</v>
      </c>
      <c r="N969">
        <v>0</v>
      </c>
      <c r="O969">
        <v>0</v>
      </c>
      <c r="P969" t="s">
        <v>24</v>
      </c>
      <c r="Q969" t="s">
        <v>44</v>
      </c>
      <c r="R969" t="s">
        <v>26</v>
      </c>
      <c r="S969" t="s">
        <v>27</v>
      </c>
      <c r="T969" t="s">
        <v>35</v>
      </c>
      <c r="U969">
        <f t="shared" si="15"/>
        <v>1</v>
      </c>
    </row>
    <row r="970" spans="1:21" x14ac:dyDescent="0.2">
      <c r="A970">
        <v>515</v>
      </c>
      <c r="B970" t="s">
        <v>42</v>
      </c>
      <c r="C970" t="s">
        <v>21</v>
      </c>
      <c r="D970">
        <v>40</v>
      </c>
      <c r="E970">
        <v>0</v>
      </c>
      <c r="F970">
        <v>109542.29</v>
      </c>
      <c r="G970">
        <v>1</v>
      </c>
      <c r="H970" t="s">
        <v>22</v>
      </c>
      <c r="I970" t="s">
        <v>22</v>
      </c>
      <c r="J970">
        <v>166370.81</v>
      </c>
      <c r="K970" t="s">
        <v>23</v>
      </c>
      <c r="L970">
        <v>9.9861010365118394E-2</v>
      </c>
      <c r="M970" t="s">
        <v>23</v>
      </c>
      <c r="N970">
        <v>0</v>
      </c>
      <c r="O970">
        <v>0</v>
      </c>
      <c r="P970" t="s">
        <v>34</v>
      </c>
      <c r="Q970" t="s">
        <v>33</v>
      </c>
      <c r="R970" t="s">
        <v>26</v>
      </c>
      <c r="S970" t="s">
        <v>30</v>
      </c>
      <c r="T970" t="s">
        <v>31</v>
      </c>
      <c r="U970">
        <f t="shared" si="15"/>
        <v>1</v>
      </c>
    </row>
    <row r="971" spans="1:21" x14ac:dyDescent="0.2">
      <c r="A971">
        <v>643</v>
      </c>
      <c r="B971" t="s">
        <v>41</v>
      </c>
      <c r="C971" t="s">
        <v>21</v>
      </c>
      <c r="D971">
        <v>41</v>
      </c>
      <c r="E971">
        <v>2</v>
      </c>
      <c r="F971">
        <v>127841.52</v>
      </c>
      <c r="G971">
        <v>1</v>
      </c>
      <c r="H971" t="s">
        <v>22</v>
      </c>
      <c r="I971" t="s">
        <v>23</v>
      </c>
      <c r="J971">
        <v>172363.41</v>
      </c>
      <c r="K971" t="s">
        <v>23</v>
      </c>
      <c r="L971">
        <v>0.41972328733631092</v>
      </c>
      <c r="M971" t="s">
        <v>23</v>
      </c>
      <c r="N971">
        <v>0</v>
      </c>
      <c r="O971">
        <v>0</v>
      </c>
      <c r="P971" t="s">
        <v>24</v>
      </c>
      <c r="Q971" t="s">
        <v>25</v>
      </c>
      <c r="R971" t="s">
        <v>26</v>
      </c>
      <c r="S971" t="s">
        <v>27</v>
      </c>
      <c r="T971" t="s">
        <v>31</v>
      </c>
      <c r="U971">
        <f t="shared" si="15"/>
        <v>1</v>
      </c>
    </row>
    <row r="972" spans="1:21" x14ac:dyDescent="0.2">
      <c r="A972">
        <v>617</v>
      </c>
      <c r="B972" t="s">
        <v>42</v>
      </c>
      <c r="C972" t="s">
        <v>32</v>
      </c>
      <c r="D972">
        <v>24</v>
      </c>
      <c r="E972">
        <v>4</v>
      </c>
      <c r="F972">
        <v>137295.19</v>
      </c>
      <c r="G972">
        <v>2</v>
      </c>
      <c r="H972" t="s">
        <v>22</v>
      </c>
      <c r="I972" t="s">
        <v>22</v>
      </c>
      <c r="J972">
        <v>91195.12</v>
      </c>
      <c r="K972" t="s">
        <v>23</v>
      </c>
      <c r="L972">
        <v>4.4843549136615472E-2</v>
      </c>
      <c r="M972" t="s">
        <v>23</v>
      </c>
      <c r="N972">
        <v>0</v>
      </c>
      <c r="O972">
        <v>0</v>
      </c>
      <c r="P972" t="s">
        <v>34</v>
      </c>
      <c r="Q972" t="s">
        <v>36</v>
      </c>
      <c r="R972" t="s">
        <v>26</v>
      </c>
      <c r="S972" t="s">
        <v>27</v>
      </c>
      <c r="T972" t="s">
        <v>40</v>
      </c>
      <c r="U972">
        <f t="shared" si="15"/>
        <v>1</v>
      </c>
    </row>
    <row r="973" spans="1:21" x14ac:dyDescent="0.2">
      <c r="A973">
        <v>828</v>
      </c>
      <c r="B973" t="s">
        <v>41</v>
      </c>
      <c r="C973" t="s">
        <v>32</v>
      </c>
      <c r="D973">
        <v>25</v>
      </c>
      <c r="E973">
        <v>7</v>
      </c>
      <c r="F973">
        <v>144351.85999999999</v>
      </c>
      <c r="G973">
        <v>1</v>
      </c>
      <c r="H973" t="s">
        <v>22</v>
      </c>
      <c r="I973" t="s">
        <v>23</v>
      </c>
      <c r="J973">
        <v>116613.26</v>
      </c>
      <c r="K973" t="s">
        <v>23</v>
      </c>
      <c r="L973">
        <v>0.23581811458831431</v>
      </c>
      <c r="M973" t="s">
        <v>23</v>
      </c>
      <c r="N973">
        <v>0</v>
      </c>
      <c r="O973">
        <v>0</v>
      </c>
      <c r="P973" t="s">
        <v>24</v>
      </c>
      <c r="Q973" t="s">
        <v>36</v>
      </c>
      <c r="R973" t="s">
        <v>26</v>
      </c>
      <c r="S973" t="s">
        <v>39</v>
      </c>
      <c r="T973" t="s">
        <v>28</v>
      </c>
      <c r="U973">
        <f t="shared" si="15"/>
        <v>1</v>
      </c>
    </row>
    <row r="974" spans="1:21" x14ac:dyDescent="0.2">
      <c r="A974">
        <v>776</v>
      </c>
      <c r="B974" t="s">
        <v>20</v>
      </c>
      <c r="C974" t="s">
        <v>21</v>
      </c>
      <c r="D974">
        <v>35</v>
      </c>
      <c r="E974">
        <v>8</v>
      </c>
      <c r="F974">
        <v>106365.29</v>
      </c>
      <c r="G974">
        <v>1</v>
      </c>
      <c r="H974" t="s">
        <v>22</v>
      </c>
      <c r="I974" t="s">
        <v>22</v>
      </c>
      <c r="J974">
        <v>148527.56</v>
      </c>
      <c r="K974" t="s">
        <v>23</v>
      </c>
      <c r="L974">
        <v>5.2773566296447187E-2</v>
      </c>
      <c r="M974" t="s">
        <v>23</v>
      </c>
      <c r="N974">
        <v>0</v>
      </c>
      <c r="O974">
        <v>0</v>
      </c>
      <c r="P974" t="s">
        <v>34</v>
      </c>
      <c r="Q974" t="s">
        <v>33</v>
      </c>
      <c r="R974" t="s">
        <v>26</v>
      </c>
      <c r="S974" t="s">
        <v>37</v>
      </c>
      <c r="T974" t="s">
        <v>28</v>
      </c>
      <c r="U974">
        <f t="shared" si="15"/>
        <v>1</v>
      </c>
    </row>
    <row r="975" spans="1:21" x14ac:dyDescent="0.2">
      <c r="A975">
        <v>616</v>
      </c>
      <c r="B975" t="s">
        <v>41</v>
      </c>
      <c r="C975" t="s">
        <v>32</v>
      </c>
      <c r="D975">
        <v>45</v>
      </c>
      <c r="E975">
        <v>4</v>
      </c>
      <c r="F975">
        <v>122793.96</v>
      </c>
      <c r="G975">
        <v>1</v>
      </c>
      <c r="H975" t="s">
        <v>22</v>
      </c>
      <c r="I975" t="s">
        <v>22</v>
      </c>
      <c r="J975">
        <v>62002.04</v>
      </c>
      <c r="K975" t="s">
        <v>23</v>
      </c>
      <c r="L975">
        <v>0.33938417658220549</v>
      </c>
      <c r="M975" t="s">
        <v>23</v>
      </c>
      <c r="N975">
        <v>0</v>
      </c>
      <c r="O975">
        <v>0</v>
      </c>
      <c r="P975" t="s">
        <v>24</v>
      </c>
      <c r="Q975" t="s">
        <v>25</v>
      </c>
      <c r="R975" t="s">
        <v>26</v>
      </c>
      <c r="S975" t="s">
        <v>27</v>
      </c>
      <c r="T975" t="s">
        <v>40</v>
      </c>
      <c r="U975">
        <f t="shared" si="15"/>
        <v>1</v>
      </c>
    </row>
    <row r="976" spans="1:21" x14ac:dyDescent="0.2">
      <c r="A976">
        <v>553</v>
      </c>
      <c r="B976" t="s">
        <v>42</v>
      </c>
      <c r="C976" t="s">
        <v>32</v>
      </c>
      <c r="D976">
        <v>31</v>
      </c>
      <c r="E976">
        <v>4</v>
      </c>
      <c r="F976">
        <v>0</v>
      </c>
      <c r="G976">
        <v>2</v>
      </c>
      <c r="H976" t="s">
        <v>22</v>
      </c>
      <c r="I976" t="s">
        <v>22</v>
      </c>
      <c r="J976">
        <v>89087.4</v>
      </c>
      <c r="K976" t="s">
        <v>23</v>
      </c>
      <c r="L976">
        <v>5.450304984865173E-2</v>
      </c>
      <c r="M976" t="s">
        <v>23</v>
      </c>
      <c r="N976">
        <v>0</v>
      </c>
      <c r="O976">
        <v>0</v>
      </c>
      <c r="P976" t="s">
        <v>34</v>
      </c>
      <c r="Q976" t="s">
        <v>33</v>
      </c>
      <c r="R976" t="s">
        <v>29</v>
      </c>
      <c r="S976" t="s">
        <v>30</v>
      </c>
      <c r="T976" t="s">
        <v>40</v>
      </c>
      <c r="U976">
        <f t="shared" si="15"/>
        <v>1</v>
      </c>
    </row>
    <row r="977" spans="1:21" x14ac:dyDescent="0.2">
      <c r="A977">
        <v>554</v>
      </c>
      <c r="B977" t="s">
        <v>41</v>
      </c>
      <c r="C977" t="s">
        <v>21</v>
      </c>
      <c r="D977">
        <v>26</v>
      </c>
      <c r="E977">
        <v>4</v>
      </c>
      <c r="F977">
        <v>121365.39</v>
      </c>
      <c r="G977">
        <v>1</v>
      </c>
      <c r="H977" t="s">
        <v>22</v>
      </c>
      <c r="I977" t="s">
        <v>22</v>
      </c>
      <c r="J977">
        <v>8742.36</v>
      </c>
      <c r="K977" t="s">
        <v>23</v>
      </c>
      <c r="L977">
        <v>6.850028323419903E-2</v>
      </c>
      <c r="M977" t="s">
        <v>23</v>
      </c>
      <c r="N977">
        <v>0</v>
      </c>
      <c r="O977">
        <v>0</v>
      </c>
      <c r="P977" t="s">
        <v>34</v>
      </c>
      <c r="Q977" t="s">
        <v>36</v>
      </c>
      <c r="R977" t="s">
        <v>26</v>
      </c>
      <c r="S977" t="s">
        <v>30</v>
      </c>
      <c r="T977" t="s">
        <v>35</v>
      </c>
      <c r="U977">
        <f t="shared" si="15"/>
        <v>1</v>
      </c>
    </row>
    <row r="978" spans="1:21" x14ac:dyDescent="0.2">
      <c r="A978">
        <v>452</v>
      </c>
      <c r="B978" t="s">
        <v>42</v>
      </c>
      <c r="C978" t="s">
        <v>32</v>
      </c>
      <c r="D978">
        <v>35</v>
      </c>
      <c r="E978">
        <v>7</v>
      </c>
      <c r="F978">
        <v>0</v>
      </c>
      <c r="G978">
        <v>2</v>
      </c>
      <c r="H978" t="s">
        <v>22</v>
      </c>
      <c r="I978" t="s">
        <v>23</v>
      </c>
      <c r="J978">
        <v>164241.67000000001</v>
      </c>
      <c r="K978" t="s">
        <v>23</v>
      </c>
      <c r="L978">
        <v>0.1954456350279242</v>
      </c>
      <c r="M978" t="s">
        <v>23</v>
      </c>
      <c r="N978">
        <v>0</v>
      </c>
      <c r="O978">
        <v>0</v>
      </c>
      <c r="P978" t="s">
        <v>34</v>
      </c>
      <c r="Q978" t="s">
        <v>33</v>
      </c>
      <c r="R978" t="s">
        <v>29</v>
      </c>
      <c r="S978" t="s">
        <v>45</v>
      </c>
      <c r="T978" t="s">
        <v>31</v>
      </c>
      <c r="U978">
        <f t="shared" si="15"/>
        <v>1</v>
      </c>
    </row>
    <row r="979" spans="1:21" x14ac:dyDescent="0.2">
      <c r="A979">
        <v>554</v>
      </c>
      <c r="B979" t="s">
        <v>42</v>
      </c>
      <c r="C979" t="s">
        <v>32</v>
      </c>
      <c r="D979">
        <v>44</v>
      </c>
      <c r="E979">
        <v>6</v>
      </c>
      <c r="F979">
        <v>92436.86</v>
      </c>
      <c r="G979">
        <v>1</v>
      </c>
      <c r="H979" t="s">
        <v>22</v>
      </c>
      <c r="I979" t="s">
        <v>23</v>
      </c>
      <c r="J979">
        <v>126033.9</v>
      </c>
      <c r="K979" t="s">
        <v>23</v>
      </c>
      <c r="L979">
        <v>0.38270418404949769</v>
      </c>
      <c r="M979" t="s">
        <v>23</v>
      </c>
      <c r="N979">
        <v>0</v>
      </c>
      <c r="O979">
        <v>0</v>
      </c>
      <c r="P979" t="s">
        <v>24</v>
      </c>
      <c r="Q979" t="s">
        <v>25</v>
      </c>
      <c r="R979" t="s">
        <v>38</v>
      </c>
      <c r="S979" t="s">
        <v>30</v>
      </c>
      <c r="T979" t="s">
        <v>28</v>
      </c>
      <c r="U979">
        <f t="shared" si="15"/>
        <v>1</v>
      </c>
    </row>
    <row r="980" spans="1:21" x14ac:dyDescent="0.2">
      <c r="A980">
        <v>796</v>
      </c>
      <c r="B980" t="s">
        <v>41</v>
      </c>
      <c r="C980" t="s">
        <v>32</v>
      </c>
      <c r="D980">
        <v>52</v>
      </c>
      <c r="E980">
        <v>9</v>
      </c>
      <c r="F980">
        <v>167194.35999999999</v>
      </c>
      <c r="G980">
        <v>1</v>
      </c>
      <c r="H980" t="s">
        <v>22</v>
      </c>
      <c r="I980" t="s">
        <v>22</v>
      </c>
      <c r="J980">
        <v>62808.93</v>
      </c>
      <c r="K980" t="s">
        <v>22</v>
      </c>
      <c r="L980">
        <v>0.43631839372702602</v>
      </c>
      <c r="M980" t="s">
        <v>23</v>
      </c>
      <c r="N980">
        <v>1</v>
      </c>
      <c r="O980">
        <v>0</v>
      </c>
      <c r="P980" t="s">
        <v>24</v>
      </c>
      <c r="Q980" t="s">
        <v>44</v>
      </c>
      <c r="R980" t="s">
        <v>47</v>
      </c>
      <c r="S980" t="s">
        <v>37</v>
      </c>
      <c r="T980" t="s">
        <v>40</v>
      </c>
      <c r="U980">
        <f t="shared" si="15"/>
        <v>0</v>
      </c>
    </row>
    <row r="981" spans="1:21" x14ac:dyDescent="0.2">
      <c r="A981">
        <v>656</v>
      </c>
      <c r="B981" t="s">
        <v>20</v>
      </c>
      <c r="C981" t="s">
        <v>21</v>
      </c>
      <c r="D981">
        <v>33</v>
      </c>
      <c r="E981">
        <v>4</v>
      </c>
      <c r="F981">
        <v>0</v>
      </c>
      <c r="G981">
        <v>2</v>
      </c>
      <c r="H981" t="s">
        <v>22</v>
      </c>
      <c r="I981" t="s">
        <v>23</v>
      </c>
      <c r="J981">
        <v>116706</v>
      </c>
      <c r="K981" t="s">
        <v>23</v>
      </c>
      <c r="L981">
        <v>0.10151458018588561</v>
      </c>
      <c r="M981" t="s">
        <v>23</v>
      </c>
      <c r="N981">
        <v>0</v>
      </c>
      <c r="O981">
        <v>0</v>
      </c>
      <c r="P981" t="s">
        <v>34</v>
      </c>
      <c r="Q981" t="s">
        <v>33</v>
      </c>
      <c r="R981" t="s">
        <v>29</v>
      </c>
      <c r="S981" t="s">
        <v>27</v>
      </c>
      <c r="T981" t="s">
        <v>28</v>
      </c>
      <c r="U981">
        <f t="shared" si="15"/>
        <v>1</v>
      </c>
    </row>
    <row r="982" spans="1:21" x14ac:dyDescent="0.2">
      <c r="A982">
        <v>501</v>
      </c>
      <c r="B982" t="s">
        <v>42</v>
      </c>
      <c r="C982" t="s">
        <v>32</v>
      </c>
      <c r="D982">
        <v>29</v>
      </c>
      <c r="E982">
        <v>8</v>
      </c>
      <c r="F982">
        <v>0</v>
      </c>
      <c r="G982">
        <v>2</v>
      </c>
      <c r="H982" t="s">
        <v>22</v>
      </c>
      <c r="I982" t="s">
        <v>23</v>
      </c>
      <c r="J982">
        <v>112664.24</v>
      </c>
      <c r="K982" t="s">
        <v>23</v>
      </c>
      <c r="L982">
        <v>0.12547953264489639</v>
      </c>
      <c r="M982" t="s">
        <v>23</v>
      </c>
      <c r="N982">
        <v>0</v>
      </c>
      <c r="O982">
        <v>0</v>
      </c>
      <c r="P982" t="s">
        <v>34</v>
      </c>
      <c r="Q982" t="s">
        <v>36</v>
      </c>
      <c r="R982" t="s">
        <v>29</v>
      </c>
      <c r="S982" t="s">
        <v>30</v>
      </c>
      <c r="T982" t="s">
        <v>28</v>
      </c>
      <c r="U982">
        <f t="shared" si="15"/>
        <v>1</v>
      </c>
    </row>
    <row r="983" spans="1:21" x14ac:dyDescent="0.2">
      <c r="A983">
        <v>684</v>
      </c>
      <c r="B983" t="s">
        <v>41</v>
      </c>
      <c r="C983" t="s">
        <v>32</v>
      </c>
      <c r="D983">
        <v>46</v>
      </c>
      <c r="E983">
        <v>3</v>
      </c>
      <c r="F983">
        <v>102955.14</v>
      </c>
      <c r="G983">
        <v>2</v>
      </c>
      <c r="H983" t="s">
        <v>22</v>
      </c>
      <c r="I983" t="s">
        <v>23</v>
      </c>
      <c r="J983">
        <v>154137.32999999999</v>
      </c>
      <c r="K983" t="s">
        <v>23</v>
      </c>
      <c r="L983">
        <v>0.59074544305126597</v>
      </c>
      <c r="M983" t="s">
        <v>22</v>
      </c>
      <c r="N983">
        <v>0</v>
      </c>
      <c r="O983">
        <v>1</v>
      </c>
      <c r="P983" t="s">
        <v>43</v>
      </c>
      <c r="Q983" t="s">
        <v>25</v>
      </c>
      <c r="R983" t="s">
        <v>26</v>
      </c>
      <c r="S983" t="s">
        <v>27</v>
      </c>
      <c r="T983" t="s">
        <v>31</v>
      </c>
      <c r="U983">
        <f t="shared" si="15"/>
        <v>0</v>
      </c>
    </row>
    <row r="984" spans="1:21" x14ac:dyDescent="0.2">
      <c r="A984">
        <v>606</v>
      </c>
      <c r="B984" t="s">
        <v>20</v>
      </c>
      <c r="C984" t="s">
        <v>21</v>
      </c>
      <c r="D984">
        <v>38</v>
      </c>
      <c r="E984">
        <v>7</v>
      </c>
      <c r="F984">
        <v>128578.52</v>
      </c>
      <c r="G984">
        <v>1</v>
      </c>
      <c r="H984" t="s">
        <v>22</v>
      </c>
      <c r="I984" t="s">
        <v>22</v>
      </c>
      <c r="J984">
        <v>193878.51</v>
      </c>
      <c r="K984" t="s">
        <v>23</v>
      </c>
      <c r="L984">
        <v>7.979611287318529E-2</v>
      </c>
      <c r="M984" t="s">
        <v>23</v>
      </c>
      <c r="N984">
        <v>0</v>
      </c>
      <c r="O984">
        <v>0</v>
      </c>
      <c r="P984" t="s">
        <v>34</v>
      </c>
      <c r="Q984" t="s">
        <v>33</v>
      </c>
      <c r="R984" t="s">
        <v>26</v>
      </c>
      <c r="S984" t="s">
        <v>27</v>
      </c>
      <c r="T984" t="s">
        <v>31</v>
      </c>
      <c r="U984">
        <f t="shared" si="15"/>
        <v>1</v>
      </c>
    </row>
    <row r="985" spans="1:21" x14ac:dyDescent="0.2">
      <c r="A985">
        <v>660</v>
      </c>
      <c r="B985" t="s">
        <v>42</v>
      </c>
      <c r="C985" t="s">
        <v>32</v>
      </c>
      <c r="D985">
        <v>38</v>
      </c>
      <c r="E985">
        <v>5</v>
      </c>
      <c r="F985">
        <v>110570.78</v>
      </c>
      <c r="G985">
        <v>2</v>
      </c>
      <c r="H985" t="s">
        <v>22</v>
      </c>
      <c r="I985" t="s">
        <v>23</v>
      </c>
      <c r="J985">
        <v>195906.59</v>
      </c>
      <c r="K985" t="s">
        <v>23</v>
      </c>
      <c r="L985">
        <v>0.27028770406234209</v>
      </c>
      <c r="M985" t="s">
        <v>23</v>
      </c>
      <c r="N985">
        <v>0</v>
      </c>
      <c r="O985">
        <v>0</v>
      </c>
      <c r="P985" t="s">
        <v>24</v>
      </c>
      <c r="Q985" t="s">
        <v>33</v>
      </c>
      <c r="R985" t="s">
        <v>26</v>
      </c>
      <c r="S985" t="s">
        <v>27</v>
      </c>
      <c r="T985" t="s">
        <v>31</v>
      </c>
      <c r="U985">
        <f t="shared" si="15"/>
        <v>1</v>
      </c>
    </row>
    <row r="986" spans="1:21" x14ac:dyDescent="0.2">
      <c r="A986">
        <v>850</v>
      </c>
      <c r="B986" t="s">
        <v>42</v>
      </c>
      <c r="C986" t="s">
        <v>32</v>
      </c>
      <c r="D986">
        <v>33</v>
      </c>
      <c r="E986">
        <v>3</v>
      </c>
      <c r="F986">
        <v>0</v>
      </c>
      <c r="G986">
        <v>2</v>
      </c>
      <c r="H986" t="s">
        <v>22</v>
      </c>
      <c r="I986" t="s">
        <v>22</v>
      </c>
      <c r="J986">
        <v>11159.19</v>
      </c>
      <c r="K986" t="s">
        <v>23</v>
      </c>
      <c r="L986">
        <v>5.0455066812157931E-2</v>
      </c>
      <c r="M986" t="s">
        <v>23</v>
      </c>
      <c r="N986">
        <v>0</v>
      </c>
      <c r="O986">
        <v>0</v>
      </c>
      <c r="P986" t="s">
        <v>34</v>
      </c>
      <c r="Q986" t="s">
        <v>33</v>
      </c>
      <c r="R986" t="s">
        <v>29</v>
      </c>
      <c r="S986" t="s">
        <v>39</v>
      </c>
      <c r="T986" t="s">
        <v>35</v>
      </c>
      <c r="U986">
        <f t="shared" si="15"/>
        <v>1</v>
      </c>
    </row>
    <row r="987" spans="1:21" x14ac:dyDescent="0.2">
      <c r="A987">
        <v>712</v>
      </c>
      <c r="B987" t="s">
        <v>20</v>
      </c>
      <c r="C987" t="s">
        <v>32</v>
      </c>
      <c r="D987">
        <v>44</v>
      </c>
      <c r="E987">
        <v>2</v>
      </c>
      <c r="F987">
        <v>0</v>
      </c>
      <c r="G987">
        <v>2</v>
      </c>
      <c r="H987" t="s">
        <v>23</v>
      </c>
      <c r="I987" t="s">
        <v>23</v>
      </c>
      <c r="J987">
        <v>45738.94</v>
      </c>
      <c r="K987" t="s">
        <v>23</v>
      </c>
      <c r="L987">
        <v>0.30453476587105538</v>
      </c>
      <c r="M987" t="s">
        <v>23</v>
      </c>
      <c r="N987">
        <v>0</v>
      </c>
      <c r="O987">
        <v>0</v>
      </c>
      <c r="P987" t="s">
        <v>24</v>
      </c>
      <c r="Q987" t="s">
        <v>25</v>
      </c>
      <c r="R987" t="s">
        <v>29</v>
      </c>
      <c r="S987" t="s">
        <v>37</v>
      </c>
      <c r="T987" t="s">
        <v>35</v>
      </c>
      <c r="U987">
        <f t="shared" si="15"/>
        <v>1</v>
      </c>
    </row>
    <row r="988" spans="1:21" x14ac:dyDescent="0.2">
      <c r="A988">
        <v>707</v>
      </c>
      <c r="B988" t="s">
        <v>42</v>
      </c>
      <c r="C988" t="s">
        <v>21</v>
      </c>
      <c r="D988">
        <v>42</v>
      </c>
      <c r="E988">
        <v>2</v>
      </c>
      <c r="F988">
        <v>16893.59</v>
      </c>
      <c r="G988">
        <v>1</v>
      </c>
      <c r="H988" t="s">
        <v>22</v>
      </c>
      <c r="I988" t="s">
        <v>22</v>
      </c>
      <c r="J988">
        <v>77502.559999999998</v>
      </c>
      <c r="K988" t="s">
        <v>23</v>
      </c>
      <c r="L988">
        <v>7.4942753456795616E-2</v>
      </c>
      <c r="M988" t="s">
        <v>23</v>
      </c>
      <c r="N988">
        <v>0</v>
      </c>
      <c r="O988">
        <v>0</v>
      </c>
      <c r="P988" t="s">
        <v>34</v>
      </c>
      <c r="Q988" t="s">
        <v>25</v>
      </c>
      <c r="R988" t="s">
        <v>48</v>
      </c>
      <c r="S988" t="s">
        <v>37</v>
      </c>
      <c r="T988" t="s">
        <v>40</v>
      </c>
      <c r="U988">
        <f t="shared" si="15"/>
        <v>1</v>
      </c>
    </row>
    <row r="989" spans="1:21" x14ac:dyDescent="0.2">
      <c r="A989">
        <v>636</v>
      </c>
      <c r="B989" t="s">
        <v>41</v>
      </c>
      <c r="C989" t="s">
        <v>32</v>
      </c>
      <c r="D989">
        <v>28</v>
      </c>
      <c r="E989">
        <v>2</v>
      </c>
      <c r="F989">
        <v>115265.14</v>
      </c>
      <c r="G989">
        <v>1</v>
      </c>
      <c r="H989" t="s">
        <v>23</v>
      </c>
      <c r="I989" t="s">
        <v>23</v>
      </c>
      <c r="J989">
        <v>191627.85</v>
      </c>
      <c r="K989" t="s">
        <v>23</v>
      </c>
      <c r="L989">
        <v>0.32670974529774149</v>
      </c>
      <c r="M989" t="s">
        <v>23</v>
      </c>
      <c r="N989">
        <v>0</v>
      </c>
      <c r="O989">
        <v>0</v>
      </c>
      <c r="P989" t="s">
        <v>24</v>
      </c>
      <c r="Q989" t="s">
        <v>36</v>
      </c>
      <c r="R989" t="s">
        <v>26</v>
      </c>
      <c r="S989" t="s">
        <v>27</v>
      </c>
      <c r="T989" t="s">
        <v>31</v>
      </c>
      <c r="U989">
        <f t="shared" si="15"/>
        <v>1</v>
      </c>
    </row>
    <row r="990" spans="1:21" x14ac:dyDescent="0.2">
      <c r="A990">
        <v>739</v>
      </c>
      <c r="B990" t="s">
        <v>20</v>
      </c>
      <c r="C990" t="s">
        <v>21</v>
      </c>
      <c r="D990">
        <v>31</v>
      </c>
      <c r="E990">
        <v>1</v>
      </c>
      <c r="F990">
        <v>0</v>
      </c>
      <c r="G990">
        <v>2</v>
      </c>
      <c r="H990" t="s">
        <v>22</v>
      </c>
      <c r="I990" t="s">
        <v>22</v>
      </c>
      <c r="J990">
        <v>58469.75</v>
      </c>
      <c r="K990" t="s">
        <v>23</v>
      </c>
      <c r="L990">
        <v>3.0797428862912542E-2</v>
      </c>
      <c r="M990" t="s">
        <v>23</v>
      </c>
      <c r="N990">
        <v>0</v>
      </c>
      <c r="O990">
        <v>0</v>
      </c>
      <c r="P990" t="s">
        <v>34</v>
      </c>
      <c r="Q990" t="s">
        <v>33</v>
      </c>
      <c r="R990" t="s">
        <v>29</v>
      </c>
      <c r="S990" t="s">
        <v>37</v>
      </c>
      <c r="T990" t="s">
        <v>40</v>
      </c>
      <c r="U990">
        <f t="shared" si="15"/>
        <v>1</v>
      </c>
    </row>
    <row r="991" spans="1:21" x14ac:dyDescent="0.2">
      <c r="A991">
        <v>767</v>
      </c>
      <c r="B991" t="s">
        <v>41</v>
      </c>
      <c r="C991" t="s">
        <v>21</v>
      </c>
      <c r="D991">
        <v>23</v>
      </c>
      <c r="E991">
        <v>2</v>
      </c>
      <c r="F991">
        <v>139542.82</v>
      </c>
      <c r="G991">
        <v>1</v>
      </c>
      <c r="H991" t="s">
        <v>23</v>
      </c>
      <c r="I991" t="s">
        <v>22</v>
      </c>
      <c r="J991">
        <v>28038.28</v>
      </c>
      <c r="K991" t="s">
        <v>23</v>
      </c>
      <c r="L991">
        <v>5.4696521326668808E-2</v>
      </c>
      <c r="M991" t="s">
        <v>23</v>
      </c>
      <c r="N991">
        <v>0</v>
      </c>
      <c r="O991">
        <v>0</v>
      </c>
      <c r="P991" t="s">
        <v>34</v>
      </c>
      <c r="Q991" t="s">
        <v>36</v>
      </c>
      <c r="R991" t="s">
        <v>26</v>
      </c>
      <c r="S991" t="s">
        <v>37</v>
      </c>
      <c r="T991" t="s">
        <v>35</v>
      </c>
      <c r="U991">
        <f t="shared" si="15"/>
        <v>1</v>
      </c>
    </row>
    <row r="992" spans="1:21" x14ac:dyDescent="0.2">
      <c r="A992">
        <v>714</v>
      </c>
      <c r="B992" t="s">
        <v>42</v>
      </c>
      <c r="C992" t="s">
        <v>21</v>
      </c>
      <c r="D992">
        <v>37</v>
      </c>
      <c r="E992">
        <v>9</v>
      </c>
      <c r="F992">
        <v>148466.93</v>
      </c>
      <c r="G992">
        <v>2</v>
      </c>
      <c r="H992" t="s">
        <v>23</v>
      </c>
      <c r="I992" t="s">
        <v>22</v>
      </c>
      <c r="J992">
        <v>151280.95999999999</v>
      </c>
      <c r="K992" t="s">
        <v>23</v>
      </c>
      <c r="L992">
        <v>6.2061011235571721E-2</v>
      </c>
      <c r="M992" t="s">
        <v>23</v>
      </c>
      <c r="N992">
        <v>0</v>
      </c>
      <c r="O992">
        <v>0</v>
      </c>
      <c r="P992" t="s">
        <v>34</v>
      </c>
      <c r="Q992" t="s">
        <v>33</v>
      </c>
      <c r="R992" t="s">
        <v>26</v>
      </c>
      <c r="S992" t="s">
        <v>37</v>
      </c>
      <c r="T992" t="s">
        <v>31</v>
      </c>
      <c r="U992">
        <f t="shared" si="15"/>
        <v>1</v>
      </c>
    </row>
    <row r="993" spans="1:21" x14ac:dyDescent="0.2">
      <c r="A993">
        <v>633</v>
      </c>
      <c r="B993" t="s">
        <v>42</v>
      </c>
      <c r="C993" t="s">
        <v>32</v>
      </c>
      <c r="D993">
        <v>42</v>
      </c>
      <c r="E993">
        <v>1</v>
      </c>
      <c r="F993">
        <v>0</v>
      </c>
      <c r="G993">
        <v>2</v>
      </c>
      <c r="H993" t="s">
        <v>22</v>
      </c>
      <c r="I993" t="s">
        <v>23</v>
      </c>
      <c r="J993">
        <v>56865.62</v>
      </c>
      <c r="K993" t="s">
        <v>23</v>
      </c>
      <c r="L993">
        <v>0.27613539446566249</v>
      </c>
      <c r="M993" t="s">
        <v>23</v>
      </c>
      <c r="N993">
        <v>0</v>
      </c>
      <c r="O993">
        <v>0</v>
      </c>
      <c r="P993" t="s">
        <v>24</v>
      </c>
      <c r="Q993" t="s">
        <v>25</v>
      </c>
      <c r="R993" t="s">
        <v>29</v>
      </c>
      <c r="S993" t="s">
        <v>27</v>
      </c>
      <c r="T993" t="s">
        <v>40</v>
      </c>
      <c r="U993">
        <f t="shared" si="15"/>
        <v>1</v>
      </c>
    </row>
    <row r="994" spans="1:21" x14ac:dyDescent="0.2">
      <c r="A994">
        <v>712</v>
      </c>
      <c r="B994" t="s">
        <v>20</v>
      </c>
      <c r="C994" t="s">
        <v>32</v>
      </c>
      <c r="D994">
        <v>79</v>
      </c>
      <c r="E994">
        <v>5</v>
      </c>
      <c r="F994">
        <v>108078.56</v>
      </c>
      <c r="G994">
        <v>1</v>
      </c>
      <c r="H994" t="s">
        <v>22</v>
      </c>
      <c r="I994" t="s">
        <v>22</v>
      </c>
      <c r="J994">
        <v>174118.93</v>
      </c>
      <c r="K994" t="s">
        <v>23</v>
      </c>
      <c r="L994">
        <v>0.73847807933581866</v>
      </c>
      <c r="M994" t="s">
        <v>22</v>
      </c>
      <c r="N994">
        <v>0</v>
      </c>
      <c r="O994">
        <v>1</v>
      </c>
      <c r="P994" t="s">
        <v>43</v>
      </c>
      <c r="Q994" t="s">
        <v>46</v>
      </c>
      <c r="R994" t="s">
        <v>26</v>
      </c>
      <c r="S994" t="s">
        <v>37</v>
      </c>
      <c r="T994" t="s">
        <v>31</v>
      </c>
      <c r="U994">
        <f t="shared" si="15"/>
        <v>0</v>
      </c>
    </row>
    <row r="995" spans="1:21" x14ac:dyDescent="0.2">
      <c r="A995">
        <v>644</v>
      </c>
      <c r="B995" t="s">
        <v>41</v>
      </c>
      <c r="C995" t="s">
        <v>21</v>
      </c>
      <c r="D995">
        <v>34</v>
      </c>
      <c r="E995">
        <v>9</v>
      </c>
      <c r="F995">
        <v>112746.54</v>
      </c>
      <c r="G995">
        <v>2</v>
      </c>
      <c r="H995" t="s">
        <v>23</v>
      </c>
      <c r="I995" t="s">
        <v>23</v>
      </c>
      <c r="J995">
        <v>141230.07</v>
      </c>
      <c r="K995" t="s">
        <v>23</v>
      </c>
      <c r="L995">
        <v>0.24805617911522659</v>
      </c>
      <c r="M995" t="s">
        <v>23</v>
      </c>
      <c r="N995">
        <v>0</v>
      </c>
      <c r="O995">
        <v>0</v>
      </c>
      <c r="P995" t="s">
        <v>24</v>
      </c>
      <c r="Q995" t="s">
        <v>33</v>
      </c>
      <c r="R995" t="s">
        <v>26</v>
      </c>
      <c r="S995" t="s">
        <v>27</v>
      </c>
      <c r="T995" t="s">
        <v>28</v>
      </c>
      <c r="U995">
        <f t="shared" si="15"/>
        <v>1</v>
      </c>
    </row>
    <row r="996" spans="1:21" x14ac:dyDescent="0.2">
      <c r="A996">
        <v>427</v>
      </c>
      <c r="B996" t="s">
        <v>42</v>
      </c>
      <c r="C996" t="s">
        <v>21</v>
      </c>
      <c r="D996">
        <v>37</v>
      </c>
      <c r="E996">
        <v>5</v>
      </c>
      <c r="F996">
        <v>0</v>
      </c>
      <c r="G996">
        <v>2</v>
      </c>
      <c r="H996" t="s">
        <v>22</v>
      </c>
      <c r="I996" t="s">
        <v>22</v>
      </c>
      <c r="J996">
        <v>121485.1</v>
      </c>
      <c r="K996" t="s">
        <v>23</v>
      </c>
      <c r="L996">
        <v>5.3585749731575247E-2</v>
      </c>
      <c r="M996" t="s">
        <v>23</v>
      </c>
      <c r="N996">
        <v>0</v>
      </c>
      <c r="O996">
        <v>0</v>
      </c>
      <c r="P996" t="s">
        <v>34</v>
      </c>
      <c r="Q996" t="s">
        <v>33</v>
      </c>
      <c r="R996" t="s">
        <v>29</v>
      </c>
      <c r="S996" t="s">
        <v>45</v>
      </c>
      <c r="T996" t="s">
        <v>28</v>
      </c>
      <c r="U996">
        <f t="shared" si="15"/>
        <v>1</v>
      </c>
    </row>
    <row r="997" spans="1:21" x14ac:dyDescent="0.2">
      <c r="A997">
        <v>505</v>
      </c>
      <c r="B997" t="s">
        <v>41</v>
      </c>
      <c r="C997" t="s">
        <v>21</v>
      </c>
      <c r="D997">
        <v>43</v>
      </c>
      <c r="E997">
        <v>5</v>
      </c>
      <c r="F997">
        <v>136855.94</v>
      </c>
      <c r="G997">
        <v>2</v>
      </c>
      <c r="H997" t="s">
        <v>22</v>
      </c>
      <c r="I997" t="s">
        <v>23</v>
      </c>
      <c r="J997">
        <v>171070.52</v>
      </c>
      <c r="K997" t="s">
        <v>23</v>
      </c>
      <c r="L997">
        <v>0.44504385502176669</v>
      </c>
      <c r="M997" t="s">
        <v>23</v>
      </c>
      <c r="N997">
        <v>0</v>
      </c>
      <c r="O997">
        <v>0</v>
      </c>
      <c r="P997" t="s">
        <v>24</v>
      </c>
      <c r="Q997" t="s">
        <v>25</v>
      </c>
      <c r="R997" t="s">
        <v>26</v>
      </c>
      <c r="S997" t="s">
        <v>30</v>
      </c>
      <c r="T997" t="s">
        <v>31</v>
      </c>
      <c r="U997">
        <f t="shared" si="15"/>
        <v>1</v>
      </c>
    </row>
    <row r="998" spans="1:21" x14ac:dyDescent="0.2">
      <c r="A998">
        <v>595</v>
      </c>
      <c r="B998" t="s">
        <v>41</v>
      </c>
      <c r="C998" t="s">
        <v>32</v>
      </c>
      <c r="D998">
        <v>45</v>
      </c>
      <c r="E998">
        <v>9</v>
      </c>
      <c r="F998">
        <v>106000.12</v>
      </c>
      <c r="G998">
        <v>1</v>
      </c>
      <c r="H998" t="s">
        <v>23</v>
      </c>
      <c r="I998" t="s">
        <v>23</v>
      </c>
      <c r="J998">
        <v>191448.95999999999</v>
      </c>
      <c r="K998" t="s">
        <v>22</v>
      </c>
      <c r="L998">
        <v>0.59881666485303253</v>
      </c>
      <c r="M998" t="s">
        <v>22</v>
      </c>
      <c r="N998">
        <v>1</v>
      </c>
      <c r="O998">
        <v>1</v>
      </c>
      <c r="P998" t="s">
        <v>43</v>
      </c>
      <c r="Q998" t="s">
        <v>25</v>
      </c>
      <c r="R998" t="s">
        <v>26</v>
      </c>
      <c r="S998" t="s">
        <v>30</v>
      </c>
      <c r="T998" t="s">
        <v>31</v>
      </c>
      <c r="U998">
        <f t="shared" si="15"/>
        <v>1</v>
      </c>
    </row>
    <row r="999" spans="1:21" x14ac:dyDescent="0.2">
      <c r="A999">
        <v>714</v>
      </c>
      <c r="B999" t="s">
        <v>20</v>
      </c>
      <c r="C999" t="s">
        <v>21</v>
      </c>
      <c r="D999">
        <v>44</v>
      </c>
      <c r="E999">
        <v>7</v>
      </c>
      <c r="F999">
        <v>0</v>
      </c>
      <c r="G999">
        <v>1</v>
      </c>
      <c r="H999" t="s">
        <v>23</v>
      </c>
      <c r="I999" t="s">
        <v>22</v>
      </c>
      <c r="J999">
        <v>6923.11</v>
      </c>
      <c r="K999" t="s">
        <v>23</v>
      </c>
      <c r="L999">
        <v>7.7160745694975899E-2</v>
      </c>
      <c r="M999" t="s">
        <v>23</v>
      </c>
      <c r="N999">
        <v>0</v>
      </c>
      <c r="O999">
        <v>0</v>
      </c>
      <c r="P999" t="s">
        <v>34</v>
      </c>
      <c r="Q999" t="s">
        <v>25</v>
      </c>
      <c r="R999" t="s">
        <v>29</v>
      </c>
      <c r="S999" t="s">
        <v>37</v>
      </c>
      <c r="T999" t="s">
        <v>35</v>
      </c>
      <c r="U999">
        <f t="shared" si="15"/>
        <v>1</v>
      </c>
    </row>
    <row r="1000" spans="1:21" x14ac:dyDescent="0.2">
      <c r="A1000">
        <v>847</v>
      </c>
      <c r="B1000" t="s">
        <v>20</v>
      </c>
      <c r="C1000" t="s">
        <v>32</v>
      </c>
      <c r="D1000">
        <v>37</v>
      </c>
      <c r="E1000">
        <v>9</v>
      </c>
      <c r="F1000">
        <v>112712.17</v>
      </c>
      <c r="G1000">
        <v>1</v>
      </c>
      <c r="H1000" t="s">
        <v>22</v>
      </c>
      <c r="I1000" t="s">
        <v>23</v>
      </c>
      <c r="J1000">
        <v>116097.26</v>
      </c>
      <c r="K1000" t="s">
        <v>23</v>
      </c>
      <c r="L1000">
        <v>0.2363422228741982</v>
      </c>
      <c r="M1000" t="s">
        <v>23</v>
      </c>
      <c r="N1000">
        <v>0</v>
      </c>
      <c r="O1000">
        <v>0</v>
      </c>
      <c r="P1000" t="s">
        <v>24</v>
      </c>
      <c r="Q1000" t="s">
        <v>33</v>
      </c>
      <c r="R1000" t="s">
        <v>26</v>
      </c>
      <c r="S1000" t="s">
        <v>39</v>
      </c>
      <c r="T1000" t="s">
        <v>28</v>
      </c>
      <c r="U1000">
        <f t="shared" si="15"/>
        <v>1</v>
      </c>
    </row>
    <row r="1001" spans="1:21" x14ac:dyDescent="0.2">
      <c r="A1001">
        <v>700</v>
      </c>
      <c r="B1001" t="s">
        <v>42</v>
      </c>
      <c r="C1001" t="s">
        <v>21</v>
      </c>
      <c r="D1001">
        <v>37</v>
      </c>
      <c r="E1001">
        <v>3</v>
      </c>
      <c r="F1001">
        <v>77608.460000000006</v>
      </c>
      <c r="G1001">
        <v>2</v>
      </c>
      <c r="H1001" t="s">
        <v>22</v>
      </c>
      <c r="I1001" t="s">
        <v>22</v>
      </c>
      <c r="J1001">
        <v>175373.46</v>
      </c>
      <c r="K1001" t="s">
        <v>23</v>
      </c>
      <c r="L1001">
        <v>5.7892429998233658E-2</v>
      </c>
      <c r="M1001" t="s">
        <v>23</v>
      </c>
      <c r="N1001">
        <v>0</v>
      </c>
      <c r="O1001">
        <v>0</v>
      </c>
      <c r="P1001" t="s">
        <v>34</v>
      </c>
      <c r="Q1001" t="s">
        <v>33</v>
      </c>
      <c r="R1001" t="s">
        <v>38</v>
      </c>
      <c r="S1001" t="s">
        <v>27</v>
      </c>
      <c r="T1001" t="s">
        <v>31</v>
      </c>
      <c r="U1001">
        <f t="shared" si="15"/>
        <v>1</v>
      </c>
    </row>
    <row r="1002" spans="1:21" x14ac:dyDescent="0.2">
      <c r="A1002">
        <v>721</v>
      </c>
      <c r="B1002" t="s">
        <v>20</v>
      </c>
      <c r="C1002" t="s">
        <v>32</v>
      </c>
      <c r="D1002">
        <v>46</v>
      </c>
      <c r="E1002">
        <v>7</v>
      </c>
      <c r="F1002">
        <v>137933.39000000001</v>
      </c>
      <c r="G1002">
        <v>1</v>
      </c>
      <c r="H1002" t="s">
        <v>22</v>
      </c>
      <c r="I1002" t="s">
        <v>22</v>
      </c>
      <c r="J1002">
        <v>67976.570000000007</v>
      </c>
      <c r="K1002" t="s">
        <v>23</v>
      </c>
      <c r="L1002">
        <v>0.19286305806389059</v>
      </c>
      <c r="M1002" t="s">
        <v>23</v>
      </c>
      <c r="N1002">
        <v>0</v>
      </c>
      <c r="O1002">
        <v>0</v>
      </c>
      <c r="P1002" t="s">
        <v>34</v>
      </c>
      <c r="Q1002" t="s">
        <v>25</v>
      </c>
      <c r="R1002" t="s">
        <v>26</v>
      </c>
      <c r="S1002" t="s">
        <v>37</v>
      </c>
      <c r="T1002" t="s">
        <v>40</v>
      </c>
      <c r="U1002">
        <f t="shared" si="15"/>
        <v>1</v>
      </c>
    </row>
    <row r="1003" spans="1:21" x14ac:dyDescent="0.2">
      <c r="A1003">
        <v>508</v>
      </c>
      <c r="B1003" t="s">
        <v>42</v>
      </c>
      <c r="C1003" t="s">
        <v>32</v>
      </c>
      <c r="D1003">
        <v>38</v>
      </c>
      <c r="E1003">
        <v>3</v>
      </c>
      <c r="F1003">
        <v>166328.65</v>
      </c>
      <c r="G1003">
        <v>2</v>
      </c>
      <c r="H1003" t="s">
        <v>23</v>
      </c>
      <c r="I1003" t="s">
        <v>22</v>
      </c>
      <c r="J1003">
        <v>22614.19</v>
      </c>
      <c r="K1003" t="s">
        <v>23</v>
      </c>
      <c r="L1003">
        <v>0.13488415760541231</v>
      </c>
      <c r="M1003" t="s">
        <v>23</v>
      </c>
      <c r="N1003">
        <v>0</v>
      </c>
      <c r="O1003">
        <v>0</v>
      </c>
      <c r="P1003" t="s">
        <v>34</v>
      </c>
      <c r="Q1003" t="s">
        <v>33</v>
      </c>
      <c r="R1003" t="s">
        <v>47</v>
      </c>
      <c r="S1003" t="s">
        <v>30</v>
      </c>
      <c r="T1003" t="s">
        <v>35</v>
      </c>
      <c r="U1003">
        <f t="shared" si="15"/>
        <v>1</v>
      </c>
    </row>
    <row r="1004" spans="1:21" x14ac:dyDescent="0.2">
      <c r="A1004">
        <v>850</v>
      </c>
      <c r="B1004" t="s">
        <v>42</v>
      </c>
      <c r="C1004" t="s">
        <v>32</v>
      </c>
      <c r="D1004">
        <v>55</v>
      </c>
      <c r="E1004">
        <v>10</v>
      </c>
      <c r="F1004">
        <v>98488.08</v>
      </c>
      <c r="G1004">
        <v>1</v>
      </c>
      <c r="H1004" t="s">
        <v>22</v>
      </c>
      <c r="I1004" t="s">
        <v>23</v>
      </c>
      <c r="J1004">
        <v>155879.57</v>
      </c>
      <c r="K1004" t="s">
        <v>22</v>
      </c>
      <c r="L1004">
        <v>0.52102267129493773</v>
      </c>
      <c r="M1004" t="s">
        <v>22</v>
      </c>
      <c r="N1004">
        <v>1</v>
      </c>
      <c r="O1004">
        <v>1</v>
      </c>
      <c r="P1004" t="s">
        <v>43</v>
      </c>
      <c r="Q1004" t="s">
        <v>44</v>
      </c>
      <c r="R1004" t="s">
        <v>38</v>
      </c>
      <c r="S1004" t="s">
        <v>39</v>
      </c>
      <c r="T1004" t="s">
        <v>31</v>
      </c>
      <c r="U1004">
        <f t="shared" si="15"/>
        <v>1</v>
      </c>
    </row>
    <row r="1005" spans="1:21" x14ac:dyDescent="0.2">
      <c r="A1005">
        <v>518</v>
      </c>
      <c r="B1005" t="s">
        <v>42</v>
      </c>
      <c r="C1005" t="s">
        <v>21</v>
      </c>
      <c r="D1005">
        <v>40</v>
      </c>
      <c r="E1005">
        <v>4</v>
      </c>
      <c r="F1005">
        <v>0</v>
      </c>
      <c r="G1005">
        <v>2</v>
      </c>
      <c r="H1005" t="s">
        <v>23</v>
      </c>
      <c r="I1005" t="s">
        <v>22</v>
      </c>
      <c r="J1005">
        <v>194416.58</v>
      </c>
      <c r="K1005" t="s">
        <v>23</v>
      </c>
      <c r="L1005">
        <v>6.7886675809174915E-2</v>
      </c>
      <c r="M1005" t="s">
        <v>23</v>
      </c>
      <c r="N1005">
        <v>0</v>
      </c>
      <c r="O1005">
        <v>0</v>
      </c>
      <c r="P1005" t="s">
        <v>34</v>
      </c>
      <c r="Q1005" t="s">
        <v>33</v>
      </c>
      <c r="R1005" t="s">
        <v>29</v>
      </c>
      <c r="S1005" t="s">
        <v>30</v>
      </c>
      <c r="T1005" t="s">
        <v>31</v>
      </c>
      <c r="U1005">
        <f t="shared" si="15"/>
        <v>1</v>
      </c>
    </row>
    <row r="1006" spans="1:21" x14ac:dyDescent="0.2">
      <c r="A1006">
        <v>700</v>
      </c>
      <c r="B1006" t="s">
        <v>20</v>
      </c>
      <c r="C1006" t="s">
        <v>21</v>
      </c>
      <c r="D1006">
        <v>47</v>
      </c>
      <c r="E1006">
        <v>4</v>
      </c>
      <c r="F1006">
        <v>0</v>
      </c>
      <c r="G1006">
        <v>1</v>
      </c>
      <c r="H1006" t="s">
        <v>22</v>
      </c>
      <c r="I1006" t="s">
        <v>23</v>
      </c>
      <c r="J1006">
        <v>121798.52</v>
      </c>
      <c r="K1006" t="s">
        <v>22</v>
      </c>
      <c r="L1006">
        <v>0.25566819755138498</v>
      </c>
      <c r="M1006" t="s">
        <v>23</v>
      </c>
      <c r="N1006">
        <v>1</v>
      </c>
      <c r="O1006">
        <v>0</v>
      </c>
      <c r="P1006" t="s">
        <v>24</v>
      </c>
      <c r="Q1006" t="s">
        <v>25</v>
      </c>
      <c r="R1006" t="s">
        <v>29</v>
      </c>
      <c r="S1006" t="s">
        <v>27</v>
      </c>
      <c r="T1006" t="s">
        <v>28</v>
      </c>
      <c r="U1006">
        <f t="shared" si="15"/>
        <v>0</v>
      </c>
    </row>
    <row r="1007" spans="1:21" x14ac:dyDescent="0.2">
      <c r="A1007">
        <v>850</v>
      </c>
      <c r="B1007" t="s">
        <v>41</v>
      </c>
      <c r="C1007" t="s">
        <v>21</v>
      </c>
      <c r="D1007">
        <v>32</v>
      </c>
      <c r="E1007">
        <v>2</v>
      </c>
      <c r="F1007">
        <v>128647.98</v>
      </c>
      <c r="G1007">
        <v>2</v>
      </c>
      <c r="H1007" t="s">
        <v>23</v>
      </c>
      <c r="I1007" t="s">
        <v>23</v>
      </c>
      <c r="J1007">
        <v>54416.18</v>
      </c>
      <c r="K1007" t="s">
        <v>23</v>
      </c>
      <c r="L1007">
        <v>0.21952192066210491</v>
      </c>
      <c r="M1007" t="s">
        <v>23</v>
      </c>
      <c r="N1007">
        <v>0</v>
      </c>
      <c r="O1007">
        <v>0</v>
      </c>
      <c r="P1007" t="s">
        <v>24</v>
      </c>
      <c r="Q1007" t="s">
        <v>33</v>
      </c>
      <c r="R1007" t="s">
        <v>26</v>
      </c>
      <c r="S1007" t="s">
        <v>39</v>
      </c>
      <c r="T1007" t="s">
        <v>40</v>
      </c>
      <c r="U1007">
        <f t="shared" si="15"/>
        <v>1</v>
      </c>
    </row>
    <row r="1008" spans="1:21" x14ac:dyDescent="0.2">
      <c r="A1008">
        <v>669</v>
      </c>
      <c r="B1008" t="s">
        <v>42</v>
      </c>
      <c r="C1008" t="s">
        <v>32</v>
      </c>
      <c r="D1008">
        <v>38</v>
      </c>
      <c r="E1008">
        <v>9</v>
      </c>
      <c r="F1008">
        <v>121858.98</v>
      </c>
      <c r="G1008">
        <v>1</v>
      </c>
      <c r="H1008" t="s">
        <v>22</v>
      </c>
      <c r="I1008" t="s">
        <v>23</v>
      </c>
      <c r="J1008">
        <v>130755.34</v>
      </c>
      <c r="K1008" t="s">
        <v>23</v>
      </c>
      <c r="L1008">
        <v>0.27246972706732181</v>
      </c>
      <c r="M1008" t="s">
        <v>23</v>
      </c>
      <c r="N1008">
        <v>0</v>
      </c>
      <c r="O1008">
        <v>0</v>
      </c>
      <c r="P1008" t="s">
        <v>24</v>
      </c>
      <c r="Q1008" t="s">
        <v>33</v>
      </c>
      <c r="R1008" t="s">
        <v>26</v>
      </c>
      <c r="S1008" t="s">
        <v>27</v>
      </c>
      <c r="T1008" t="s">
        <v>28</v>
      </c>
      <c r="U1008">
        <f t="shared" si="15"/>
        <v>1</v>
      </c>
    </row>
    <row r="1009" spans="1:21" x14ac:dyDescent="0.2">
      <c r="A1009">
        <v>585</v>
      </c>
      <c r="B1009" t="s">
        <v>20</v>
      </c>
      <c r="C1009" t="s">
        <v>21</v>
      </c>
      <c r="D1009">
        <v>36</v>
      </c>
      <c r="E1009">
        <v>10</v>
      </c>
      <c r="F1009">
        <v>0</v>
      </c>
      <c r="G1009">
        <v>2</v>
      </c>
      <c r="H1009" t="s">
        <v>22</v>
      </c>
      <c r="I1009" t="s">
        <v>22</v>
      </c>
      <c r="J1009">
        <v>180318.6</v>
      </c>
      <c r="K1009" t="s">
        <v>23</v>
      </c>
      <c r="L1009">
        <v>4.3840069955291779E-2</v>
      </c>
      <c r="M1009" t="s">
        <v>23</v>
      </c>
      <c r="N1009">
        <v>0</v>
      </c>
      <c r="O1009">
        <v>0</v>
      </c>
      <c r="P1009" t="s">
        <v>34</v>
      </c>
      <c r="Q1009" t="s">
        <v>33</v>
      </c>
      <c r="R1009" t="s">
        <v>29</v>
      </c>
      <c r="S1009" t="s">
        <v>30</v>
      </c>
      <c r="T1009" t="s">
        <v>31</v>
      </c>
      <c r="U1009">
        <f t="shared" si="15"/>
        <v>1</v>
      </c>
    </row>
    <row r="1010" spans="1:21" x14ac:dyDescent="0.2">
      <c r="A1010">
        <v>587</v>
      </c>
      <c r="B1010" t="s">
        <v>42</v>
      </c>
      <c r="C1010" t="s">
        <v>21</v>
      </c>
      <c r="D1010">
        <v>55</v>
      </c>
      <c r="E1010">
        <v>9</v>
      </c>
      <c r="F1010">
        <v>0</v>
      </c>
      <c r="G1010">
        <v>1</v>
      </c>
      <c r="H1010" t="s">
        <v>22</v>
      </c>
      <c r="I1010" t="s">
        <v>23</v>
      </c>
      <c r="J1010">
        <v>64593.07</v>
      </c>
      <c r="K1010" t="s">
        <v>23</v>
      </c>
      <c r="L1010">
        <v>0.36174554289922212</v>
      </c>
      <c r="M1010" t="s">
        <v>23</v>
      </c>
      <c r="N1010">
        <v>0</v>
      </c>
      <c r="O1010">
        <v>0</v>
      </c>
      <c r="P1010" t="s">
        <v>24</v>
      </c>
      <c r="Q1010" t="s">
        <v>44</v>
      </c>
      <c r="R1010" t="s">
        <v>29</v>
      </c>
      <c r="S1010" t="s">
        <v>30</v>
      </c>
      <c r="T1010" t="s">
        <v>40</v>
      </c>
      <c r="U1010">
        <f t="shared" si="15"/>
        <v>1</v>
      </c>
    </row>
    <row r="1011" spans="1:21" x14ac:dyDescent="0.2">
      <c r="A1011">
        <v>608</v>
      </c>
      <c r="B1011" t="s">
        <v>42</v>
      </c>
      <c r="C1011" t="s">
        <v>21</v>
      </c>
      <c r="D1011">
        <v>31</v>
      </c>
      <c r="E1011">
        <v>7</v>
      </c>
      <c r="F1011">
        <v>79962.92</v>
      </c>
      <c r="G1011">
        <v>2</v>
      </c>
      <c r="H1011" t="s">
        <v>22</v>
      </c>
      <c r="I1011" t="s">
        <v>23</v>
      </c>
      <c r="J1011">
        <v>60901.72</v>
      </c>
      <c r="K1011" t="s">
        <v>23</v>
      </c>
      <c r="L1011">
        <v>9.823213615285975E-2</v>
      </c>
      <c r="M1011" t="s">
        <v>23</v>
      </c>
      <c r="N1011">
        <v>0</v>
      </c>
      <c r="O1011">
        <v>0</v>
      </c>
      <c r="P1011" t="s">
        <v>34</v>
      </c>
      <c r="Q1011" t="s">
        <v>33</v>
      </c>
      <c r="R1011" t="s">
        <v>38</v>
      </c>
      <c r="S1011" t="s">
        <v>27</v>
      </c>
      <c r="T1011" t="s">
        <v>40</v>
      </c>
      <c r="U1011">
        <f t="shared" si="15"/>
        <v>1</v>
      </c>
    </row>
    <row r="1012" spans="1:21" x14ac:dyDescent="0.2">
      <c r="A1012">
        <v>760</v>
      </c>
      <c r="B1012" t="s">
        <v>41</v>
      </c>
      <c r="C1012" t="s">
        <v>21</v>
      </c>
      <c r="D1012">
        <v>34</v>
      </c>
      <c r="E1012">
        <v>6</v>
      </c>
      <c r="F1012">
        <v>121303.77</v>
      </c>
      <c r="G1012">
        <v>2</v>
      </c>
      <c r="H1012" t="s">
        <v>22</v>
      </c>
      <c r="I1012" t="s">
        <v>22</v>
      </c>
      <c r="J1012">
        <v>59325.21</v>
      </c>
      <c r="K1012" t="s">
        <v>23</v>
      </c>
      <c r="L1012">
        <v>9.3157385672210796E-2</v>
      </c>
      <c r="M1012" t="s">
        <v>23</v>
      </c>
      <c r="N1012">
        <v>0</v>
      </c>
      <c r="O1012">
        <v>0</v>
      </c>
      <c r="P1012" t="s">
        <v>34</v>
      </c>
      <c r="Q1012" t="s">
        <v>33</v>
      </c>
      <c r="R1012" t="s">
        <v>26</v>
      </c>
      <c r="S1012" t="s">
        <v>37</v>
      </c>
      <c r="T1012" t="s">
        <v>40</v>
      </c>
      <c r="U1012">
        <f t="shared" si="15"/>
        <v>1</v>
      </c>
    </row>
    <row r="1013" spans="1:21" x14ac:dyDescent="0.2">
      <c r="A1013">
        <v>569</v>
      </c>
      <c r="B1013" t="s">
        <v>20</v>
      </c>
      <c r="C1013" t="s">
        <v>21</v>
      </c>
      <c r="D1013">
        <v>43</v>
      </c>
      <c r="E1013">
        <v>8</v>
      </c>
      <c r="F1013">
        <v>161546.68</v>
      </c>
      <c r="G1013">
        <v>2</v>
      </c>
      <c r="H1013" t="s">
        <v>23</v>
      </c>
      <c r="I1013" t="s">
        <v>22</v>
      </c>
      <c r="J1013">
        <v>178187.28</v>
      </c>
      <c r="K1013" t="s">
        <v>23</v>
      </c>
      <c r="L1013">
        <v>0.1126397882075625</v>
      </c>
      <c r="M1013" t="s">
        <v>23</v>
      </c>
      <c r="N1013">
        <v>0</v>
      </c>
      <c r="O1013">
        <v>0</v>
      </c>
      <c r="P1013" t="s">
        <v>34</v>
      </c>
      <c r="Q1013" t="s">
        <v>25</v>
      </c>
      <c r="R1013" t="s">
        <v>47</v>
      </c>
      <c r="S1013" t="s">
        <v>30</v>
      </c>
      <c r="T1013" t="s">
        <v>31</v>
      </c>
      <c r="U1013">
        <f t="shared" si="15"/>
        <v>1</v>
      </c>
    </row>
    <row r="1014" spans="1:21" x14ac:dyDescent="0.2">
      <c r="A1014">
        <v>764</v>
      </c>
      <c r="B1014" t="s">
        <v>41</v>
      </c>
      <c r="C1014" t="s">
        <v>32</v>
      </c>
      <c r="D1014">
        <v>39</v>
      </c>
      <c r="E1014">
        <v>9</v>
      </c>
      <c r="F1014">
        <v>138341.51</v>
      </c>
      <c r="G1014">
        <v>1</v>
      </c>
      <c r="H1014" t="s">
        <v>22</v>
      </c>
      <c r="I1014" t="s">
        <v>23</v>
      </c>
      <c r="J1014">
        <v>50072.94</v>
      </c>
      <c r="K1014" t="s">
        <v>22</v>
      </c>
      <c r="L1014">
        <v>0.45315951314055031</v>
      </c>
      <c r="M1014" t="s">
        <v>23</v>
      </c>
      <c r="N1014">
        <v>1</v>
      </c>
      <c r="O1014">
        <v>0</v>
      </c>
      <c r="P1014" t="s">
        <v>24</v>
      </c>
      <c r="Q1014" t="s">
        <v>33</v>
      </c>
      <c r="R1014" t="s">
        <v>26</v>
      </c>
      <c r="S1014" t="s">
        <v>37</v>
      </c>
      <c r="T1014" t="s">
        <v>40</v>
      </c>
      <c r="U1014">
        <f t="shared" si="15"/>
        <v>0</v>
      </c>
    </row>
    <row r="1015" spans="1:21" x14ac:dyDescent="0.2">
      <c r="A1015">
        <v>663</v>
      </c>
      <c r="B1015" t="s">
        <v>20</v>
      </c>
      <c r="C1015" t="s">
        <v>21</v>
      </c>
      <c r="D1015">
        <v>30</v>
      </c>
      <c r="E1015">
        <v>4</v>
      </c>
      <c r="F1015">
        <v>0</v>
      </c>
      <c r="G1015">
        <v>3</v>
      </c>
      <c r="H1015" t="s">
        <v>22</v>
      </c>
      <c r="I1015" t="s">
        <v>23</v>
      </c>
      <c r="J1015">
        <v>101371.05</v>
      </c>
      <c r="K1015" t="s">
        <v>23</v>
      </c>
      <c r="L1015">
        <v>7.4500742303526435E-2</v>
      </c>
      <c r="M1015" t="s">
        <v>23</v>
      </c>
      <c r="N1015">
        <v>0</v>
      </c>
      <c r="O1015">
        <v>0</v>
      </c>
      <c r="P1015" t="s">
        <v>34</v>
      </c>
      <c r="Q1015" t="s">
        <v>36</v>
      </c>
      <c r="R1015" t="s">
        <v>29</v>
      </c>
      <c r="S1015" t="s">
        <v>27</v>
      </c>
      <c r="T1015" t="s">
        <v>28</v>
      </c>
      <c r="U1015">
        <f t="shared" si="15"/>
        <v>1</v>
      </c>
    </row>
    <row r="1016" spans="1:21" x14ac:dyDescent="0.2">
      <c r="A1016">
        <v>663</v>
      </c>
      <c r="B1016" t="s">
        <v>42</v>
      </c>
      <c r="C1016" t="s">
        <v>32</v>
      </c>
      <c r="D1016">
        <v>39</v>
      </c>
      <c r="E1016">
        <v>8</v>
      </c>
      <c r="F1016">
        <v>0</v>
      </c>
      <c r="G1016">
        <v>2</v>
      </c>
      <c r="H1016" t="s">
        <v>22</v>
      </c>
      <c r="I1016" t="s">
        <v>22</v>
      </c>
      <c r="J1016">
        <v>101168.9</v>
      </c>
      <c r="K1016" t="s">
        <v>23</v>
      </c>
      <c r="L1016">
        <v>8.2409045064744016E-2</v>
      </c>
      <c r="M1016" t="s">
        <v>23</v>
      </c>
      <c r="N1016">
        <v>0</v>
      </c>
      <c r="O1016">
        <v>0</v>
      </c>
      <c r="P1016" t="s">
        <v>34</v>
      </c>
      <c r="Q1016" t="s">
        <v>33</v>
      </c>
      <c r="R1016" t="s">
        <v>29</v>
      </c>
      <c r="S1016" t="s">
        <v>27</v>
      </c>
      <c r="T1016" t="s">
        <v>28</v>
      </c>
      <c r="U1016">
        <f t="shared" si="15"/>
        <v>1</v>
      </c>
    </row>
    <row r="1017" spans="1:21" x14ac:dyDescent="0.2">
      <c r="A1017">
        <v>804</v>
      </c>
      <c r="B1017" t="s">
        <v>42</v>
      </c>
      <c r="C1017" t="s">
        <v>32</v>
      </c>
      <c r="D1017">
        <v>71</v>
      </c>
      <c r="E1017">
        <v>8</v>
      </c>
      <c r="F1017">
        <v>0</v>
      </c>
      <c r="G1017">
        <v>2</v>
      </c>
      <c r="H1017" t="s">
        <v>23</v>
      </c>
      <c r="I1017" t="s">
        <v>22</v>
      </c>
      <c r="J1017">
        <v>147995.96</v>
      </c>
      <c r="K1017" t="s">
        <v>23</v>
      </c>
      <c r="L1017">
        <v>0.4796407860561761</v>
      </c>
      <c r="M1017" t="s">
        <v>23</v>
      </c>
      <c r="N1017">
        <v>0</v>
      </c>
      <c r="O1017">
        <v>0</v>
      </c>
      <c r="P1017" t="s">
        <v>24</v>
      </c>
      <c r="Q1017" t="s">
        <v>46</v>
      </c>
      <c r="R1017" t="s">
        <v>29</v>
      </c>
      <c r="S1017" t="s">
        <v>39</v>
      </c>
      <c r="T1017" t="s">
        <v>28</v>
      </c>
      <c r="U1017">
        <f t="shared" si="15"/>
        <v>1</v>
      </c>
    </row>
    <row r="1018" spans="1:21" x14ac:dyDescent="0.2">
      <c r="A1018">
        <v>493</v>
      </c>
      <c r="B1018" t="s">
        <v>42</v>
      </c>
      <c r="C1018" t="s">
        <v>21</v>
      </c>
      <c r="D1018">
        <v>38</v>
      </c>
      <c r="E1018">
        <v>3</v>
      </c>
      <c r="F1018">
        <v>134006.76999999999</v>
      </c>
      <c r="G1018">
        <v>1</v>
      </c>
      <c r="H1018" t="s">
        <v>22</v>
      </c>
      <c r="I1018" t="s">
        <v>23</v>
      </c>
      <c r="J1018">
        <v>89578.32</v>
      </c>
      <c r="K1018" t="s">
        <v>23</v>
      </c>
      <c r="L1018">
        <v>0.21745181274219791</v>
      </c>
      <c r="M1018" t="s">
        <v>23</v>
      </c>
      <c r="N1018">
        <v>0</v>
      </c>
      <c r="O1018">
        <v>0</v>
      </c>
      <c r="P1018" t="s">
        <v>24</v>
      </c>
      <c r="Q1018" t="s">
        <v>33</v>
      </c>
      <c r="R1018" t="s">
        <v>26</v>
      </c>
      <c r="S1018" t="s">
        <v>45</v>
      </c>
      <c r="T1018" t="s">
        <v>40</v>
      </c>
      <c r="U1018">
        <f t="shared" si="15"/>
        <v>1</v>
      </c>
    </row>
    <row r="1019" spans="1:21" x14ac:dyDescent="0.2">
      <c r="A1019">
        <v>777</v>
      </c>
      <c r="B1019" t="s">
        <v>41</v>
      </c>
      <c r="C1019" t="s">
        <v>32</v>
      </c>
      <c r="D1019">
        <v>37</v>
      </c>
      <c r="E1019">
        <v>10</v>
      </c>
      <c r="F1019">
        <v>121532.17</v>
      </c>
      <c r="G1019">
        <v>2</v>
      </c>
      <c r="H1019" t="s">
        <v>22</v>
      </c>
      <c r="I1019" t="s">
        <v>22</v>
      </c>
      <c r="J1019">
        <v>73464.88</v>
      </c>
      <c r="K1019" t="s">
        <v>23</v>
      </c>
      <c r="L1019">
        <v>0.169574777109083</v>
      </c>
      <c r="M1019" t="s">
        <v>23</v>
      </c>
      <c r="N1019">
        <v>0</v>
      </c>
      <c r="O1019">
        <v>0</v>
      </c>
      <c r="P1019" t="s">
        <v>34</v>
      </c>
      <c r="Q1019" t="s">
        <v>33</v>
      </c>
      <c r="R1019" t="s">
        <v>26</v>
      </c>
      <c r="S1019" t="s">
        <v>37</v>
      </c>
      <c r="T1019" t="s">
        <v>40</v>
      </c>
      <c r="U1019">
        <f t="shared" si="15"/>
        <v>1</v>
      </c>
    </row>
    <row r="1020" spans="1:21" x14ac:dyDescent="0.2">
      <c r="A1020">
        <v>749</v>
      </c>
      <c r="B1020" t="s">
        <v>41</v>
      </c>
      <c r="C1020" t="s">
        <v>21</v>
      </c>
      <c r="D1020">
        <v>22</v>
      </c>
      <c r="E1020">
        <v>4</v>
      </c>
      <c r="F1020">
        <v>94762.16</v>
      </c>
      <c r="G1020">
        <v>2</v>
      </c>
      <c r="H1020" t="s">
        <v>22</v>
      </c>
      <c r="I1020" t="s">
        <v>22</v>
      </c>
      <c r="J1020">
        <v>42241.54</v>
      </c>
      <c r="K1020" t="s">
        <v>23</v>
      </c>
      <c r="L1020">
        <v>3.9363648641753603E-2</v>
      </c>
      <c r="M1020" t="s">
        <v>23</v>
      </c>
      <c r="N1020">
        <v>0</v>
      </c>
      <c r="O1020">
        <v>0</v>
      </c>
      <c r="P1020" t="s">
        <v>34</v>
      </c>
      <c r="Q1020" t="s">
        <v>36</v>
      </c>
      <c r="R1020" t="s">
        <v>38</v>
      </c>
      <c r="S1020" t="s">
        <v>37</v>
      </c>
      <c r="T1020" t="s">
        <v>35</v>
      </c>
      <c r="U1020">
        <f t="shared" si="15"/>
        <v>1</v>
      </c>
    </row>
    <row r="1021" spans="1:21" x14ac:dyDescent="0.2">
      <c r="A1021">
        <v>625</v>
      </c>
      <c r="B1021" t="s">
        <v>42</v>
      </c>
      <c r="C1021" t="s">
        <v>32</v>
      </c>
      <c r="D1021">
        <v>38</v>
      </c>
      <c r="E1021">
        <v>7</v>
      </c>
      <c r="F1021">
        <v>0</v>
      </c>
      <c r="G1021">
        <v>1</v>
      </c>
      <c r="H1021" t="s">
        <v>22</v>
      </c>
      <c r="I1021" t="s">
        <v>23</v>
      </c>
      <c r="J1021">
        <v>164804.01999999999</v>
      </c>
      <c r="K1021" t="s">
        <v>23</v>
      </c>
      <c r="L1021">
        <v>0.2299004022365207</v>
      </c>
      <c r="M1021" t="s">
        <v>23</v>
      </c>
      <c r="N1021">
        <v>0</v>
      </c>
      <c r="O1021">
        <v>0</v>
      </c>
      <c r="P1021" t="s">
        <v>24</v>
      </c>
      <c r="Q1021" t="s">
        <v>33</v>
      </c>
      <c r="R1021" t="s">
        <v>29</v>
      </c>
      <c r="S1021" t="s">
        <v>27</v>
      </c>
      <c r="T1021" t="s">
        <v>31</v>
      </c>
      <c r="U1021">
        <f t="shared" si="15"/>
        <v>1</v>
      </c>
    </row>
    <row r="1022" spans="1:21" x14ac:dyDescent="0.2">
      <c r="A1022">
        <v>780</v>
      </c>
      <c r="B1022" t="s">
        <v>41</v>
      </c>
      <c r="C1022" t="s">
        <v>32</v>
      </c>
      <c r="D1022">
        <v>37</v>
      </c>
      <c r="E1022">
        <v>10</v>
      </c>
      <c r="F1022">
        <v>95196.26</v>
      </c>
      <c r="G1022">
        <v>1</v>
      </c>
      <c r="H1022" t="s">
        <v>22</v>
      </c>
      <c r="I1022" t="s">
        <v>23</v>
      </c>
      <c r="J1022">
        <v>126310.39</v>
      </c>
      <c r="K1022" t="s">
        <v>22</v>
      </c>
      <c r="L1022">
        <v>0.39271007987972451</v>
      </c>
      <c r="M1022" t="s">
        <v>23</v>
      </c>
      <c r="N1022">
        <v>1</v>
      </c>
      <c r="O1022">
        <v>0</v>
      </c>
      <c r="P1022" t="s">
        <v>24</v>
      </c>
      <c r="Q1022" t="s">
        <v>33</v>
      </c>
      <c r="R1022" t="s">
        <v>38</v>
      </c>
      <c r="S1022" t="s">
        <v>37</v>
      </c>
      <c r="T1022" t="s">
        <v>28</v>
      </c>
      <c r="U1022">
        <f t="shared" si="15"/>
        <v>0</v>
      </c>
    </row>
    <row r="1023" spans="1:21" x14ac:dyDescent="0.2">
      <c r="A1023">
        <v>665</v>
      </c>
      <c r="B1023" t="s">
        <v>42</v>
      </c>
      <c r="C1023" t="s">
        <v>32</v>
      </c>
      <c r="D1023">
        <v>44</v>
      </c>
      <c r="E1023">
        <v>7</v>
      </c>
      <c r="F1023">
        <v>0</v>
      </c>
      <c r="G1023">
        <v>2</v>
      </c>
      <c r="H1023" t="s">
        <v>22</v>
      </c>
      <c r="I1023" t="s">
        <v>22</v>
      </c>
      <c r="J1023">
        <v>66548.58</v>
      </c>
      <c r="K1023" t="s">
        <v>23</v>
      </c>
      <c r="L1023">
        <v>0.11495915181073151</v>
      </c>
      <c r="M1023" t="s">
        <v>23</v>
      </c>
      <c r="N1023">
        <v>0</v>
      </c>
      <c r="O1023">
        <v>0</v>
      </c>
      <c r="P1023" t="s">
        <v>34</v>
      </c>
      <c r="Q1023" t="s">
        <v>25</v>
      </c>
      <c r="R1023" t="s">
        <v>29</v>
      </c>
      <c r="S1023" t="s">
        <v>27</v>
      </c>
      <c r="T1023" t="s">
        <v>40</v>
      </c>
      <c r="U1023">
        <f t="shared" si="15"/>
        <v>1</v>
      </c>
    </row>
    <row r="1024" spans="1:21" x14ac:dyDescent="0.2">
      <c r="A1024">
        <v>588</v>
      </c>
      <c r="B1024" t="s">
        <v>41</v>
      </c>
      <c r="C1024" t="s">
        <v>21</v>
      </c>
      <c r="D1024">
        <v>33</v>
      </c>
      <c r="E1024">
        <v>9</v>
      </c>
      <c r="F1024">
        <v>150186.22</v>
      </c>
      <c r="G1024">
        <v>2</v>
      </c>
      <c r="H1024" t="s">
        <v>22</v>
      </c>
      <c r="I1024" t="s">
        <v>22</v>
      </c>
      <c r="J1024">
        <v>65611.009999999995</v>
      </c>
      <c r="K1024" t="s">
        <v>23</v>
      </c>
      <c r="L1024">
        <v>9.8715335548395344E-2</v>
      </c>
      <c r="M1024" t="s">
        <v>23</v>
      </c>
      <c r="N1024">
        <v>0</v>
      </c>
      <c r="O1024">
        <v>0</v>
      </c>
      <c r="P1024" t="s">
        <v>34</v>
      </c>
      <c r="Q1024" t="s">
        <v>33</v>
      </c>
      <c r="R1024" t="s">
        <v>47</v>
      </c>
      <c r="S1024" t="s">
        <v>30</v>
      </c>
      <c r="T1024" t="s">
        <v>40</v>
      </c>
      <c r="U1024">
        <f t="shared" si="15"/>
        <v>1</v>
      </c>
    </row>
    <row r="1025" spans="1:21" x14ac:dyDescent="0.2">
      <c r="A1025">
        <v>721</v>
      </c>
      <c r="B1025" t="s">
        <v>41</v>
      </c>
      <c r="C1025" t="s">
        <v>21</v>
      </c>
      <c r="D1025">
        <v>40</v>
      </c>
      <c r="E1025">
        <v>6</v>
      </c>
      <c r="F1025">
        <v>100275.88</v>
      </c>
      <c r="G1025">
        <v>1</v>
      </c>
      <c r="H1025" t="s">
        <v>22</v>
      </c>
      <c r="I1025" t="s">
        <v>23</v>
      </c>
      <c r="J1025">
        <v>138564.48000000001</v>
      </c>
      <c r="K1025" t="s">
        <v>22</v>
      </c>
      <c r="L1025">
        <v>0.34946108087855582</v>
      </c>
      <c r="M1025" t="s">
        <v>23</v>
      </c>
      <c r="N1025">
        <v>1</v>
      </c>
      <c r="O1025">
        <v>0</v>
      </c>
      <c r="P1025" t="s">
        <v>24</v>
      </c>
      <c r="Q1025" t="s">
        <v>33</v>
      </c>
      <c r="R1025" t="s">
        <v>26</v>
      </c>
      <c r="S1025" t="s">
        <v>37</v>
      </c>
      <c r="T1025" t="s">
        <v>28</v>
      </c>
      <c r="U1025">
        <f t="shared" si="15"/>
        <v>0</v>
      </c>
    </row>
    <row r="1026" spans="1:21" x14ac:dyDescent="0.2">
      <c r="A1026">
        <v>575</v>
      </c>
      <c r="B1026" t="s">
        <v>42</v>
      </c>
      <c r="C1026" t="s">
        <v>21</v>
      </c>
      <c r="D1026">
        <v>29</v>
      </c>
      <c r="E1026">
        <v>4</v>
      </c>
      <c r="F1026">
        <v>121823.4</v>
      </c>
      <c r="G1026">
        <v>2</v>
      </c>
      <c r="H1026" t="s">
        <v>22</v>
      </c>
      <c r="I1026" t="s">
        <v>22</v>
      </c>
      <c r="J1026">
        <v>50368.87</v>
      </c>
      <c r="K1026" t="s">
        <v>23</v>
      </c>
      <c r="L1026">
        <v>3.6612503183719551E-2</v>
      </c>
      <c r="M1026" t="s">
        <v>23</v>
      </c>
      <c r="N1026">
        <v>0</v>
      </c>
      <c r="O1026">
        <v>0</v>
      </c>
      <c r="P1026" t="s">
        <v>34</v>
      </c>
      <c r="Q1026" t="s">
        <v>36</v>
      </c>
      <c r="R1026" t="s">
        <v>26</v>
      </c>
      <c r="S1026" t="s">
        <v>30</v>
      </c>
      <c r="T1026" t="s">
        <v>40</v>
      </c>
      <c r="U1026">
        <f t="shared" ref="U1026:U1089" si="16">IF(K1026=M1026,1,0)</f>
        <v>1</v>
      </c>
    </row>
    <row r="1027" spans="1:21" x14ac:dyDescent="0.2">
      <c r="A1027">
        <v>687</v>
      </c>
      <c r="B1027" t="s">
        <v>20</v>
      </c>
      <c r="C1027" t="s">
        <v>21</v>
      </c>
      <c r="D1027">
        <v>31</v>
      </c>
      <c r="E1027">
        <v>3</v>
      </c>
      <c r="F1027">
        <v>0</v>
      </c>
      <c r="G1027">
        <v>2</v>
      </c>
      <c r="H1027" t="s">
        <v>23</v>
      </c>
      <c r="I1027" t="s">
        <v>23</v>
      </c>
      <c r="J1027">
        <v>48228.1</v>
      </c>
      <c r="K1027" t="s">
        <v>23</v>
      </c>
      <c r="L1027">
        <v>8.8163595518435264E-2</v>
      </c>
      <c r="M1027" t="s">
        <v>23</v>
      </c>
      <c r="N1027">
        <v>0</v>
      </c>
      <c r="O1027">
        <v>0</v>
      </c>
      <c r="P1027" t="s">
        <v>34</v>
      </c>
      <c r="Q1027" t="s">
        <v>33</v>
      </c>
      <c r="R1027" t="s">
        <v>29</v>
      </c>
      <c r="S1027" t="s">
        <v>27</v>
      </c>
      <c r="T1027" t="s">
        <v>35</v>
      </c>
      <c r="U1027">
        <f t="shared" si="16"/>
        <v>1</v>
      </c>
    </row>
    <row r="1028" spans="1:21" x14ac:dyDescent="0.2">
      <c r="A1028">
        <v>822</v>
      </c>
      <c r="B1028" t="s">
        <v>42</v>
      </c>
      <c r="C1028" t="s">
        <v>21</v>
      </c>
      <c r="D1028">
        <v>32</v>
      </c>
      <c r="E1028">
        <v>8</v>
      </c>
      <c r="F1028">
        <v>116358</v>
      </c>
      <c r="G1028">
        <v>1</v>
      </c>
      <c r="H1028" t="s">
        <v>22</v>
      </c>
      <c r="I1028" t="s">
        <v>23</v>
      </c>
      <c r="J1028">
        <v>108798.36</v>
      </c>
      <c r="K1028" t="s">
        <v>23</v>
      </c>
      <c r="L1028">
        <v>0.1104414516245287</v>
      </c>
      <c r="M1028" t="s">
        <v>23</v>
      </c>
      <c r="N1028">
        <v>0</v>
      </c>
      <c r="O1028">
        <v>0</v>
      </c>
      <c r="P1028" t="s">
        <v>34</v>
      </c>
      <c r="Q1028" t="s">
        <v>33</v>
      </c>
      <c r="R1028" t="s">
        <v>26</v>
      </c>
      <c r="S1028" t="s">
        <v>39</v>
      </c>
      <c r="T1028" t="s">
        <v>28</v>
      </c>
      <c r="U1028">
        <f t="shared" si="16"/>
        <v>1</v>
      </c>
    </row>
    <row r="1029" spans="1:21" x14ac:dyDescent="0.2">
      <c r="A1029">
        <v>386</v>
      </c>
      <c r="B1029" t="s">
        <v>20</v>
      </c>
      <c r="C1029" t="s">
        <v>32</v>
      </c>
      <c r="D1029">
        <v>53</v>
      </c>
      <c r="E1029">
        <v>1</v>
      </c>
      <c r="F1029">
        <v>131955.07</v>
      </c>
      <c r="G1029">
        <v>1</v>
      </c>
      <c r="H1029" t="s">
        <v>22</v>
      </c>
      <c r="I1029" t="s">
        <v>22</v>
      </c>
      <c r="J1029">
        <v>62514.65</v>
      </c>
      <c r="K1029" t="s">
        <v>22</v>
      </c>
      <c r="L1029">
        <v>0.35859771255292272</v>
      </c>
      <c r="M1029" t="s">
        <v>23</v>
      </c>
      <c r="N1029">
        <v>1</v>
      </c>
      <c r="O1029">
        <v>0</v>
      </c>
      <c r="P1029" t="s">
        <v>24</v>
      </c>
      <c r="Q1029" t="s">
        <v>44</v>
      </c>
      <c r="R1029" t="s">
        <v>26</v>
      </c>
      <c r="S1029" t="s">
        <v>45</v>
      </c>
      <c r="T1029" t="s">
        <v>40</v>
      </c>
      <c r="U1029">
        <f t="shared" si="16"/>
        <v>0</v>
      </c>
    </row>
    <row r="1030" spans="1:21" x14ac:dyDescent="0.2">
      <c r="A1030">
        <v>613</v>
      </c>
      <c r="B1030" t="s">
        <v>20</v>
      </c>
      <c r="C1030" t="s">
        <v>21</v>
      </c>
      <c r="D1030">
        <v>19</v>
      </c>
      <c r="E1030">
        <v>5</v>
      </c>
      <c r="F1030">
        <v>0</v>
      </c>
      <c r="G1030">
        <v>1</v>
      </c>
      <c r="H1030" t="s">
        <v>22</v>
      </c>
      <c r="I1030" t="s">
        <v>22</v>
      </c>
      <c r="J1030">
        <v>176903.35</v>
      </c>
      <c r="K1030" t="s">
        <v>23</v>
      </c>
      <c r="L1030">
        <v>1.538274847491713E-2</v>
      </c>
      <c r="M1030" t="s">
        <v>23</v>
      </c>
      <c r="N1030">
        <v>0</v>
      </c>
      <c r="O1030">
        <v>0</v>
      </c>
      <c r="P1030" t="s">
        <v>34</v>
      </c>
      <c r="Q1030" t="s">
        <v>36</v>
      </c>
      <c r="R1030" t="s">
        <v>29</v>
      </c>
      <c r="S1030" t="s">
        <v>27</v>
      </c>
      <c r="T1030" t="s">
        <v>31</v>
      </c>
      <c r="U1030">
        <f t="shared" si="16"/>
        <v>1</v>
      </c>
    </row>
    <row r="1031" spans="1:21" x14ac:dyDescent="0.2">
      <c r="A1031">
        <v>672</v>
      </c>
      <c r="B1031" t="s">
        <v>42</v>
      </c>
      <c r="C1031" t="s">
        <v>21</v>
      </c>
      <c r="D1031">
        <v>39</v>
      </c>
      <c r="E1031">
        <v>2</v>
      </c>
      <c r="F1031">
        <v>0</v>
      </c>
      <c r="G1031">
        <v>2</v>
      </c>
      <c r="H1031" t="s">
        <v>22</v>
      </c>
      <c r="I1031" t="s">
        <v>23</v>
      </c>
      <c r="J1031">
        <v>87372.49</v>
      </c>
      <c r="K1031" t="s">
        <v>23</v>
      </c>
      <c r="L1031">
        <v>0.1464292417222012</v>
      </c>
      <c r="M1031" t="s">
        <v>23</v>
      </c>
      <c r="N1031">
        <v>0</v>
      </c>
      <c r="O1031">
        <v>0</v>
      </c>
      <c r="P1031" t="s">
        <v>34</v>
      </c>
      <c r="Q1031" t="s">
        <v>33</v>
      </c>
      <c r="R1031" t="s">
        <v>29</v>
      </c>
      <c r="S1031" t="s">
        <v>27</v>
      </c>
      <c r="T1031" t="s">
        <v>40</v>
      </c>
      <c r="U1031">
        <f t="shared" si="16"/>
        <v>1</v>
      </c>
    </row>
    <row r="1032" spans="1:21" x14ac:dyDescent="0.2">
      <c r="A1032">
        <v>714</v>
      </c>
      <c r="B1032" t="s">
        <v>42</v>
      </c>
      <c r="C1032" t="s">
        <v>32</v>
      </c>
      <c r="D1032">
        <v>40</v>
      </c>
      <c r="E1032">
        <v>0</v>
      </c>
      <c r="F1032">
        <v>0</v>
      </c>
      <c r="G1032">
        <v>2</v>
      </c>
      <c r="H1032" t="s">
        <v>22</v>
      </c>
      <c r="I1032" t="s">
        <v>23</v>
      </c>
      <c r="J1032">
        <v>62762.12</v>
      </c>
      <c r="K1032" t="s">
        <v>23</v>
      </c>
      <c r="L1032">
        <v>0.2414601191408266</v>
      </c>
      <c r="M1032" t="s">
        <v>23</v>
      </c>
      <c r="N1032">
        <v>0</v>
      </c>
      <c r="O1032">
        <v>0</v>
      </c>
      <c r="P1032" t="s">
        <v>24</v>
      </c>
      <c r="Q1032" t="s">
        <v>33</v>
      </c>
      <c r="R1032" t="s">
        <v>29</v>
      </c>
      <c r="S1032" t="s">
        <v>37</v>
      </c>
      <c r="T1032" t="s">
        <v>40</v>
      </c>
      <c r="U1032">
        <f t="shared" si="16"/>
        <v>1</v>
      </c>
    </row>
    <row r="1033" spans="1:21" x14ac:dyDescent="0.2">
      <c r="A1033">
        <v>783</v>
      </c>
      <c r="B1033" t="s">
        <v>42</v>
      </c>
      <c r="C1033" t="s">
        <v>32</v>
      </c>
      <c r="D1033">
        <v>72</v>
      </c>
      <c r="E1033">
        <v>5</v>
      </c>
      <c r="F1033">
        <v>121215.9</v>
      </c>
      <c r="G1033">
        <v>2</v>
      </c>
      <c r="H1033" t="s">
        <v>22</v>
      </c>
      <c r="I1033" t="s">
        <v>22</v>
      </c>
      <c r="J1033">
        <v>105206.48</v>
      </c>
      <c r="K1033" t="s">
        <v>23</v>
      </c>
      <c r="L1033">
        <v>0.58040249863419058</v>
      </c>
      <c r="M1033" t="s">
        <v>22</v>
      </c>
      <c r="N1033">
        <v>0</v>
      </c>
      <c r="O1033">
        <v>1</v>
      </c>
      <c r="P1033" t="s">
        <v>43</v>
      </c>
      <c r="Q1033" t="s">
        <v>46</v>
      </c>
      <c r="R1033" t="s">
        <v>26</v>
      </c>
      <c r="S1033" t="s">
        <v>37</v>
      </c>
      <c r="T1033" t="s">
        <v>28</v>
      </c>
      <c r="U1033">
        <f t="shared" si="16"/>
        <v>0</v>
      </c>
    </row>
    <row r="1034" spans="1:21" x14ac:dyDescent="0.2">
      <c r="A1034">
        <v>700</v>
      </c>
      <c r="B1034" t="s">
        <v>42</v>
      </c>
      <c r="C1034" t="s">
        <v>21</v>
      </c>
      <c r="D1034">
        <v>37</v>
      </c>
      <c r="E1034">
        <v>1</v>
      </c>
      <c r="F1034">
        <v>135179.49</v>
      </c>
      <c r="G1034">
        <v>1</v>
      </c>
      <c r="H1034" t="s">
        <v>22</v>
      </c>
      <c r="I1034" t="s">
        <v>23</v>
      </c>
      <c r="J1034">
        <v>160670.37</v>
      </c>
      <c r="K1034" t="s">
        <v>23</v>
      </c>
      <c r="L1034">
        <v>0.1953689924735289</v>
      </c>
      <c r="M1034" t="s">
        <v>23</v>
      </c>
      <c r="N1034">
        <v>0</v>
      </c>
      <c r="O1034">
        <v>0</v>
      </c>
      <c r="P1034" t="s">
        <v>34</v>
      </c>
      <c r="Q1034" t="s">
        <v>33</v>
      </c>
      <c r="R1034" t="s">
        <v>26</v>
      </c>
      <c r="S1034" t="s">
        <v>27</v>
      </c>
      <c r="T1034" t="s">
        <v>31</v>
      </c>
      <c r="U1034">
        <f t="shared" si="16"/>
        <v>1</v>
      </c>
    </row>
    <row r="1035" spans="1:21" x14ac:dyDescent="0.2">
      <c r="A1035">
        <v>744</v>
      </c>
      <c r="B1035" t="s">
        <v>20</v>
      </c>
      <c r="C1035" t="s">
        <v>21</v>
      </c>
      <c r="D1035">
        <v>31</v>
      </c>
      <c r="E1035">
        <v>0</v>
      </c>
      <c r="F1035">
        <v>117551.23</v>
      </c>
      <c r="G1035">
        <v>1</v>
      </c>
      <c r="H1035" t="s">
        <v>22</v>
      </c>
      <c r="I1035" t="s">
        <v>23</v>
      </c>
      <c r="J1035">
        <v>158958.9</v>
      </c>
      <c r="K1035" t="s">
        <v>23</v>
      </c>
      <c r="L1035">
        <v>0.1325785554423535</v>
      </c>
      <c r="M1035" t="s">
        <v>23</v>
      </c>
      <c r="N1035">
        <v>0</v>
      </c>
      <c r="O1035">
        <v>0</v>
      </c>
      <c r="P1035" t="s">
        <v>34</v>
      </c>
      <c r="Q1035" t="s">
        <v>33</v>
      </c>
      <c r="R1035" t="s">
        <v>26</v>
      </c>
      <c r="S1035" t="s">
        <v>37</v>
      </c>
      <c r="T1035" t="s">
        <v>31</v>
      </c>
      <c r="U1035">
        <f t="shared" si="16"/>
        <v>1</v>
      </c>
    </row>
    <row r="1036" spans="1:21" x14ac:dyDescent="0.2">
      <c r="A1036">
        <v>525</v>
      </c>
      <c r="B1036" t="s">
        <v>20</v>
      </c>
      <c r="C1036" t="s">
        <v>21</v>
      </c>
      <c r="D1036">
        <v>36</v>
      </c>
      <c r="E1036">
        <v>3</v>
      </c>
      <c r="F1036">
        <v>77910.23</v>
      </c>
      <c r="G1036">
        <v>1</v>
      </c>
      <c r="H1036" t="s">
        <v>22</v>
      </c>
      <c r="I1036" t="s">
        <v>23</v>
      </c>
      <c r="J1036">
        <v>67238.009999999995</v>
      </c>
      <c r="K1036" t="s">
        <v>23</v>
      </c>
      <c r="L1036">
        <v>0.17219011132280751</v>
      </c>
      <c r="M1036" t="s">
        <v>23</v>
      </c>
      <c r="N1036">
        <v>0</v>
      </c>
      <c r="O1036">
        <v>0</v>
      </c>
      <c r="P1036" t="s">
        <v>34</v>
      </c>
      <c r="Q1036" t="s">
        <v>33</v>
      </c>
      <c r="R1036" t="s">
        <v>38</v>
      </c>
      <c r="S1036" t="s">
        <v>30</v>
      </c>
      <c r="T1036" t="s">
        <v>40</v>
      </c>
      <c r="U1036">
        <f t="shared" si="16"/>
        <v>1</v>
      </c>
    </row>
    <row r="1037" spans="1:21" x14ac:dyDescent="0.2">
      <c r="A1037">
        <v>850</v>
      </c>
      <c r="B1037" t="s">
        <v>41</v>
      </c>
      <c r="C1037" t="s">
        <v>32</v>
      </c>
      <c r="D1037">
        <v>25</v>
      </c>
      <c r="E1037">
        <v>8</v>
      </c>
      <c r="F1037">
        <v>69385.17</v>
      </c>
      <c r="G1037">
        <v>2</v>
      </c>
      <c r="H1037" t="s">
        <v>22</v>
      </c>
      <c r="I1037" t="s">
        <v>23</v>
      </c>
      <c r="J1037">
        <v>87834.240000000005</v>
      </c>
      <c r="K1037" t="s">
        <v>23</v>
      </c>
      <c r="L1037">
        <v>0.17875961051894229</v>
      </c>
      <c r="M1037" t="s">
        <v>23</v>
      </c>
      <c r="N1037">
        <v>0</v>
      </c>
      <c r="O1037">
        <v>0</v>
      </c>
      <c r="P1037" t="s">
        <v>34</v>
      </c>
      <c r="Q1037" t="s">
        <v>36</v>
      </c>
      <c r="R1037" t="s">
        <v>38</v>
      </c>
      <c r="S1037" t="s">
        <v>39</v>
      </c>
      <c r="T1037" t="s">
        <v>40</v>
      </c>
      <c r="U1037">
        <f t="shared" si="16"/>
        <v>1</v>
      </c>
    </row>
    <row r="1038" spans="1:21" x14ac:dyDescent="0.2">
      <c r="A1038">
        <v>680</v>
      </c>
      <c r="B1038" t="s">
        <v>20</v>
      </c>
      <c r="C1038" t="s">
        <v>21</v>
      </c>
      <c r="D1038">
        <v>42</v>
      </c>
      <c r="E1038">
        <v>0</v>
      </c>
      <c r="F1038">
        <v>0</v>
      </c>
      <c r="G1038">
        <v>1</v>
      </c>
      <c r="H1038" t="s">
        <v>22</v>
      </c>
      <c r="I1038" t="s">
        <v>23</v>
      </c>
      <c r="J1038">
        <v>136377.21</v>
      </c>
      <c r="K1038" t="s">
        <v>23</v>
      </c>
      <c r="L1038">
        <v>0.2079349611475613</v>
      </c>
      <c r="M1038" t="s">
        <v>23</v>
      </c>
      <c r="N1038">
        <v>0</v>
      </c>
      <c r="O1038">
        <v>0</v>
      </c>
      <c r="P1038" t="s">
        <v>24</v>
      </c>
      <c r="Q1038" t="s">
        <v>25</v>
      </c>
      <c r="R1038" t="s">
        <v>29</v>
      </c>
      <c r="S1038" t="s">
        <v>27</v>
      </c>
      <c r="T1038" t="s">
        <v>28</v>
      </c>
      <c r="U1038">
        <f t="shared" si="16"/>
        <v>1</v>
      </c>
    </row>
    <row r="1039" spans="1:21" x14ac:dyDescent="0.2">
      <c r="A1039">
        <v>649</v>
      </c>
      <c r="B1039" t="s">
        <v>20</v>
      </c>
      <c r="C1039" t="s">
        <v>21</v>
      </c>
      <c r="D1039">
        <v>32</v>
      </c>
      <c r="E1039">
        <v>1</v>
      </c>
      <c r="F1039">
        <v>0</v>
      </c>
      <c r="G1039">
        <v>1</v>
      </c>
      <c r="H1039" t="s">
        <v>23</v>
      </c>
      <c r="I1039" t="s">
        <v>22</v>
      </c>
      <c r="J1039">
        <v>91167.19</v>
      </c>
      <c r="K1039" t="s">
        <v>22</v>
      </c>
      <c r="L1039">
        <v>4.0752898796076222E-2</v>
      </c>
      <c r="M1039" t="s">
        <v>23</v>
      </c>
      <c r="N1039">
        <v>1</v>
      </c>
      <c r="O1039">
        <v>0</v>
      </c>
      <c r="P1039" t="s">
        <v>34</v>
      </c>
      <c r="Q1039" t="s">
        <v>33</v>
      </c>
      <c r="R1039" t="s">
        <v>29</v>
      </c>
      <c r="S1039" t="s">
        <v>27</v>
      </c>
      <c r="T1039" t="s">
        <v>40</v>
      </c>
      <c r="U1039">
        <f t="shared" si="16"/>
        <v>0</v>
      </c>
    </row>
    <row r="1040" spans="1:21" x14ac:dyDescent="0.2">
      <c r="A1040">
        <v>789</v>
      </c>
      <c r="B1040" t="s">
        <v>42</v>
      </c>
      <c r="C1040" t="s">
        <v>21</v>
      </c>
      <c r="D1040">
        <v>31</v>
      </c>
      <c r="E1040">
        <v>4</v>
      </c>
      <c r="F1040">
        <v>175477.15</v>
      </c>
      <c r="G1040">
        <v>1</v>
      </c>
      <c r="H1040" t="s">
        <v>22</v>
      </c>
      <c r="I1040" t="s">
        <v>22</v>
      </c>
      <c r="J1040">
        <v>172832.9</v>
      </c>
      <c r="K1040" t="s">
        <v>23</v>
      </c>
      <c r="L1040">
        <v>4.9310439983645933E-2</v>
      </c>
      <c r="M1040" t="s">
        <v>23</v>
      </c>
      <c r="N1040">
        <v>0</v>
      </c>
      <c r="O1040">
        <v>0</v>
      </c>
      <c r="P1040" t="s">
        <v>34</v>
      </c>
      <c r="Q1040" t="s">
        <v>33</v>
      </c>
      <c r="R1040" t="s">
        <v>47</v>
      </c>
      <c r="S1040" t="s">
        <v>37</v>
      </c>
      <c r="T1040" t="s">
        <v>31</v>
      </c>
      <c r="U1040">
        <f t="shared" si="16"/>
        <v>1</v>
      </c>
    </row>
    <row r="1041" spans="1:21" x14ac:dyDescent="0.2">
      <c r="A1041">
        <v>658</v>
      </c>
      <c r="B1041" t="s">
        <v>42</v>
      </c>
      <c r="C1041" t="s">
        <v>21</v>
      </c>
      <c r="D1041">
        <v>39</v>
      </c>
      <c r="E1041">
        <v>7</v>
      </c>
      <c r="F1041">
        <v>0</v>
      </c>
      <c r="G1041">
        <v>2</v>
      </c>
      <c r="H1041" t="s">
        <v>22</v>
      </c>
      <c r="I1041" t="s">
        <v>23</v>
      </c>
      <c r="J1041">
        <v>48378.400000000001</v>
      </c>
      <c r="K1041" t="s">
        <v>23</v>
      </c>
      <c r="L1041">
        <v>0.1330855126996778</v>
      </c>
      <c r="M1041" t="s">
        <v>23</v>
      </c>
      <c r="N1041">
        <v>0</v>
      </c>
      <c r="O1041">
        <v>0</v>
      </c>
      <c r="P1041" t="s">
        <v>34</v>
      </c>
      <c r="Q1041" t="s">
        <v>33</v>
      </c>
      <c r="R1041" t="s">
        <v>29</v>
      </c>
      <c r="S1041" t="s">
        <v>27</v>
      </c>
      <c r="T1041" t="s">
        <v>35</v>
      </c>
      <c r="U1041">
        <f t="shared" si="16"/>
        <v>1</v>
      </c>
    </row>
    <row r="1042" spans="1:21" x14ac:dyDescent="0.2">
      <c r="A1042">
        <v>539</v>
      </c>
      <c r="B1042" t="s">
        <v>20</v>
      </c>
      <c r="C1042" t="s">
        <v>21</v>
      </c>
      <c r="D1042">
        <v>39</v>
      </c>
      <c r="E1042">
        <v>2</v>
      </c>
      <c r="F1042">
        <v>0</v>
      </c>
      <c r="G1042">
        <v>2</v>
      </c>
      <c r="H1042" t="s">
        <v>22</v>
      </c>
      <c r="I1042" t="s">
        <v>22</v>
      </c>
      <c r="J1042">
        <v>48189.94</v>
      </c>
      <c r="K1042" t="s">
        <v>23</v>
      </c>
      <c r="L1042">
        <v>6.0416684643038482E-2</v>
      </c>
      <c r="M1042" t="s">
        <v>23</v>
      </c>
      <c r="N1042">
        <v>0</v>
      </c>
      <c r="O1042">
        <v>0</v>
      </c>
      <c r="P1042" t="s">
        <v>34</v>
      </c>
      <c r="Q1042" t="s">
        <v>33</v>
      </c>
      <c r="R1042" t="s">
        <v>29</v>
      </c>
      <c r="S1042" t="s">
        <v>30</v>
      </c>
      <c r="T1042" t="s">
        <v>35</v>
      </c>
      <c r="U1042">
        <f t="shared" si="16"/>
        <v>1</v>
      </c>
    </row>
    <row r="1043" spans="1:21" x14ac:dyDescent="0.2">
      <c r="A1043">
        <v>673</v>
      </c>
      <c r="B1043" t="s">
        <v>42</v>
      </c>
      <c r="C1043" t="s">
        <v>21</v>
      </c>
      <c r="D1043">
        <v>41</v>
      </c>
      <c r="E1043">
        <v>5</v>
      </c>
      <c r="F1043">
        <v>0</v>
      </c>
      <c r="G1043">
        <v>1</v>
      </c>
      <c r="H1043" t="s">
        <v>22</v>
      </c>
      <c r="I1043" t="s">
        <v>22</v>
      </c>
      <c r="J1043">
        <v>65657.289999999994</v>
      </c>
      <c r="K1043" t="s">
        <v>23</v>
      </c>
      <c r="L1043">
        <v>6.4563736677620873E-2</v>
      </c>
      <c r="M1043" t="s">
        <v>23</v>
      </c>
      <c r="N1043">
        <v>0</v>
      </c>
      <c r="O1043">
        <v>0</v>
      </c>
      <c r="P1043" t="s">
        <v>34</v>
      </c>
      <c r="Q1043" t="s">
        <v>25</v>
      </c>
      <c r="R1043" t="s">
        <v>29</v>
      </c>
      <c r="S1043" t="s">
        <v>27</v>
      </c>
      <c r="T1043" t="s">
        <v>40</v>
      </c>
      <c r="U1043">
        <f t="shared" si="16"/>
        <v>1</v>
      </c>
    </row>
    <row r="1044" spans="1:21" x14ac:dyDescent="0.2">
      <c r="A1044">
        <v>712</v>
      </c>
      <c r="B1044" t="s">
        <v>42</v>
      </c>
      <c r="C1044" t="s">
        <v>21</v>
      </c>
      <c r="D1044">
        <v>33</v>
      </c>
      <c r="E1044">
        <v>3</v>
      </c>
      <c r="F1044">
        <v>153819.57999999999</v>
      </c>
      <c r="G1044">
        <v>1</v>
      </c>
      <c r="H1044" t="s">
        <v>22</v>
      </c>
      <c r="I1044" t="s">
        <v>23</v>
      </c>
      <c r="J1044">
        <v>79176.09</v>
      </c>
      <c r="K1044" t="s">
        <v>22</v>
      </c>
      <c r="L1044">
        <v>0.14721260261694119</v>
      </c>
      <c r="M1044" t="s">
        <v>23</v>
      </c>
      <c r="N1044">
        <v>1</v>
      </c>
      <c r="O1044">
        <v>0</v>
      </c>
      <c r="P1044" t="s">
        <v>34</v>
      </c>
      <c r="Q1044" t="s">
        <v>33</v>
      </c>
      <c r="R1044" t="s">
        <v>47</v>
      </c>
      <c r="S1044" t="s">
        <v>37</v>
      </c>
      <c r="T1044" t="s">
        <v>40</v>
      </c>
      <c r="U1044">
        <f t="shared" si="16"/>
        <v>0</v>
      </c>
    </row>
    <row r="1045" spans="1:21" x14ac:dyDescent="0.2">
      <c r="A1045">
        <v>642</v>
      </c>
      <c r="B1045" t="s">
        <v>42</v>
      </c>
      <c r="C1045" t="s">
        <v>21</v>
      </c>
      <c r="D1045">
        <v>72</v>
      </c>
      <c r="E1045">
        <v>1</v>
      </c>
      <c r="F1045">
        <v>160541</v>
      </c>
      <c r="G1045">
        <v>2</v>
      </c>
      <c r="H1045" t="s">
        <v>22</v>
      </c>
      <c r="I1045" t="s">
        <v>22</v>
      </c>
      <c r="J1045">
        <v>142223.94</v>
      </c>
      <c r="K1045" t="s">
        <v>23</v>
      </c>
      <c r="L1045">
        <v>0.51907936373129959</v>
      </c>
      <c r="M1045" t="s">
        <v>22</v>
      </c>
      <c r="N1045">
        <v>0</v>
      </c>
      <c r="O1045">
        <v>1</v>
      </c>
      <c r="P1045" t="s">
        <v>43</v>
      </c>
      <c r="Q1045" t="s">
        <v>46</v>
      </c>
      <c r="R1045" t="s">
        <v>47</v>
      </c>
      <c r="S1045" t="s">
        <v>27</v>
      </c>
      <c r="T1045" t="s">
        <v>28</v>
      </c>
      <c r="U1045">
        <f t="shared" si="16"/>
        <v>0</v>
      </c>
    </row>
    <row r="1046" spans="1:21" x14ac:dyDescent="0.2">
      <c r="A1046">
        <v>850</v>
      </c>
      <c r="B1046" t="s">
        <v>20</v>
      </c>
      <c r="C1046" t="s">
        <v>21</v>
      </c>
      <c r="D1046">
        <v>36</v>
      </c>
      <c r="E1046">
        <v>0</v>
      </c>
      <c r="F1046">
        <v>0</v>
      </c>
      <c r="G1046">
        <v>2</v>
      </c>
      <c r="H1046" t="s">
        <v>22</v>
      </c>
      <c r="I1046" t="s">
        <v>23</v>
      </c>
      <c r="J1046">
        <v>141242.57</v>
      </c>
      <c r="K1046" t="s">
        <v>23</v>
      </c>
      <c r="L1046">
        <v>0.1192069792916937</v>
      </c>
      <c r="M1046" t="s">
        <v>23</v>
      </c>
      <c r="N1046">
        <v>0</v>
      </c>
      <c r="O1046">
        <v>0</v>
      </c>
      <c r="P1046" t="s">
        <v>34</v>
      </c>
      <c r="Q1046" t="s">
        <v>33</v>
      </c>
      <c r="R1046" t="s">
        <v>29</v>
      </c>
      <c r="S1046" t="s">
        <v>39</v>
      </c>
      <c r="T1046" t="s">
        <v>28</v>
      </c>
      <c r="U1046">
        <f t="shared" si="16"/>
        <v>1</v>
      </c>
    </row>
    <row r="1047" spans="1:21" x14ac:dyDescent="0.2">
      <c r="A1047">
        <v>724</v>
      </c>
      <c r="B1047" t="s">
        <v>42</v>
      </c>
      <c r="C1047" t="s">
        <v>32</v>
      </c>
      <c r="D1047">
        <v>40</v>
      </c>
      <c r="E1047">
        <v>6</v>
      </c>
      <c r="F1047">
        <v>110054.45</v>
      </c>
      <c r="G1047">
        <v>1</v>
      </c>
      <c r="H1047" t="s">
        <v>22</v>
      </c>
      <c r="I1047" t="s">
        <v>22</v>
      </c>
      <c r="J1047">
        <v>86950.720000000001</v>
      </c>
      <c r="K1047" t="s">
        <v>23</v>
      </c>
      <c r="L1047">
        <v>0.12370256515570981</v>
      </c>
      <c r="M1047" t="s">
        <v>23</v>
      </c>
      <c r="N1047">
        <v>0</v>
      </c>
      <c r="O1047">
        <v>0</v>
      </c>
      <c r="P1047" t="s">
        <v>34</v>
      </c>
      <c r="Q1047" t="s">
        <v>33</v>
      </c>
      <c r="R1047" t="s">
        <v>26</v>
      </c>
      <c r="S1047" t="s">
        <v>37</v>
      </c>
      <c r="T1047" t="s">
        <v>40</v>
      </c>
      <c r="U1047">
        <f t="shared" si="16"/>
        <v>1</v>
      </c>
    </row>
    <row r="1048" spans="1:21" x14ac:dyDescent="0.2">
      <c r="A1048">
        <v>589</v>
      </c>
      <c r="B1048" t="s">
        <v>41</v>
      </c>
      <c r="C1048" t="s">
        <v>21</v>
      </c>
      <c r="D1048">
        <v>48</v>
      </c>
      <c r="E1048">
        <v>5</v>
      </c>
      <c r="F1048">
        <v>126111.61</v>
      </c>
      <c r="G1048">
        <v>1</v>
      </c>
      <c r="H1048" t="s">
        <v>23</v>
      </c>
      <c r="I1048" t="s">
        <v>22</v>
      </c>
      <c r="J1048">
        <v>133961.19</v>
      </c>
      <c r="K1048" t="s">
        <v>23</v>
      </c>
      <c r="L1048">
        <v>0.28668143109338168</v>
      </c>
      <c r="M1048" t="s">
        <v>23</v>
      </c>
      <c r="N1048">
        <v>0</v>
      </c>
      <c r="O1048">
        <v>0</v>
      </c>
      <c r="P1048" t="s">
        <v>24</v>
      </c>
      <c r="Q1048" t="s">
        <v>25</v>
      </c>
      <c r="R1048" t="s">
        <v>26</v>
      </c>
      <c r="S1048" t="s">
        <v>30</v>
      </c>
      <c r="T1048" t="s">
        <v>28</v>
      </c>
      <c r="U1048">
        <f t="shared" si="16"/>
        <v>1</v>
      </c>
    </row>
    <row r="1049" spans="1:21" x14ac:dyDescent="0.2">
      <c r="A1049">
        <v>723</v>
      </c>
      <c r="B1049" t="s">
        <v>42</v>
      </c>
      <c r="C1049" t="s">
        <v>32</v>
      </c>
      <c r="D1049">
        <v>40</v>
      </c>
      <c r="E1049">
        <v>7</v>
      </c>
      <c r="F1049">
        <v>142856.95000000001</v>
      </c>
      <c r="G1049">
        <v>2</v>
      </c>
      <c r="H1049" t="s">
        <v>23</v>
      </c>
      <c r="I1049" t="s">
        <v>23</v>
      </c>
      <c r="J1049">
        <v>38019.74</v>
      </c>
      <c r="K1049" t="s">
        <v>23</v>
      </c>
      <c r="L1049">
        <v>0.28888406931895472</v>
      </c>
      <c r="M1049" t="s">
        <v>23</v>
      </c>
      <c r="N1049">
        <v>0</v>
      </c>
      <c r="O1049">
        <v>0</v>
      </c>
      <c r="P1049" t="s">
        <v>24</v>
      </c>
      <c r="Q1049" t="s">
        <v>33</v>
      </c>
      <c r="R1049" t="s">
        <v>26</v>
      </c>
      <c r="S1049" t="s">
        <v>37</v>
      </c>
      <c r="T1049" t="s">
        <v>35</v>
      </c>
      <c r="U1049">
        <f t="shared" si="16"/>
        <v>1</v>
      </c>
    </row>
    <row r="1050" spans="1:21" x14ac:dyDescent="0.2">
      <c r="A1050">
        <v>531</v>
      </c>
      <c r="B1050" t="s">
        <v>41</v>
      </c>
      <c r="C1050" t="s">
        <v>32</v>
      </c>
      <c r="D1050">
        <v>64</v>
      </c>
      <c r="E1050">
        <v>2</v>
      </c>
      <c r="F1050">
        <v>175754.87</v>
      </c>
      <c r="G1050">
        <v>2</v>
      </c>
      <c r="H1050" t="s">
        <v>22</v>
      </c>
      <c r="I1050" t="s">
        <v>22</v>
      </c>
      <c r="J1050">
        <v>60721.4</v>
      </c>
      <c r="K1050" t="s">
        <v>23</v>
      </c>
      <c r="L1050">
        <v>0.70499304099703342</v>
      </c>
      <c r="M1050" t="s">
        <v>22</v>
      </c>
      <c r="N1050">
        <v>0</v>
      </c>
      <c r="O1050">
        <v>1</v>
      </c>
      <c r="P1050" t="s">
        <v>43</v>
      </c>
      <c r="Q1050" t="s">
        <v>46</v>
      </c>
      <c r="R1050" t="s">
        <v>47</v>
      </c>
      <c r="S1050" t="s">
        <v>30</v>
      </c>
      <c r="T1050" t="s">
        <v>40</v>
      </c>
      <c r="U1050">
        <f t="shared" si="16"/>
        <v>0</v>
      </c>
    </row>
    <row r="1051" spans="1:21" x14ac:dyDescent="0.2">
      <c r="A1051">
        <v>642</v>
      </c>
      <c r="B1051" t="s">
        <v>42</v>
      </c>
      <c r="C1051" t="s">
        <v>32</v>
      </c>
      <c r="D1051">
        <v>40</v>
      </c>
      <c r="E1051">
        <v>7</v>
      </c>
      <c r="F1051">
        <v>0</v>
      </c>
      <c r="G1051">
        <v>2</v>
      </c>
      <c r="H1051" t="s">
        <v>22</v>
      </c>
      <c r="I1051" t="s">
        <v>23</v>
      </c>
      <c r="J1051">
        <v>10712.82</v>
      </c>
      <c r="K1051" t="s">
        <v>23</v>
      </c>
      <c r="L1051">
        <v>0.22054760856554231</v>
      </c>
      <c r="M1051" t="s">
        <v>23</v>
      </c>
      <c r="N1051">
        <v>0</v>
      </c>
      <c r="O1051">
        <v>0</v>
      </c>
      <c r="P1051" t="s">
        <v>24</v>
      </c>
      <c r="Q1051" t="s">
        <v>33</v>
      </c>
      <c r="R1051" t="s">
        <v>29</v>
      </c>
      <c r="S1051" t="s">
        <v>27</v>
      </c>
      <c r="T1051" t="s">
        <v>35</v>
      </c>
      <c r="U1051">
        <f t="shared" si="16"/>
        <v>1</v>
      </c>
    </row>
    <row r="1052" spans="1:21" x14ac:dyDescent="0.2">
      <c r="A1052">
        <v>671</v>
      </c>
      <c r="B1052" t="s">
        <v>42</v>
      </c>
      <c r="C1052" t="s">
        <v>32</v>
      </c>
      <c r="D1052">
        <v>42</v>
      </c>
      <c r="E1052">
        <v>6</v>
      </c>
      <c r="F1052">
        <v>0</v>
      </c>
      <c r="G1052">
        <v>2</v>
      </c>
      <c r="H1052" t="s">
        <v>22</v>
      </c>
      <c r="I1052" t="s">
        <v>23</v>
      </c>
      <c r="J1052">
        <v>197202.48</v>
      </c>
      <c r="K1052" t="s">
        <v>23</v>
      </c>
      <c r="L1052">
        <v>0.26689271244290319</v>
      </c>
      <c r="M1052" t="s">
        <v>23</v>
      </c>
      <c r="N1052">
        <v>0</v>
      </c>
      <c r="O1052">
        <v>0</v>
      </c>
      <c r="P1052" t="s">
        <v>24</v>
      </c>
      <c r="Q1052" t="s">
        <v>25</v>
      </c>
      <c r="R1052" t="s">
        <v>29</v>
      </c>
      <c r="S1052" t="s">
        <v>27</v>
      </c>
      <c r="T1052" t="s">
        <v>31</v>
      </c>
      <c r="U1052">
        <f t="shared" si="16"/>
        <v>1</v>
      </c>
    </row>
    <row r="1053" spans="1:21" x14ac:dyDescent="0.2">
      <c r="A1053">
        <v>850</v>
      </c>
      <c r="B1053" t="s">
        <v>42</v>
      </c>
      <c r="C1053" t="s">
        <v>32</v>
      </c>
      <c r="D1053">
        <v>28</v>
      </c>
      <c r="E1053">
        <v>1</v>
      </c>
      <c r="F1053">
        <v>105245.34</v>
      </c>
      <c r="G1053">
        <v>1</v>
      </c>
      <c r="H1053" t="s">
        <v>23</v>
      </c>
      <c r="I1053" t="s">
        <v>22</v>
      </c>
      <c r="J1053">
        <v>74780.13</v>
      </c>
      <c r="K1053" t="s">
        <v>23</v>
      </c>
      <c r="L1053">
        <v>5.6194723632498292E-2</v>
      </c>
      <c r="M1053" t="s">
        <v>23</v>
      </c>
      <c r="N1053">
        <v>0</v>
      </c>
      <c r="O1053">
        <v>0</v>
      </c>
      <c r="P1053" t="s">
        <v>34</v>
      </c>
      <c r="Q1053" t="s">
        <v>36</v>
      </c>
      <c r="R1053" t="s">
        <v>26</v>
      </c>
      <c r="S1053" t="s">
        <v>39</v>
      </c>
      <c r="T1053" t="s">
        <v>40</v>
      </c>
      <c r="U1053">
        <f t="shared" si="16"/>
        <v>1</v>
      </c>
    </row>
    <row r="1054" spans="1:21" x14ac:dyDescent="0.2">
      <c r="A1054">
        <v>580</v>
      </c>
      <c r="B1054" t="s">
        <v>41</v>
      </c>
      <c r="C1054" t="s">
        <v>21</v>
      </c>
      <c r="D1054">
        <v>44</v>
      </c>
      <c r="E1054">
        <v>9</v>
      </c>
      <c r="F1054">
        <v>143391.07</v>
      </c>
      <c r="G1054">
        <v>1</v>
      </c>
      <c r="H1054" t="s">
        <v>23</v>
      </c>
      <c r="I1054" t="s">
        <v>23</v>
      </c>
      <c r="J1054">
        <v>146891.07</v>
      </c>
      <c r="K1054" t="s">
        <v>22</v>
      </c>
      <c r="L1054">
        <v>0.46541436242096768</v>
      </c>
      <c r="M1054" t="s">
        <v>23</v>
      </c>
      <c r="N1054">
        <v>1</v>
      </c>
      <c r="O1054">
        <v>0</v>
      </c>
      <c r="P1054" t="s">
        <v>24</v>
      </c>
      <c r="Q1054" t="s">
        <v>25</v>
      </c>
      <c r="R1054" t="s">
        <v>26</v>
      </c>
      <c r="S1054" t="s">
        <v>30</v>
      </c>
      <c r="T1054" t="s">
        <v>28</v>
      </c>
      <c r="U1054">
        <f t="shared" si="16"/>
        <v>0</v>
      </c>
    </row>
    <row r="1055" spans="1:21" x14ac:dyDescent="0.2">
      <c r="A1055">
        <v>507</v>
      </c>
      <c r="B1055" t="s">
        <v>42</v>
      </c>
      <c r="C1055" t="s">
        <v>32</v>
      </c>
      <c r="D1055">
        <v>35</v>
      </c>
      <c r="E1055">
        <v>2</v>
      </c>
      <c r="F1055">
        <v>0</v>
      </c>
      <c r="G1055">
        <v>2</v>
      </c>
      <c r="H1055" t="s">
        <v>22</v>
      </c>
      <c r="I1055" t="s">
        <v>23</v>
      </c>
      <c r="J1055">
        <v>97633.93</v>
      </c>
      <c r="K1055" t="s">
        <v>23</v>
      </c>
      <c r="L1055">
        <v>0.1991826236922907</v>
      </c>
      <c r="M1055" t="s">
        <v>23</v>
      </c>
      <c r="N1055">
        <v>0</v>
      </c>
      <c r="O1055">
        <v>0</v>
      </c>
      <c r="P1055" t="s">
        <v>34</v>
      </c>
      <c r="Q1055" t="s">
        <v>33</v>
      </c>
      <c r="R1055" t="s">
        <v>29</v>
      </c>
      <c r="S1055" t="s">
        <v>30</v>
      </c>
      <c r="T1055" t="s">
        <v>40</v>
      </c>
      <c r="U1055">
        <f t="shared" si="16"/>
        <v>1</v>
      </c>
    </row>
    <row r="1056" spans="1:21" x14ac:dyDescent="0.2">
      <c r="A1056">
        <v>696</v>
      </c>
      <c r="B1056" t="s">
        <v>42</v>
      </c>
      <c r="C1056" t="s">
        <v>32</v>
      </c>
      <c r="D1056">
        <v>25</v>
      </c>
      <c r="E1056">
        <v>8</v>
      </c>
      <c r="F1056">
        <v>126442.59</v>
      </c>
      <c r="G1056">
        <v>1</v>
      </c>
      <c r="H1056" t="s">
        <v>22</v>
      </c>
      <c r="I1056" t="s">
        <v>23</v>
      </c>
      <c r="J1056">
        <v>121904.44</v>
      </c>
      <c r="K1056" t="s">
        <v>23</v>
      </c>
      <c r="L1056">
        <v>0.12608619726122611</v>
      </c>
      <c r="M1056" t="s">
        <v>23</v>
      </c>
      <c r="N1056">
        <v>0</v>
      </c>
      <c r="O1056">
        <v>0</v>
      </c>
      <c r="P1056" t="s">
        <v>34</v>
      </c>
      <c r="Q1056" t="s">
        <v>36</v>
      </c>
      <c r="R1056" t="s">
        <v>26</v>
      </c>
      <c r="S1056" t="s">
        <v>27</v>
      </c>
      <c r="T1056" t="s">
        <v>28</v>
      </c>
      <c r="U1056">
        <f t="shared" si="16"/>
        <v>1</v>
      </c>
    </row>
    <row r="1057" spans="1:21" x14ac:dyDescent="0.2">
      <c r="A1057">
        <v>613</v>
      </c>
      <c r="B1057" t="s">
        <v>41</v>
      </c>
      <c r="C1057" t="s">
        <v>32</v>
      </c>
      <c r="D1057">
        <v>43</v>
      </c>
      <c r="E1057">
        <v>10</v>
      </c>
      <c r="F1057">
        <v>120481.69</v>
      </c>
      <c r="G1057">
        <v>1</v>
      </c>
      <c r="H1057" t="s">
        <v>23</v>
      </c>
      <c r="I1057" t="s">
        <v>23</v>
      </c>
      <c r="J1057">
        <v>94875.03</v>
      </c>
      <c r="K1057" t="s">
        <v>22</v>
      </c>
      <c r="L1057">
        <v>0.55077527972332041</v>
      </c>
      <c r="M1057" t="s">
        <v>22</v>
      </c>
      <c r="N1057">
        <v>1</v>
      </c>
      <c r="O1057">
        <v>1</v>
      </c>
      <c r="P1057" t="s">
        <v>43</v>
      </c>
      <c r="Q1057" t="s">
        <v>25</v>
      </c>
      <c r="R1057" t="s">
        <v>26</v>
      </c>
      <c r="S1057" t="s">
        <v>27</v>
      </c>
      <c r="T1057" t="s">
        <v>40</v>
      </c>
      <c r="U1057">
        <f t="shared" si="16"/>
        <v>1</v>
      </c>
    </row>
    <row r="1058" spans="1:21" x14ac:dyDescent="0.2">
      <c r="A1058">
        <v>701</v>
      </c>
      <c r="B1058" t="s">
        <v>20</v>
      </c>
      <c r="C1058" t="s">
        <v>21</v>
      </c>
      <c r="D1058">
        <v>28</v>
      </c>
      <c r="E1058">
        <v>1</v>
      </c>
      <c r="F1058">
        <v>103421.32</v>
      </c>
      <c r="G1058">
        <v>1</v>
      </c>
      <c r="H1058" t="s">
        <v>23</v>
      </c>
      <c r="I1058" t="s">
        <v>22</v>
      </c>
      <c r="J1058">
        <v>76304.73</v>
      </c>
      <c r="K1058" t="s">
        <v>23</v>
      </c>
      <c r="L1058">
        <v>3.8020628708502077E-2</v>
      </c>
      <c r="M1058" t="s">
        <v>23</v>
      </c>
      <c r="N1058">
        <v>0</v>
      </c>
      <c r="O1058">
        <v>0</v>
      </c>
      <c r="P1058" t="s">
        <v>34</v>
      </c>
      <c r="Q1058" t="s">
        <v>36</v>
      </c>
      <c r="R1058" t="s">
        <v>26</v>
      </c>
      <c r="S1058" t="s">
        <v>37</v>
      </c>
      <c r="T1058" t="s">
        <v>40</v>
      </c>
      <c r="U1058">
        <f t="shared" si="16"/>
        <v>1</v>
      </c>
    </row>
    <row r="1059" spans="1:21" x14ac:dyDescent="0.2">
      <c r="A1059">
        <v>665</v>
      </c>
      <c r="B1059" t="s">
        <v>42</v>
      </c>
      <c r="C1059" t="s">
        <v>21</v>
      </c>
      <c r="D1059">
        <v>28</v>
      </c>
      <c r="E1059">
        <v>8</v>
      </c>
      <c r="F1059">
        <v>191402.82</v>
      </c>
      <c r="G1059">
        <v>2</v>
      </c>
      <c r="H1059" t="s">
        <v>22</v>
      </c>
      <c r="I1059" t="s">
        <v>23</v>
      </c>
      <c r="J1059">
        <v>83238.399999999994</v>
      </c>
      <c r="K1059" t="s">
        <v>23</v>
      </c>
      <c r="L1059">
        <v>0.10002670161742221</v>
      </c>
      <c r="M1059" t="s">
        <v>23</v>
      </c>
      <c r="N1059">
        <v>0</v>
      </c>
      <c r="O1059">
        <v>0</v>
      </c>
      <c r="P1059" t="s">
        <v>34</v>
      </c>
      <c r="Q1059" t="s">
        <v>36</v>
      </c>
      <c r="R1059" t="s">
        <v>47</v>
      </c>
      <c r="S1059" t="s">
        <v>27</v>
      </c>
      <c r="T1059" t="s">
        <v>40</v>
      </c>
      <c r="U1059">
        <f t="shared" si="16"/>
        <v>1</v>
      </c>
    </row>
    <row r="1060" spans="1:21" x14ac:dyDescent="0.2">
      <c r="A1060">
        <v>726</v>
      </c>
      <c r="B1060" t="s">
        <v>41</v>
      </c>
      <c r="C1060" t="s">
        <v>21</v>
      </c>
      <c r="D1060">
        <v>50</v>
      </c>
      <c r="E1060">
        <v>9</v>
      </c>
      <c r="F1060">
        <v>94504.35</v>
      </c>
      <c r="G1060">
        <v>1</v>
      </c>
      <c r="H1060" t="s">
        <v>23</v>
      </c>
      <c r="I1060" t="s">
        <v>22</v>
      </c>
      <c r="J1060">
        <v>5078.8999999999996</v>
      </c>
      <c r="K1060" t="s">
        <v>23</v>
      </c>
      <c r="L1060">
        <v>0.25131793819692522</v>
      </c>
      <c r="M1060" t="s">
        <v>23</v>
      </c>
      <c r="N1060">
        <v>0</v>
      </c>
      <c r="O1060">
        <v>0</v>
      </c>
      <c r="P1060" t="s">
        <v>24</v>
      </c>
      <c r="Q1060" t="s">
        <v>25</v>
      </c>
      <c r="R1060" t="s">
        <v>38</v>
      </c>
      <c r="S1060" t="s">
        <v>37</v>
      </c>
      <c r="T1060" t="s">
        <v>35</v>
      </c>
      <c r="U1060">
        <f t="shared" si="16"/>
        <v>1</v>
      </c>
    </row>
    <row r="1061" spans="1:21" x14ac:dyDescent="0.2">
      <c r="A1061">
        <v>663</v>
      </c>
      <c r="B1061" t="s">
        <v>42</v>
      </c>
      <c r="C1061" t="s">
        <v>21</v>
      </c>
      <c r="D1061">
        <v>43</v>
      </c>
      <c r="E1061">
        <v>4</v>
      </c>
      <c r="F1061">
        <v>87624.03</v>
      </c>
      <c r="G1061">
        <v>2</v>
      </c>
      <c r="H1061" t="s">
        <v>22</v>
      </c>
      <c r="I1061" t="s">
        <v>23</v>
      </c>
      <c r="J1061">
        <v>149401.32999999999</v>
      </c>
      <c r="K1061" t="s">
        <v>23</v>
      </c>
      <c r="L1061">
        <v>0.22470562167193589</v>
      </c>
      <c r="M1061" t="s">
        <v>23</v>
      </c>
      <c r="N1061">
        <v>0</v>
      </c>
      <c r="O1061">
        <v>0</v>
      </c>
      <c r="P1061" t="s">
        <v>24</v>
      </c>
      <c r="Q1061" t="s">
        <v>25</v>
      </c>
      <c r="R1061" t="s">
        <v>38</v>
      </c>
      <c r="S1061" t="s">
        <v>27</v>
      </c>
      <c r="T1061" t="s">
        <v>28</v>
      </c>
      <c r="U1061">
        <f t="shared" si="16"/>
        <v>1</v>
      </c>
    </row>
    <row r="1062" spans="1:21" x14ac:dyDescent="0.2">
      <c r="A1062">
        <v>617</v>
      </c>
      <c r="B1062" t="s">
        <v>42</v>
      </c>
      <c r="C1062" t="s">
        <v>21</v>
      </c>
      <c r="D1062">
        <v>25</v>
      </c>
      <c r="E1062">
        <v>1</v>
      </c>
      <c r="F1062">
        <v>102585.88</v>
      </c>
      <c r="G1062">
        <v>2</v>
      </c>
      <c r="H1062" t="s">
        <v>22</v>
      </c>
      <c r="I1062" t="s">
        <v>22</v>
      </c>
      <c r="J1062">
        <v>115387.4</v>
      </c>
      <c r="K1062" t="s">
        <v>23</v>
      </c>
      <c r="L1062">
        <v>2.7943310114592321E-2</v>
      </c>
      <c r="M1062" t="s">
        <v>23</v>
      </c>
      <c r="N1062">
        <v>0</v>
      </c>
      <c r="O1062">
        <v>0</v>
      </c>
      <c r="P1062" t="s">
        <v>34</v>
      </c>
      <c r="Q1062" t="s">
        <v>36</v>
      </c>
      <c r="R1062" t="s">
        <v>26</v>
      </c>
      <c r="S1062" t="s">
        <v>27</v>
      </c>
      <c r="T1062" t="s">
        <v>28</v>
      </c>
      <c r="U1062">
        <f t="shared" si="16"/>
        <v>1</v>
      </c>
    </row>
    <row r="1063" spans="1:21" x14ac:dyDescent="0.2">
      <c r="A1063">
        <v>724</v>
      </c>
      <c r="B1063" t="s">
        <v>42</v>
      </c>
      <c r="C1063" t="s">
        <v>32</v>
      </c>
      <c r="D1063">
        <v>34</v>
      </c>
      <c r="E1063">
        <v>2</v>
      </c>
      <c r="F1063">
        <v>0</v>
      </c>
      <c r="G1063">
        <v>2</v>
      </c>
      <c r="H1063" t="s">
        <v>22</v>
      </c>
      <c r="I1063" t="s">
        <v>22</v>
      </c>
      <c r="J1063">
        <v>118863.38</v>
      </c>
      <c r="K1063" t="s">
        <v>23</v>
      </c>
      <c r="L1063">
        <v>6.3350402609509179E-2</v>
      </c>
      <c r="M1063" t="s">
        <v>23</v>
      </c>
      <c r="N1063">
        <v>0</v>
      </c>
      <c r="O1063">
        <v>0</v>
      </c>
      <c r="P1063" t="s">
        <v>34</v>
      </c>
      <c r="Q1063" t="s">
        <v>33</v>
      </c>
      <c r="R1063" t="s">
        <v>29</v>
      </c>
      <c r="S1063" t="s">
        <v>37</v>
      </c>
      <c r="T1063" t="s">
        <v>28</v>
      </c>
      <c r="U1063">
        <f t="shared" si="16"/>
        <v>1</v>
      </c>
    </row>
    <row r="1064" spans="1:21" x14ac:dyDescent="0.2">
      <c r="A1064">
        <v>765</v>
      </c>
      <c r="B1064" t="s">
        <v>41</v>
      </c>
      <c r="C1064" t="s">
        <v>32</v>
      </c>
      <c r="D1064">
        <v>34</v>
      </c>
      <c r="E1064">
        <v>8</v>
      </c>
      <c r="F1064">
        <v>136729.51</v>
      </c>
      <c r="G1064">
        <v>2</v>
      </c>
      <c r="H1064" t="s">
        <v>23</v>
      </c>
      <c r="I1064" t="s">
        <v>23</v>
      </c>
      <c r="J1064">
        <v>47058.21</v>
      </c>
      <c r="K1064" t="s">
        <v>23</v>
      </c>
      <c r="L1064">
        <v>0.35068148771298913</v>
      </c>
      <c r="M1064" t="s">
        <v>23</v>
      </c>
      <c r="N1064">
        <v>0</v>
      </c>
      <c r="O1064">
        <v>0</v>
      </c>
      <c r="P1064" t="s">
        <v>24</v>
      </c>
      <c r="Q1064" t="s">
        <v>33</v>
      </c>
      <c r="R1064" t="s">
        <v>26</v>
      </c>
      <c r="S1064" t="s">
        <v>37</v>
      </c>
      <c r="T1064" t="s">
        <v>35</v>
      </c>
      <c r="U1064">
        <f t="shared" si="16"/>
        <v>1</v>
      </c>
    </row>
    <row r="1065" spans="1:21" x14ac:dyDescent="0.2">
      <c r="A1065">
        <v>748</v>
      </c>
      <c r="B1065" t="s">
        <v>41</v>
      </c>
      <c r="C1065" t="s">
        <v>21</v>
      </c>
      <c r="D1065">
        <v>45</v>
      </c>
      <c r="E1065">
        <v>2</v>
      </c>
      <c r="F1065">
        <v>119852.01</v>
      </c>
      <c r="G1065">
        <v>1</v>
      </c>
      <c r="H1065" t="s">
        <v>23</v>
      </c>
      <c r="I1065" t="s">
        <v>23</v>
      </c>
      <c r="J1065">
        <v>73853.94</v>
      </c>
      <c r="K1065" t="s">
        <v>22</v>
      </c>
      <c r="L1065">
        <v>0.46400289985558929</v>
      </c>
      <c r="M1065" t="s">
        <v>23</v>
      </c>
      <c r="N1065">
        <v>1</v>
      </c>
      <c r="O1065">
        <v>0</v>
      </c>
      <c r="P1065" t="s">
        <v>24</v>
      </c>
      <c r="Q1065" t="s">
        <v>25</v>
      </c>
      <c r="R1065" t="s">
        <v>26</v>
      </c>
      <c r="S1065" t="s">
        <v>37</v>
      </c>
      <c r="T1065" t="s">
        <v>40</v>
      </c>
      <c r="U1065">
        <f t="shared" si="16"/>
        <v>0</v>
      </c>
    </row>
    <row r="1066" spans="1:21" x14ac:dyDescent="0.2">
      <c r="A1066">
        <v>771</v>
      </c>
      <c r="B1066" t="s">
        <v>20</v>
      </c>
      <c r="C1066" t="s">
        <v>32</v>
      </c>
      <c r="D1066">
        <v>41</v>
      </c>
      <c r="E1066">
        <v>5</v>
      </c>
      <c r="F1066">
        <v>0</v>
      </c>
      <c r="G1066">
        <v>2</v>
      </c>
      <c r="H1066" t="s">
        <v>23</v>
      </c>
      <c r="I1066" t="s">
        <v>22</v>
      </c>
      <c r="J1066">
        <v>92914.67</v>
      </c>
      <c r="K1066" t="s">
        <v>23</v>
      </c>
      <c r="L1066">
        <v>9.8726208799591139E-2</v>
      </c>
      <c r="M1066" t="s">
        <v>23</v>
      </c>
      <c r="N1066">
        <v>0</v>
      </c>
      <c r="O1066">
        <v>0</v>
      </c>
      <c r="P1066" t="s">
        <v>34</v>
      </c>
      <c r="Q1066" t="s">
        <v>25</v>
      </c>
      <c r="R1066" t="s">
        <v>29</v>
      </c>
      <c r="S1066" t="s">
        <v>37</v>
      </c>
      <c r="T1066" t="s">
        <v>40</v>
      </c>
      <c r="U1066">
        <f t="shared" si="16"/>
        <v>1</v>
      </c>
    </row>
    <row r="1067" spans="1:21" x14ac:dyDescent="0.2">
      <c r="A1067">
        <v>763</v>
      </c>
      <c r="B1067" t="s">
        <v>42</v>
      </c>
      <c r="C1067" t="s">
        <v>21</v>
      </c>
      <c r="D1067">
        <v>35</v>
      </c>
      <c r="E1067">
        <v>9</v>
      </c>
      <c r="F1067">
        <v>0</v>
      </c>
      <c r="G1067">
        <v>1</v>
      </c>
      <c r="H1067" t="s">
        <v>22</v>
      </c>
      <c r="I1067" t="s">
        <v>22</v>
      </c>
      <c r="J1067">
        <v>31372.91</v>
      </c>
      <c r="K1067" t="s">
        <v>23</v>
      </c>
      <c r="L1067">
        <v>3.633506319973407E-2</v>
      </c>
      <c r="M1067" t="s">
        <v>23</v>
      </c>
      <c r="N1067">
        <v>0</v>
      </c>
      <c r="O1067">
        <v>0</v>
      </c>
      <c r="P1067" t="s">
        <v>34</v>
      </c>
      <c r="Q1067" t="s">
        <v>33</v>
      </c>
      <c r="R1067" t="s">
        <v>29</v>
      </c>
      <c r="S1067" t="s">
        <v>37</v>
      </c>
      <c r="T1067" t="s">
        <v>35</v>
      </c>
      <c r="U1067">
        <f t="shared" si="16"/>
        <v>1</v>
      </c>
    </row>
    <row r="1068" spans="1:21" x14ac:dyDescent="0.2">
      <c r="A1068">
        <v>655</v>
      </c>
      <c r="B1068" t="s">
        <v>20</v>
      </c>
      <c r="C1068" t="s">
        <v>32</v>
      </c>
      <c r="D1068">
        <v>78</v>
      </c>
      <c r="E1068">
        <v>2</v>
      </c>
      <c r="F1068">
        <v>0</v>
      </c>
      <c r="G1068">
        <v>2</v>
      </c>
      <c r="H1068" t="s">
        <v>23</v>
      </c>
      <c r="I1068" t="s">
        <v>22</v>
      </c>
      <c r="J1068">
        <v>188435.38</v>
      </c>
      <c r="K1068" t="s">
        <v>23</v>
      </c>
      <c r="L1068">
        <v>0.67247524855709206</v>
      </c>
      <c r="M1068" t="s">
        <v>22</v>
      </c>
      <c r="N1068">
        <v>0</v>
      </c>
      <c r="O1068">
        <v>1</v>
      </c>
      <c r="P1068" t="s">
        <v>43</v>
      </c>
      <c r="Q1068" t="s">
        <v>46</v>
      </c>
      <c r="R1068" t="s">
        <v>29</v>
      </c>
      <c r="S1068" t="s">
        <v>27</v>
      </c>
      <c r="T1068" t="s">
        <v>31</v>
      </c>
      <c r="U1068">
        <f t="shared" si="16"/>
        <v>0</v>
      </c>
    </row>
    <row r="1069" spans="1:21" x14ac:dyDescent="0.2">
      <c r="A1069">
        <v>580</v>
      </c>
      <c r="B1069" t="s">
        <v>41</v>
      </c>
      <c r="C1069" t="s">
        <v>32</v>
      </c>
      <c r="D1069">
        <v>36</v>
      </c>
      <c r="E1069">
        <v>6</v>
      </c>
      <c r="F1069">
        <v>145387.32</v>
      </c>
      <c r="G1069">
        <v>2</v>
      </c>
      <c r="H1069" t="s">
        <v>22</v>
      </c>
      <c r="I1069" t="s">
        <v>22</v>
      </c>
      <c r="J1069">
        <v>169963.2</v>
      </c>
      <c r="K1069" t="s">
        <v>22</v>
      </c>
      <c r="L1069">
        <v>0.20894739294647391</v>
      </c>
      <c r="M1069" t="s">
        <v>23</v>
      </c>
      <c r="N1069">
        <v>1</v>
      </c>
      <c r="O1069">
        <v>0</v>
      </c>
      <c r="P1069" t="s">
        <v>24</v>
      </c>
      <c r="Q1069" t="s">
        <v>33</v>
      </c>
      <c r="R1069" t="s">
        <v>26</v>
      </c>
      <c r="S1069" t="s">
        <v>30</v>
      </c>
      <c r="T1069" t="s">
        <v>31</v>
      </c>
      <c r="U1069">
        <f t="shared" si="16"/>
        <v>0</v>
      </c>
    </row>
    <row r="1070" spans="1:21" x14ac:dyDescent="0.2">
      <c r="A1070">
        <v>712</v>
      </c>
      <c r="B1070" t="s">
        <v>42</v>
      </c>
      <c r="C1070" t="s">
        <v>21</v>
      </c>
      <c r="D1070">
        <v>35</v>
      </c>
      <c r="E1070">
        <v>7</v>
      </c>
      <c r="F1070">
        <v>124616.23</v>
      </c>
      <c r="G1070">
        <v>1</v>
      </c>
      <c r="H1070" t="s">
        <v>22</v>
      </c>
      <c r="I1070" t="s">
        <v>22</v>
      </c>
      <c r="J1070">
        <v>69320.97</v>
      </c>
      <c r="K1070" t="s">
        <v>23</v>
      </c>
      <c r="L1070">
        <v>5.4224807871895361E-2</v>
      </c>
      <c r="M1070" t="s">
        <v>23</v>
      </c>
      <c r="N1070">
        <v>0</v>
      </c>
      <c r="O1070">
        <v>0</v>
      </c>
      <c r="P1070" t="s">
        <v>34</v>
      </c>
      <c r="Q1070" t="s">
        <v>33</v>
      </c>
      <c r="R1070" t="s">
        <v>26</v>
      </c>
      <c r="S1070" t="s">
        <v>37</v>
      </c>
      <c r="T1070" t="s">
        <v>40</v>
      </c>
      <c r="U1070">
        <f t="shared" si="16"/>
        <v>1</v>
      </c>
    </row>
    <row r="1071" spans="1:21" x14ac:dyDescent="0.2">
      <c r="A1071">
        <v>680</v>
      </c>
      <c r="B1071" t="s">
        <v>42</v>
      </c>
      <c r="C1071" t="s">
        <v>21</v>
      </c>
      <c r="D1071">
        <v>31</v>
      </c>
      <c r="E1071">
        <v>9</v>
      </c>
      <c r="F1071">
        <v>0</v>
      </c>
      <c r="G1071">
        <v>2</v>
      </c>
      <c r="H1071" t="s">
        <v>22</v>
      </c>
      <c r="I1071" t="s">
        <v>23</v>
      </c>
      <c r="J1071">
        <v>36145.53</v>
      </c>
      <c r="K1071" t="s">
        <v>23</v>
      </c>
      <c r="L1071">
        <v>7.3949649458951952E-2</v>
      </c>
      <c r="M1071" t="s">
        <v>23</v>
      </c>
      <c r="N1071">
        <v>0</v>
      </c>
      <c r="O1071">
        <v>0</v>
      </c>
      <c r="P1071" t="s">
        <v>34</v>
      </c>
      <c r="Q1071" t="s">
        <v>33</v>
      </c>
      <c r="R1071" t="s">
        <v>29</v>
      </c>
      <c r="S1071" t="s">
        <v>27</v>
      </c>
      <c r="T1071" t="s">
        <v>35</v>
      </c>
      <c r="U1071">
        <f t="shared" si="16"/>
        <v>1</v>
      </c>
    </row>
    <row r="1072" spans="1:21" x14ac:dyDescent="0.2">
      <c r="A1072">
        <v>721</v>
      </c>
      <c r="B1072" t="s">
        <v>42</v>
      </c>
      <c r="C1072" t="s">
        <v>21</v>
      </c>
      <c r="D1072">
        <v>35</v>
      </c>
      <c r="E1072">
        <v>10</v>
      </c>
      <c r="F1072">
        <v>0</v>
      </c>
      <c r="G1072">
        <v>2</v>
      </c>
      <c r="H1072" t="s">
        <v>22</v>
      </c>
      <c r="I1072" t="s">
        <v>23</v>
      </c>
      <c r="J1072">
        <v>71594.259999999995</v>
      </c>
      <c r="K1072" t="s">
        <v>23</v>
      </c>
      <c r="L1072">
        <v>9.4497890695491124E-2</v>
      </c>
      <c r="M1072" t="s">
        <v>23</v>
      </c>
      <c r="N1072">
        <v>0</v>
      </c>
      <c r="O1072">
        <v>0</v>
      </c>
      <c r="P1072" t="s">
        <v>34</v>
      </c>
      <c r="Q1072" t="s">
        <v>33</v>
      </c>
      <c r="R1072" t="s">
        <v>29</v>
      </c>
      <c r="S1072" t="s">
        <v>37</v>
      </c>
      <c r="T1072" t="s">
        <v>40</v>
      </c>
      <c r="U1072">
        <f t="shared" si="16"/>
        <v>1</v>
      </c>
    </row>
    <row r="1073" spans="1:21" x14ac:dyDescent="0.2">
      <c r="A1073">
        <v>641</v>
      </c>
      <c r="B1073" t="s">
        <v>42</v>
      </c>
      <c r="C1073" t="s">
        <v>21</v>
      </c>
      <c r="D1073">
        <v>65</v>
      </c>
      <c r="E1073">
        <v>6</v>
      </c>
      <c r="F1073">
        <v>38340.019999999997</v>
      </c>
      <c r="G1073">
        <v>1</v>
      </c>
      <c r="H1073" t="s">
        <v>22</v>
      </c>
      <c r="I1073" t="s">
        <v>23</v>
      </c>
      <c r="J1073">
        <v>32607.77</v>
      </c>
      <c r="K1073" t="s">
        <v>22</v>
      </c>
      <c r="L1073">
        <v>0.56846404564071062</v>
      </c>
      <c r="M1073" t="s">
        <v>22</v>
      </c>
      <c r="N1073">
        <v>1</v>
      </c>
      <c r="O1073">
        <v>1</v>
      </c>
      <c r="P1073" t="s">
        <v>43</v>
      </c>
      <c r="Q1073" t="s">
        <v>46</v>
      </c>
      <c r="R1073" t="s">
        <v>48</v>
      </c>
      <c r="S1073" t="s">
        <v>27</v>
      </c>
      <c r="T1073" t="s">
        <v>35</v>
      </c>
      <c r="U1073">
        <f t="shared" si="16"/>
        <v>1</v>
      </c>
    </row>
    <row r="1074" spans="1:21" x14ac:dyDescent="0.2">
      <c r="A1074">
        <v>570</v>
      </c>
      <c r="B1074" t="s">
        <v>42</v>
      </c>
      <c r="C1074" t="s">
        <v>32</v>
      </c>
      <c r="D1074">
        <v>61</v>
      </c>
      <c r="E1074">
        <v>6</v>
      </c>
      <c r="F1074">
        <v>142105.35</v>
      </c>
      <c r="G1074">
        <v>1</v>
      </c>
      <c r="H1074" t="s">
        <v>22</v>
      </c>
      <c r="I1074" t="s">
        <v>22</v>
      </c>
      <c r="J1074">
        <v>45214.04</v>
      </c>
      <c r="K1074" t="s">
        <v>23</v>
      </c>
      <c r="L1074">
        <v>0.44086974366370391</v>
      </c>
      <c r="M1074" t="s">
        <v>23</v>
      </c>
      <c r="N1074">
        <v>0</v>
      </c>
      <c r="O1074">
        <v>0</v>
      </c>
      <c r="P1074" t="s">
        <v>24</v>
      </c>
      <c r="Q1074" t="s">
        <v>46</v>
      </c>
      <c r="R1074" t="s">
        <v>26</v>
      </c>
      <c r="S1074" t="s">
        <v>30</v>
      </c>
      <c r="T1074" t="s">
        <v>35</v>
      </c>
      <c r="U1074">
        <f t="shared" si="16"/>
        <v>1</v>
      </c>
    </row>
    <row r="1075" spans="1:21" x14ac:dyDescent="0.2">
      <c r="A1075">
        <v>717</v>
      </c>
      <c r="B1075" t="s">
        <v>42</v>
      </c>
      <c r="C1075" t="s">
        <v>21</v>
      </c>
      <c r="D1075">
        <v>35</v>
      </c>
      <c r="E1075">
        <v>4</v>
      </c>
      <c r="F1075">
        <v>0</v>
      </c>
      <c r="G1075">
        <v>1</v>
      </c>
      <c r="H1075" t="s">
        <v>22</v>
      </c>
      <c r="I1075" t="s">
        <v>22</v>
      </c>
      <c r="J1075">
        <v>167573.06</v>
      </c>
      <c r="K1075" t="s">
        <v>23</v>
      </c>
      <c r="L1075">
        <v>4.4320543604122027E-2</v>
      </c>
      <c r="M1075" t="s">
        <v>23</v>
      </c>
      <c r="N1075">
        <v>0</v>
      </c>
      <c r="O1075">
        <v>0</v>
      </c>
      <c r="P1075" t="s">
        <v>34</v>
      </c>
      <c r="Q1075" t="s">
        <v>33</v>
      </c>
      <c r="R1075" t="s">
        <v>29</v>
      </c>
      <c r="S1075" t="s">
        <v>37</v>
      </c>
      <c r="T1075" t="s">
        <v>31</v>
      </c>
      <c r="U1075">
        <f t="shared" si="16"/>
        <v>1</v>
      </c>
    </row>
    <row r="1076" spans="1:21" x14ac:dyDescent="0.2">
      <c r="A1076">
        <v>698</v>
      </c>
      <c r="B1076" t="s">
        <v>42</v>
      </c>
      <c r="C1076" t="s">
        <v>21</v>
      </c>
      <c r="D1076">
        <v>38</v>
      </c>
      <c r="E1076">
        <v>2</v>
      </c>
      <c r="F1076">
        <v>130015.24</v>
      </c>
      <c r="G1076">
        <v>1</v>
      </c>
      <c r="H1076" t="s">
        <v>22</v>
      </c>
      <c r="I1076" t="s">
        <v>22</v>
      </c>
      <c r="J1076">
        <v>41595.300000000003</v>
      </c>
      <c r="K1076" t="s">
        <v>23</v>
      </c>
      <c r="L1076">
        <v>7.3797064345411445E-2</v>
      </c>
      <c r="M1076" t="s">
        <v>23</v>
      </c>
      <c r="N1076">
        <v>0</v>
      </c>
      <c r="O1076">
        <v>0</v>
      </c>
      <c r="P1076" t="s">
        <v>34</v>
      </c>
      <c r="Q1076" t="s">
        <v>33</v>
      </c>
      <c r="R1076" t="s">
        <v>26</v>
      </c>
      <c r="S1076" t="s">
        <v>27</v>
      </c>
      <c r="T1076" t="s">
        <v>35</v>
      </c>
      <c r="U1076">
        <f t="shared" si="16"/>
        <v>1</v>
      </c>
    </row>
    <row r="1077" spans="1:21" x14ac:dyDescent="0.2">
      <c r="A1077">
        <v>691</v>
      </c>
      <c r="B1077" t="s">
        <v>42</v>
      </c>
      <c r="C1077" t="s">
        <v>21</v>
      </c>
      <c r="D1077">
        <v>34</v>
      </c>
      <c r="E1077">
        <v>8</v>
      </c>
      <c r="F1077">
        <v>133936.04</v>
      </c>
      <c r="G1077">
        <v>2</v>
      </c>
      <c r="H1077" t="s">
        <v>22</v>
      </c>
      <c r="I1077" t="s">
        <v>23</v>
      </c>
      <c r="J1077">
        <v>91359.79</v>
      </c>
      <c r="K1077" t="s">
        <v>23</v>
      </c>
      <c r="L1077">
        <v>0.1283790211145921</v>
      </c>
      <c r="M1077" t="s">
        <v>23</v>
      </c>
      <c r="N1077">
        <v>0</v>
      </c>
      <c r="O1077">
        <v>0</v>
      </c>
      <c r="P1077" t="s">
        <v>34</v>
      </c>
      <c r="Q1077" t="s">
        <v>33</v>
      </c>
      <c r="R1077" t="s">
        <v>26</v>
      </c>
      <c r="S1077" t="s">
        <v>27</v>
      </c>
      <c r="T1077" t="s">
        <v>40</v>
      </c>
      <c r="U1077">
        <f t="shared" si="16"/>
        <v>1</v>
      </c>
    </row>
    <row r="1078" spans="1:21" x14ac:dyDescent="0.2">
      <c r="A1078">
        <v>527</v>
      </c>
      <c r="B1078" t="s">
        <v>41</v>
      </c>
      <c r="C1078" t="s">
        <v>32</v>
      </c>
      <c r="D1078">
        <v>41</v>
      </c>
      <c r="E1078">
        <v>10</v>
      </c>
      <c r="F1078">
        <v>136733.24</v>
      </c>
      <c r="G1078">
        <v>1</v>
      </c>
      <c r="H1078" t="s">
        <v>22</v>
      </c>
      <c r="I1078" t="s">
        <v>22</v>
      </c>
      <c r="J1078">
        <v>57589.29</v>
      </c>
      <c r="K1078" t="s">
        <v>23</v>
      </c>
      <c r="L1078">
        <v>0.27180918091627893</v>
      </c>
      <c r="M1078" t="s">
        <v>23</v>
      </c>
      <c r="N1078">
        <v>0</v>
      </c>
      <c r="O1078">
        <v>0</v>
      </c>
      <c r="P1078" t="s">
        <v>24</v>
      </c>
      <c r="Q1078" t="s">
        <v>25</v>
      </c>
      <c r="R1078" t="s">
        <v>26</v>
      </c>
      <c r="S1078" t="s">
        <v>30</v>
      </c>
      <c r="T1078" t="s">
        <v>40</v>
      </c>
      <c r="U1078">
        <f t="shared" si="16"/>
        <v>1</v>
      </c>
    </row>
    <row r="1079" spans="1:21" x14ac:dyDescent="0.2">
      <c r="A1079">
        <v>614</v>
      </c>
      <c r="B1079" t="s">
        <v>20</v>
      </c>
      <c r="C1079" t="s">
        <v>21</v>
      </c>
      <c r="D1079">
        <v>39</v>
      </c>
      <c r="E1079">
        <v>3</v>
      </c>
      <c r="F1079">
        <v>151914.93</v>
      </c>
      <c r="G1079">
        <v>1</v>
      </c>
      <c r="H1079" t="s">
        <v>23</v>
      </c>
      <c r="I1079" t="s">
        <v>23</v>
      </c>
      <c r="J1079">
        <v>56459.45</v>
      </c>
      <c r="K1079" t="s">
        <v>23</v>
      </c>
      <c r="L1079">
        <v>0.232931102921132</v>
      </c>
      <c r="M1079" t="s">
        <v>23</v>
      </c>
      <c r="N1079">
        <v>0</v>
      </c>
      <c r="O1079">
        <v>0</v>
      </c>
      <c r="P1079" t="s">
        <v>24</v>
      </c>
      <c r="Q1079" t="s">
        <v>33</v>
      </c>
      <c r="R1079" t="s">
        <v>47</v>
      </c>
      <c r="S1079" t="s">
        <v>27</v>
      </c>
      <c r="T1079" t="s">
        <v>40</v>
      </c>
      <c r="U1079">
        <f t="shared" si="16"/>
        <v>1</v>
      </c>
    </row>
    <row r="1080" spans="1:21" x14ac:dyDescent="0.2">
      <c r="A1080">
        <v>587</v>
      </c>
      <c r="B1080" t="s">
        <v>20</v>
      </c>
      <c r="C1080" t="s">
        <v>21</v>
      </c>
      <c r="D1080">
        <v>51</v>
      </c>
      <c r="E1080">
        <v>3</v>
      </c>
      <c r="F1080">
        <v>83739.320000000007</v>
      </c>
      <c r="G1080">
        <v>1</v>
      </c>
      <c r="H1080" t="s">
        <v>23</v>
      </c>
      <c r="I1080" t="s">
        <v>22</v>
      </c>
      <c r="J1080">
        <v>148798.45000000001</v>
      </c>
      <c r="K1080" t="s">
        <v>23</v>
      </c>
      <c r="L1080">
        <v>0.18240678605421609</v>
      </c>
      <c r="M1080" t="s">
        <v>23</v>
      </c>
      <c r="N1080">
        <v>0</v>
      </c>
      <c r="O1080">
        <v>0</v>
      </c>
      <c r="P1080" t="s">
        <v>34</v>
      </c>
      <c r="Q1080" t="s">
        <v>44</v>
      </c>
      <c r="R1080" t="s">
        <v>38</v>
      </c>
      <c r="S1080" t="s">
        <v>30</v>
      </c>
      <c r="T1080" t="s">
        <v>28</v>
      </c>
      <c r="U1080">
        <f t="shared" si="16"/>
        <v>1</v>
      </c>
    </row>
    <row r="1081" spans="1:21" x14ac:dyDescent="0.2">
      <c r="A1081">
        <v>733</v>
      </c>
      <c r="B1081" t="s">
        <v>42</v>
      </c>
      <c r="C1081" t="s">
        <v>32</v>
      </c>
      <c r="D1081">
        <v>44</v>
      </c>
      <c r="E1081">
        <v>6</v>
      </c>
      <c r="F1081">
        <v>168165.84</v>
      </c>
      <c r="G1081">
        <v>1</v>
      </c>
      <c r="H1081" t="s">
        <v>23</v>
      </c>
      <c r="I1081" t="s">
        <v>22</v>
      </c>
      <c r="J1081">
        <v>197193.49</v>
      </c>
      <c r="K1081" t="s">
        <v>23</v>
      </c>
      <c r="L1081">
        <v>0.19410101771915239</v>
      </c>
      <c r="M1081" t="s">
        <v>23</v>
      </c>
      <c r="N1081">
        <v>0</v>
      </c>
      <c r="O1081">
        <v>0</v>
      </c>
      <c r="P1081" t="s">
        <v>34</v>
      </c>
      <c r="Q1081" t="s">
        <v>25</v>
      </c>
      <c r="R1081" t="s">
        <v>47</v>
      </c>
      <c r="S1081" t="s">
        <v>37</v>
      </c>
      <c r="T1081" t="s">
        <v>31</v>
      </c>
      <c r="U1081">
        <f t="shared" si="16"/>
        <v>1</v>
      </c>
    </row>
    <row r="1082" spans="1:21" x14ac:dyDescent="0.2">
      <c r="A1082">
        <v>564</v>
      </c>
      <c r="B1082" t="s">
        <v>42</v>
      </c>
      <c r="C1082" t="s">
        <v>21</v>
      </c>
      <c r="D1082">
        <v>35</v>
      </c>
      <c r="E1082">
        <v>4</v>
      </c>
      <c r="F1082">
        <v>0</v>
      </c>
      <c r="G1082">
        <v>1</v>
      </c>
      <c r="H1082" t="s">
        <v>22</v>
      </c>
      <c r="I1082" t="s">
        <v>23</v>
      </c>
      <c r="J1082">
        <v>158937.54999999999</v>
      </c>
      <c r="K1082" t="s">
        <v>23</v>
      </c>
      <c r="L1082">
        <v>0.13238736923438271</v>
      </c>
      <c r="M1082" t="s">
        <v>23</v>
      </c>
      <c r="N1082">
        <v>0</v>
      </c>
      <c r="O1082">
        <v>0</v>
      </c>
      <c r="P1082" t="s">
        <v>34</v>
      </c>
      <c r="Q1082" t="s">
        <v>33</v>
      </c>
      <c r="R1082" t="s">
        <v>29</v>
      </c>
      <c r="S1082" t="s">
        <v>30</v>
      </c>
      <c r="T1082" t="s">
        <v>31</v>
      </c>
      <c r="U1082">
        <f t="shared" si="16"/>
        <v>1</v>
      </c>
    </row>
    <row r="1083" spans="1:21" x14ac:dyDescent="0.2">
      <c r="A1083">
        <v>771</v>
      </c>
      <c r="B1083" t="s">
        <v>20</v>
      </c>
      <c r="C1083" t="s">
        <v>32</v>
      </c>
      <c r="D1083">
        <v>56</v>
      </c>
      <c r="E1083">
        <v>2</v>
      </c>
      <c r="F1083">
        <v>0</v>
      </c>
      <c r="G1083">
        <v>1</v>
      </c>
      <c r="H1083" t="s">
        <v>22</v>
      </c>
      <c r="I1083" t="s">
        <v>22</v>
      </c>
      <c r="J1083">
        <v>25222.6</v>
      </c>
      <c r="K1083" t="s">
        <v>22</v>
      </c>
      <c r="L1083">
        <v>0.26723958311452373</v>
      </c>
      <c r="M1083" t="s">
        <v>23</v>
      </c>
      <c r="N1083">
        <v>1</v>
      </c>
      <c r="O1083">
        <v>0</v>
      </c>
      <c r="P1083" t="s">
        <v>24</v>
      </c>
      <c r="Q1083" t="s">
        <v>44</v>
      </c>
      <c r="R1083" t="s">
        <v>29</v>
      </c>
      <c r="S1083" t="s">
        <v>37</v>
      </c>
      <c r="T1083" t="s">
        <v>35</v>
      </c>
      <c r="U1083">
        <f t="shared" si="16"/>
        <v>0</v>
      </c>
    </row>
    <row r="1084" spans="1:21" x14ac:dyDescent="0.2">
      <c r="A1084">
        <v>676</v>
      </c>
      <c r="B1084" t="s">
        <v>41</v>
      </c>
      <c r="C1084" t="s">
        <v>21</v>
      </c>
      <c r="D1084">
        <v>28</v>
      </c>
      <c r="E1084">
        <v>1</v>
      </c>
      <c r="F1084">
        <v>69459.05</v>
      </c>
      <c r="G1084">
        <v>2</v>
      </c>
      <c r="H1084" t="s">
        <v>22</v>
      </c>
      <c r="I1084" t="s">
        <v>22</v>
      </c>
      <c r="J1084">
        <v>128461.29</v>
      </c>
      <c r="K1084" t="s">
        <v>23</v>
      </c>
      <c r="L1084">
        <v>6.5483325787284052E-2</v>
      </c>
      <c r="M1084" t="s">
        <v>23</v>
      </c>
      <c r="N1084">
        <v>0</v>
      </c>
      <c r="O1084">
        <v>0</v>
      </c>
      <c r="P1084" t="s">
        <v>34</v>
      </c>
      <c r="Q1084" t="s">
        <v>36</v>
      </c>
      <c r="R1084" t="s">
        <v>38</v>
      </c>
      <c r="S1084" t="s">
        <v>27</v>
      </c>
      <c r="T1084" t="s">
        <v>28</v>
      </c>
      <c r="U1084">
        <f t="shared" si="16"/>
        <v>1</v>
      </c>
    </row>
    <row r="1085" spans="1:21" x14ac:dyDescent="0.2">
      <c r="A1085">
        <v>565</v>
      </c>
      <c r="B1085" t="s">
        <v>42</v>
      </c>
      <c r="C1085" t="s">
        <v>21</v>
      </c>
      <c r="D1085">
        <v>34</v>
      </c>
      <c r="E1085">
        <v>6</v>
      </c>
      <c r="F1085">
        <v>0</v>
      </c>
      <c r="G1085">
        <v>1</v>
      </c>
      <c r="H1085" t="s">
        <v>22</v>
      </c>
      <c r="I1085" t="s">
        <v>22</v>
      </c>
      <c r="J1085">
        <v>63173.64</v>
      </c>
      <c r="K1085" t="s">
        <v>23</v>
      </c>
      <c r="L1085">
        <v>4.1577956396626987E-2</v>
      </c>
      <c r="M1085" t="s">
        <v>23</v>
      </c>
      <c r="N1085">
        <v>0</v>
      </c>
      <c r="O1085">
        <v>0</v>
      </c>
      <c r="P1085" t="s">
        <v>34</v>
      </c>
      <c r="Q1085" t="s">
        <v>33</v>
      </c>
      <c r="R1085" t="s">
        <v>29</v>
      </c>
      <c r="S1085" t="s">
        <v>30</v>
      </c>
      <c r="T1085" t="s">
        <v>40</v>
      </c>
      <c r="U1085">
        <f t="shared" si="16"/>
        <v>1</v>
      </c>
    </row>
    <row r="1086" spans="1:21" x14ac:dyDescent="0.2">
      <c r="A1086">
        <v>687</v>
      </c>
      <c r="B1086" t="s">
        <v>20</v>
      </c>
      <c r="C1086" t="s">
        <v>32</v>
      </c>
      <c r="D1086">
        <v>50</v>
      </c>
      <c r="E1086">
        <v>5</v>
      </c>
      <c r="F1086">
        <v>0</v>
      </c>
      <c r="G1086">
        <v>2</v>
      </c>
      <c r="H1086" t="s">
        <v>22</v>
      </c>
      <c r="I1086" t="s">
        <v>23</v>
      </c>
      <c r="J1086">
        <v>110230.39999999999</v>
      </c>
      <c r="K1086" t="s">
        <v>23</v>
      </c>
      <c r="L1086">
        <v>0.39651086915331613</v>
      </c>
      <c r="M1086" t="s">
        <v>23</v>
      </c>
      <c r="N1086">
        <v>0</v>
      </c>
      <c r="O1086">
        <v>0</v>
      </c>
      <c r="P1086" t="s">
        <v>24</v>
      </c>
      <c r="Q1086" t="s">
        <v>25</v>
      </c>
      <c r="R1086" t="s">
        <v>29</v>
      </c>
      <c r="S1086" t="s">
        <v>27</v>
      </c>
      <c r="T1086" t="s">
        <v>28</v>
      </c>
      <c r="U1086">
        <f t="shared" si="16"/>
        <v>1</v>
      </c>
    </row>
    <row r="1087" spans="1:21" x14ac:dyDescent="0.2">
      <c r="A1087">
        <v>686</v>
      </c>
      <c r="B1087" t="s">
        <v>20</v>
      </c>
      <c r="C1087" t="s">
        <v>21</v>
      </c>
      <c r="D1087">
        <v>22</v>
      </c>
      <c r="E1087">
        <v>8</v>
      </c>
      <c r="F1087">
        <v>0</v>
      </c>
      <c r="G1087">
        <v>2</v>
      </c>
      <c r="H1087" t="s">
        <v>23</v>
      </c>
      <c r="I1087" t="s">
        <v>23</v>
      </c>
      <c r="J1087">
        <v>142331.85</v>
      </c>
      <c r="K1087" t="s">
        <v>23</v>
      </c>
      <c r="L1087">
        <v>4.531244443283769E-2</v>
      </c>
      <c r="M1087" t="s">
        <v>23</v>
      </c>
      <c r="N1087">
        <v>0</v>
      </c>
      <c r="O1087">
        <v>0</v>
      </c>
      <c r="P1087" t="s">
        <v>34</v>
      </c>
      <c r="Q1087" t="s">
        <v>36</v>
      </c>
      <c r="R1087" t="s">
        <v>29</v>
      </c>
      <c r="S1087" t="s">
        <v>27</v>
      </c>
      <c r="T1087" t="s">
        <v>28</v>
      </c>
      <c r="U1087">
        <f t="shared" si="16"/>
        <v>1</v>
      </c>
    </row>
    <row r="1088" spans="1:21" x14ac:dyDescent="0.2">
      <c r="A1088">
        <v>816</v>
      </c>
      <c r="B1088" t="s">
        <v>41</v>
      </c>
      <c r="C1088" t="s">
        <v>32</v>
      </c>
      <c r="D1088">
        <v>25</v>
      </c>
      <c r="E1088">
        <v>2</v>
      </c>
      <c r="F1088">
        <v>150355.35</v>
      </c>
      <c r="G1088">
        <v>2</v>
      </c>
      <c r="H1088" t="s">
        <v>22</v>
      </c>
      <c r="I1088" t="s">
        <v>22</v>
      </c>
      <c r="J1088">
        <v>35770.839999999997</v>
      </c>
      <c r="K1088" t="s">
        <v>23</v>
      </c>
      <c r="L1088">
        <v>9.1817246085409879E-2</v>
      </c>
      <c r="M1088" t="s">
        <v>23</v>
      </c>
      <c r="N1088">
        <v>0</v>
      </c>
      <c r="O1088">
        <v>0</v>
      </c>
      <c r="P1088" t="s">
        <v>34</v>
      </c>
      <c r="Q1088" t="s">
        <v>36</v>
      </c>
      <c r="R1088" t="s">
        <v>47</v>
      </c>
      <c r="S1088" t="s">
        <v>39</v>
      </c>
      <c r="T1088" t="s">
        <v>35</v>
      </c>
      <c r="U1088">
        <f t="shared" si="16"/>
        <v>1</v>
      </c>
    </row>
    <row r="1089" spans="1:21" x14ac:dyDescent="0.2">
      <c r="A1089">
        <v>597</v>
      </c>
      <c r="B1089" t="s">
        <v>20</v>
      </c>
      <c r="C1089" t="s">
        <v>21</v>
      </c>
      <c r="D1089">
        <v>35</v>
      </c>
      <c r="E1089">
        <v>9</v>
      </c>
      <c r="F1089">
        <v>0</v>
      </c>
      <c r="G1089">
        <v>3</v>
      </c>
      <c r="H1089" t="s">
        <v>23</v>
      </c>
      <c r="I1089" t="s">
        <v>22</v>
      </c>
      <c r="J1089">
        <v>73181.39</v>
      </c>
      <c r="K1089" t="s">
        <v>22</v>
      </c>
      <c r="L1089">
        <v>3.639577551558168E-2</v>
      </c>
      <c r="M1089" t="s">
        <v>23</v>
      </c>
      <c r="N1089">
        <v>1</v>
      </c>
      <c r="O1089">
        <v>0</v>
      </c>
      <c r="P1089" t="s">
        <v>34</v>
      </c>
      <c r="Q1089" t="s">
        <v>33</v>
      </c>
      <c r="R1089" t="s">
        <v>29</v>
      </c>
      <c r="S1089" t="s">
        <v>30</v>
      </c>
      <c r="T1089" t="s">
        <v>40</v>
      </c>
      <c r="U1089">
        <f t="shared" si="16"/>
        <v>0</v>
      </c>
    </row>
    <row r="1090" spans="1:21" x14ac:dyDescent="0.2">
      <c r="A1090">
        <v>579</v>
      </c>
      <c r="B1090" t="s">
        <v>41</v>
      </c>
      <c r="C1090" t="s">
        <v>32</v>
      </c>
      <c r="D1090">
        <v>50</v>
      </c>
      <c r="E1090">
        <v>5</v>
      </c>
      <c r="F1090">
        <v>117721.02</v>
      </c>
      <c r="G1090">
        <v>1</v>
      </c>
      <c r="H1090" t="s">
        <v>23</v>
      </c>
      <c r="I1090" t="s">
        <v>22</v>
      </c>
      <c r="J1090">
        <v>192146.63</v>
      </c>
      <c r="K1090" t="s">
        <v>22</v>
      </c>
      <c r="L1090">
        <v>0.45057014047091642</v>
      </c>
      <c r="M1090" t="s">
        <v>23</v>
      </c>
      <c r="N1090">
        <v>1</v>
      </c>
      <c r="O1090">
        <v>0</v>
      </c>
      <c r="P1090" t="s">
        <v>24</v>
      </c>
      <c r="Q1090" t="s">
        <v>25</v>
      </c>
      <c r="R1090" t="s">
        <v>26</v>
      </c>
      <c r="S1090" t="s">
        <v>30</v>
      </c>
      <c r="T1090" t="s">
        <v>31</v>
      </c>
      <c r="U1090">
        <f t="shared" ref="U1090:U1153" si="17">IF(K1090=M1090,1,0)</f>
        <v>0</v>
      </c>
    </row>
    <row r="1091" spans="1:21" x14ac:dyDescent="0.2">
      <c r="A1091">
        <v>759</v>
      </c>
      <c r="B1091" t="s">
        <v>42</v>
      </c>
      <c r="C1091" t="s">
        <v>32</v>
      </c>
      <c r="D1091">
        <v>31</v>
      </c>
      <c r="E1091">
        <v>1</v>
      </c>
      <c r="F1091">
        <v>109848.6</v>
      </c>
      <c r="G1091">
        <v>1</v>
      </c>
      <c r="H1091" t="s">
        <v>22</v>
      </c>
      <c r="I1091" t="s">
        <v>22</v>
      </c>
      <c r="J1091">
        <v>42012.55</v>
      </c>
      <c r="K1091" t="s">
        <v>23</v>
      </c>
      <c r="L1091">
        <v>7.0782456260537627E-2</v>
      </c>
      <c r="M1091" t="s">
        <v>23</v>
      </c>
      <c r="N1091">
        <v>0</v>
      </c>
      <c r="O1091">
        <v>0</v>
      </c>
      <c r="P1091" t="s">
        <v>34</v>
      </c>
      <c r="Q1091" t="s">
        <v>33</v>
      </c>
      <c r="R1091" t="s">
        <v>26</v>
      </c>
      <c r="S1091" t="s">
        <v>37</v>
      </c>
      <c r="T1091" t="s">
        <v>35</v>
      </c>
      <c r="U1091">
        <f t="shared" si="17"/>
        <v>1</v>
      </c>
    </row>
    <row r="1092" spans="1:21" x14ac:dyDescent="0.2">
      <c r="A1092">
        <v>512</v>
      </c>
      <c r="B1092" t="s">
        <v>20</v>
      </c>
      <c r="C1092" t="s">
        <v>32</v>
      </c>
      <c r="D1092">
        <v>46</v>
      </c>
      <c r="E1092">
        <v>3</v>
      </c>
      <c r="F1092">
        <v>0</v>
      </c>
      <c r="G1092">
        <v>2</v>
      </c>
      <c r="H1092" t="s">
        <v>22</v>
      </c>
      <c r="I1092" t="s">
        <v>22</v>
      </c>
      <c r="J1092">
        <v>56408.14</v>
      </c>
      <c r="K1092" t="s">
        <v>23</v>
      </c>
      <c r="L1092">
        <v>0.15772635891743539</v>
      </c>
      <c r="M1092" t="s">
        <v>23</v>
      </c>
      <c r="N1092">
        <v>0</v>
      </c>
      <c r="O1092">
        <v>0</v>
      </c>
      <c r="P1092" t="s">
        <v>34</v>
      </c>
      <c r="Q1092" t="s">
        <v>25</v>
      </c>
      <c r="R1092" t="s">
        <v>29</v>
      </c>
      <c r="S1092" t="s">
        <v>30</v>
      </c>
      <c r="T1092" t="s">
        <v>40</v>
      </c>
      <c r="U1092">
        <f t="shared" si="17"/>
        <v>1</v>
      </c>
    </row>
    <row r="1093" spans="1:21" x14ac:dyDescent="0.2">
      <c r="A1093">
        <v>520</v>
      </c>
      <c r="B1093" t="s">
        <v>42</v>
      </c>
      <c r="C1093" t="s">
        <v>32</v>
      </c>
      <c r="D1093">
        <v>29</v>
      </c>
      <c r="E1093">
        <v>8</v>
      </c>
      <c r="F1093">
        <v>95947.76</v>
      </c>
      <c r="G1093">
        <v>1</v>
      </c>
      <c r="H1093" t="s">
        <v>22</v>
      </c>
      <c r="I1093" t="s">
        <v>23</v>
      </c>
      <c r="J1093">
        <v>4696.4399999999996</v>
      </c>
      <c r="K1093" t="s">
        <v>23</v>
      </c>
      <c r="L1093">
        <v>0.15938580793576729</v>
      </c>
      <c r="M1093" t="s">
        <v>23</v>
      </c>
      <c r="N1093">
        <v>0</v>
      </c>
      <c r="O1093">
        <v>0</v>
      </c>
      <c r="P1093" t="s">
        <v>34</v>
      </c>
      <c r="Q1093" t="s">
        <v>36</v>
      </c>
      <c r="R1093" t="s">
        <v>38</v>
      </c>
      <c r="S1093" t="s">
        <v>30</v>
      </c>
      <c r="T1093" t="s">
        <v>35</v>
      </c>
      <c r="U1093">
        <f t="shared" si="17"/>
        <v>1</v>
      </c>
    </row>
    <row r="1094" spans="1:21" x14ac:dyDescent="0.2">
      <c r="A1094">
        <v>785</v>
      </c>
      <c r="B1094" t="s">
        <v>20</v>
      </c>
      <c r="C1094" t="s">
        <v>21</v>
      </c>
      <c r="D1094">
        <v>41</v>
      </c>
      <c r="E1094">
        <v>7</v>
      </c>
      <c r="F1094">
        <v>0</v>
      </c>
      <c r="G1094">
        <v>2</v>
      </c>
      <c r="H1094" t="s">
        <v>22</v>
      </c>
      <c r="I1094" t="s">
        <v>22</v>
      </c>
      <c r="J1094">
        <v>199108.88</v>
      </c>
      <c r="K1094" t="s">
        <v>23</v>
      </c>
      <c r="L1094">
        <v>5.8359544316738073E-2</v>
      </c>
      <c r="M1094" t="s">
        <v>23</v>
      </c>
      <c r="N1094">
        <v>0</v>
      </c>
      <c r="O1094">
        <v>0</v>
      </c>
      <c r="P1094" t="s">
        <v>34</v>
      </c>
      <c r="Q1094" t="s">
        <v>25</v>
      </c>
      <c r="R1094" t="s">
        <v>29</v>
      </c>
      <c r="S1094" t="s">
        <v>37</v>
      </c>
      <c r="T1094" t="s">
        <v>31</v>
      </c>
      <c r="U1094">
        <f t="shared" si="17"/>
        <v>1</v>
      </c>
    </row>
    <row r="1095" spans="1:21" x14ac:dyDescent="0.2">
      <c r="A1095">
        <v>670</v>
      </c>
      <c r="B1095" t="s">
        <v>42</v>
      </c>
      <c r="C1095" t="s">
        <v>21</v>
      </c>
      <c r="D1095">
        <v>38</v>
      </c>
      <c r="E1095">
        <v>10</v>
      </c>
      <c r="F1095">
        <v>89416.99</v>
      </c>
      <c r="G1095">
        <v>1</v>
      </c>
      <c r="H1095" t="s">
        <v>23</v>
      </c>
      <c r="I1095" t="s">
        <v>23</v>
      </c>
      <c r="J1095">
        <v>144275.39000000001</v>
      </c>
      <c r="K1095" t="s">
        <v>23</v>
      </c>
      <c r="L1095">
        <v>0.16876770877383551</v>
      </c>
      <c r="M1095" t="s">
        <v>23</v>
      </c>
      <c r="N1095">
        <v>0</v>
      </c>
      <c r="O1095">
        <v>0</v>
      </c>
      <c r="P1095" t="s">
        <v>34</v>
      </c>
      <c r="Q1095" t="s">
        <v>33</v>
      </c>
      <c r="R1095" t="s">
        <v>38</v>
      </c>
      <c r="S1095" t="s">
        <v>27</v>
      </c>
      <c r="T1095" t="s">
        <v>28</v>
      </c>
      <c r="U1095">
        <f t="shared" si="17"/>
        <v>1</v>
      </c>
    </row>
    <row r="1096" spans="1:21" x14ac:dyDescent="0.2">
      <c r="A1096">
        <v>681</v>
      </c>
      <c r="B1096" t="s">
        <v>41</v>
      </c>
      <c r="C1096" t="s">
        <v>32</v>
      </c>
      <c r="D1096">
        <v>44</v>
      </c>
      <c r="E1096">
        <v>3</v>
      </c>
      <c r="F1096">
        <v>105206.7</v>
      </c>
      <c r="G1096">
        <v>2</v>
      </c>
      <c r="H1096" t="s">
        <v>22</v>
      </c>
      <c r="I1096" t="s">
        <v>22</v>
      </c>
      <c r="J1096">
        <v>163558.35999999999</v>
      </c>
      <c r="K1096" t="s">
        <v>23</v>
      </c>
      <c r="L1096">
        <v>0.29783649085678099</v>
      </c>
      <c r="M1096" t="s">
        <v>23</v>
      </c>
      <c r="N1096">
        <v>0</v>
      </c>
      <c r="O1096">
        <v>0</v>
      </c>
      <c r="P1096" t="s">
        <v>24</v>
      </c>
      <c r="Q1096" t="s">
        <v>25</v>
      </c>
      <c r="R1096" t="s">
        <v>26</v>
      </c>
      <c r="S1096" t="s">
        <v>27</v>
      </c>
      <c r="T1096" t="s">
        <v>31</v>
      </c>
      <c r="U1096">
        <f t="shared" si="17"/>
        <v>1</v>
      </c>
    </row>
    <row r="1097" spans="1:21" x14ac:dyDescent="0.2">
      <c r="A1097">
        <v>621</v>
      </c>
      <c r="B1097" t="s">
        <v>20</v>
      </c>
      <c r="C1097" t="s">
        <v>32</v>
      </c>
      <c r="D1097">
        <v>37</v>
      </c>
      <c r="E1097">
        <v>9</v>
      </c>
      <c r="F1097">
        <v>83061.259999999995</v>
      </c>
      <c r="G1097">
        <v>2</v>
      </c>
      <c r="H1097" t="s">
        <v>22</v>
      </c>
      <c r="I1097" t="s">
        <v>23</v>
      </c>
      <c r="J1097">
        <v>9170.5400000000009</v>
      </c>
      <c r="K1097" t="s">
        <v>23</v>
      </c>
      <c r="L1097">
        <v>0.22155010327793101</v>
      </c>
      <c r="M1097" t="s">
        <v>23</v>
      </c>
      <c r="N1097">
        <v>0</v>
      </c>
      <c r="O1097">
        <v>0</v>
      </c>
      <c r="P1097" t="s">
        <v>24</v>
      </c>
      <c r="Q1097" t="s">
        <v>33</v>
      </c>
      <c r="R1097" t="s">
        <v>38</v>
      </c>
      <c r="S1097" t="s">
        <v>27</v>
      </c>
      <c r="T1097" t="s">
        <v>35</v>
      </c>
      <c r="U1097">
        <f t="shared" si="17"/>
        <v>1</v>
      </c>
    </row>
    <row r="1098" spans="1:21" x14ac:dyDescent="0.2">
      <c r="A1098">
        <v>632</v>
      </c>
      <c r="B1098" t="s">
        <v>42</v>
      </c>
      <c r="C1098" t="s">
        <v>21</v>
      </c>
      <c r="D1098">
        <v>40</v>
      </c>
      <c r="E1098">
        <v>5</v>
      </c>
      <c r="F1098">
        <v>147650.68</v>
      </c>
      <c r="G1098">
        <v>1</v>
      </c>
      <c r="H1098" t="s">
        <v>22</v>
      </c>
      <c r="I1098" t="s">
        <v>22</v>
      </c>
      <c r="J1098">
        <v>199674.83</v>
      </c>
      <c r="K1098" t="s">
        <v>23</v>
      </c>
      <c r="L1098">
        <v>9.4378420705192728E-2</v>
      </c>
      <c r="M1098" t="s">
        <v>23</v>
      </c>
      <c r="N1098">
        <v>0</v>
      </c>
      <c r="O1098">
        <v>0</v>
      </c>
      <c r="P1098" t="s">
        <v>34</v>
      </c>
      <c r="Q1098" t="s">
        <v>33</v>
      </c>
      <c r="R1098" t="s">
        <v>26</v>
      </c>
      <c r="S1098" t="s">
        <v>27</v>
      </c>
      <c r="T1098" t="s">
        <v>31</v>
      </c>
      <c r="U1098">
        <f t="shared" si="17"/>
        <v>1</v>
      </c>
    </row>
    <row r="1099" spans="1:21" x14ac:dyDescent="0.2">
      <c r="A1099">
        <v>477</v>
      </c>
      <c r="B1099" t="s">
        <v>41</v>
      </c>
      <c r="C1099" t="s">
        <v>32</v>
      </c>
      <c r="D1099">
        <v>24</v>
      </c>
      <c r="E1099">
        <v>2</v>
      </c>
      <c r="F1099">
        <v>95675.62</v>
      </c>
      <c r="G1099">
        <v>2</v>
      </c>
      <c r="H1099" t="s">
        <v>23</v>
      </c>
      <c r="I1099" t="s">
        <v>23</v>
      </c>
      <c r="J1099">
        <v>162699.70000000001</v>
      </c>
      <c r="K1099" t="s">
        <v>22</v>
      </c>
      <c r="L1099">
        <v>0.25358843619538513</v>
      </c>
      <c r="M1099" t="s">
        <v>23</v>
      </c>
      <c r="N1099">
        <v>1</v>
      </c>
      <c r="O1099">
        <v>0</v>
      </c>
      <c r="P1099" t="s">
        <v>24</v>
      </c>
      <c r="Q1099" t="s">
        <v>36</v>
      </c>
      <c r="R1099" t="s">
        <v>38</v>
      </c>
      <c r="S1099" t="s">
        <v>45</v>
      </c>
      <c r="T1099" t="s">
        <v>31</v>
      </c>
      <c r="U1099">
        <f t="shared" si="17"/>
        <v>0</v>
      </c>
    </row>
    <row r="1100" spans="1:21" x14ac:dyDescent="0.2">
      <c r="A1100">
        <v>675</v>
      </c>
      <c r="B1100" t="s">
        <v>41</v>
      </c>
      <c r="C1100" t="s">
        <v>21</v>
      </c>
      <c r="D1100">
        <v>42</v>
      </c>
      <c r="E1100">
        <v>2</v>
      </c>
      <c r="F1100">
        <v>92616.639999999999</v>
      </c>
      <c r="G1100">
        <v>2</v>
      </c>
      <c r="H1100" t="s">
        <v>22</v>
      </c>
      <c r="I1100" t="s">
        <v>23</v>
      </c>
      <c r="J1100">
        <v>8567.18</v>
      </c>
      <c r="K1100" t="s">
        <v>23</v>
      </c>
      <c r="L1100">
        <v>0.36386752462482819</v>
      </c>
      <c r="M1100" t="s">
        <v>23</v>
      </c>
      <c r="N1100">
        <v>0</v>
      </c>
      <c r="O1100">
        <v>0</v>
      </c>
      <c r="P1100" t="s">
        <v>24</v>
      </c>
      <c r="Q1100" t="s">
        <v>25</v>
      </c>
      <c r="R1100" t="s">
        <v>38</v>
      </c>
      <c r="S1100" t="s">
        <v>27</v>
      </c>
      <c r="T1100" t="s">
        <v>35</v>
      </c>
      <c r="U1100">
        <f t="shared" si="17"/>
        <v>1</v>
      </c>
    </row>
    <row r="1101" spans="1:21" x14ac:dyDescent="0.2">
      <c r="A1101">
        <v>616</v>
      </c>
      <c r="B1101" t="s">
        <v>20</v>
      </c>
      <c r="C1101" t="s">
        <v>32</v>
      </c>
      <c r="D1101">
        <v>36</v>
      </c>
      <c r="E1101">
        <v>6</v>
      </c>
      <c r="F1101">
        <v>0</v>
      </c>
      <c r="G1101">
        <v>1</v>
      </c>
      <c r="H1101" t="s">
        <v>22</v>
      </c>
      <c r="I1101" t="s">
        <v>22</v>
      </c>
      <c r="J1101">
        <v>12916.32</v>
      </c>
      <c r="K1101" t="s">
        <v>22</v>
      </c>
      <c r="L1101">
        <v>7.8185389609707293E-2</v>
      </c>
      <c r="M1101" t="s">
        <v>23</v>
      </c>
      <c r="N1101">
        <v>1</v>
      </c>
      <c r="O1101">
        <v>0</v>
      </c>
      <c r="P1101" t="s">
        <v>34</v>
      </c>
      <c r="Q1101" t="s">
        <v>33</v>
      </c>
      <c r="R1101" t="s">
        <v>29</v>
      </c>
      <c r="S1101" t="s">
        <v>27</v>
      </c>
      <c r="T1101" t="s">
        <v>35</v>
      </c>
      <c r="U1101">
        <f t="shared" si="17"/>
        <v>0</v>
      </c>
    </row>
    <row r="1102" spans="1:21" x14ac:dyDescent="0.2">
      <c r="A1102">
        <v>738</v>
      </c>
      <c r="B1102" t="s">
        <v>20</v>
      </c>
      <c r="C1102" t="s">
        <v>32</v>
      </c>
      <c r="D1102">
        <v>37</v>
      </c>
      <c r="E1102">
        <v>8</v>
      </c>
      <c r="F1102">
        <v>100565.94</v>
      </c>
      <c r="G1102">
        <v>1</v>
      </c>
      <c r="H1102" t="s">
        <v>22</v>
      </c>
      <c r="I1102" t="s">
        <v>22</v>
      </c>
      <c r="J1102">
        <v>128799.86</v>
      </c>
      <c r="K1102" t="s">
        <v>23</v>
      </c>
      <c r="L1102">
        <v>0.1004867498222219</v>
      </c>
      <c r="M1102" t="s">
        <v>23</v>
      </c>
      <c r="N1102">
        <v>0</v>
      </c>
      <c r="O1102">
        <v>0</v>
      </c>
      <c r="P1102" t="s">
        <v>34</v>
      </c>
      <c r="Q1102" t="s">
        <v>33</v>
      </c>
      <c r="R1102" t="s">
        <v>26</v>
      </c>
      <c r="S1102" t="s">
        <v>37</v>
      </c>
      <c r="T1102" t="s">
        <v>28</v>
      </c>
      <c r="U1102">
        <f t="shared" si="17"/>
        <v>1</v>
      </c>
    </row>
    <row r="1103" spans="1:21" x14ac:dyDescent="0.2">
      <c r="A1103">
        <v>616</v>
      </c>
      <c r="B1103" t="s">
        <v>41</v>
      </c>
      <c r="C1103" t="s">
        <v>32</v>
      </c>
      <c r="D1103">
        <v>36</v>
      </c>
      <c r="E1103">
        <v>10</v>
      </c>
      <c r="F1103">
        <v>78249.53</v>
      </c>
      <c r="G1103">
        <v>1</v>
      </c>
      <c r="H1103" t="s">
        <v>22</v>
      </c>
      <c r="I1103" t="s">
        <v>23</v>
      </c>
      <c r="J1103">
        <v>136934.91</v>
      </c>
      <c r="K1103" t="s">
        <v>23</v>
      </c>
      <c r="L1103">
        <v>0.39308460516013088</v>
      </c>
      <c r="M1103" t="s">
        <v>23</v>
      </c>
      <c r="N1103">
        <v>0</v>
      </c>
      <c r="O1103">
        <v>0</v>
      </c>
      <c r="P1103" t="s">
        <v>24</v>
      </c>
      <c r="Q1103" t="s">
        <v>33</v>
      </c>
      <c r="R1103" t="s">
        <v>38</v>
      </c>
      <c r="S1103" t="s">
        <v>27</v>
      </c>
      <c r="T1103" t="s">
        <v>28</v>
      </c>
      <c r="U1103">
        <f t="shared" si="17"/>
        <v>1</v>
      </c>
    </row>
    <row r="1104" spans="1:21" x14ac:dyDescent="0.2">
      <c r="A1104">
        <v>663</v>
      </c>
      <c r="B1104" t="s">
        <v>42</v>
      </c>
      <c r="C1104" t="s">
        <v>32</v>
      </c>
      <c r="D1104">
        <v>27</v>
      </c>
      <c r="E1104">
        <v>9</v>
      </c>
      <c r="F1104">
        <v>0</v>
      </c>
      <c r="G1104">
        <v>2</v>
      </c>
      <c r="H1104" t="s">
        <v>22</v>
      </c>
      <c r="I1104" t="s">
        <v>23</v>
      </c>
      <c r="J1104">
        <v>150850.29</v>
      </c>
      <c r="K1104" t="s">
        <v>23</v>
      </c>
      <c r="L1104">
        <v>9.9741530713133797E-2</v>
      </c>
      <c r="M1104" t="s">
        <v>23</v>
      </c>
      <c r="N1104">
        <v>0</v>
      </c>
      <c r="O1104">
        <v>0</v>
      </c>
      <c r="P1104" t="s">
        <v>34</v>
      </c>
      <c r="Q1104" t="s">
        <v>36</v>
      </c>
      <c r="R1104" t="s">
        <v>29</v>
      </c>
      <c r="S1104" t="s">
        <v>27</v>
      </c>
      <c r="T1104" t="s">
        <v>31</v>
      </c>
      <c r="U1104">
        <f t="shared" si="17"/>
        <v>1</v>
      </c>
    </row>
    <row r="1105" spans="1:21" x14ac:dyDescent="0.2">
      <c r="A1105">
        <v>706</v>
      </c>
      <c r="B1105" t="s">
        <v>20</v>
      </c>
      <c r="C1105" t="s">
        <v>21</v>
      </c>
      <c r="D1105">
        <v>68</v>
      </c>
      <c r="E1105">
        <v>4</v>
      </c>
      <c r="F1105">
        <v>114386.85</v>
      </c>
      <c r="G1105">
        <v>1</v>
      </c>
      <c r="H1105" t="s">
        <v>22</v>
      </c>
      <c r="I1105" t="s">
        <v>22</v>
      </c>
      <c r="J1105">
        <v>28601.68</v>
      </c>
      <c r="K1105" t="s">
        <v>23</v>
      </c>
      <c r="L1105">
        <v>0.40988377817284333</v>
      </c>
      <c r="M1105" t="s">
        <v>23</v>
      </c>
      <c r="N1105">
        <v>0</v>
      </c>
      <c r="O1105">
        <v>0</v>
      </c>
      <c r="P1105" t="s">
        <v>24</v>
      </c>
      <c r="Q1105" t="s">
        <v>46</v>
      </c>
      <c r="R1105" t="s">
        <v>26</v>
      </c>
      <c r="S1105" t="s">
        <v>37</v>
      </c>
      <c r="T1105" t="s">
        <v>35</v>
      </c>
      <c r="U1105">
        <f t="shared" si="17"/>
        <v>1</v>
      </c>
    </row>
    <row r="1106" spans="1:21" x14ac:dyDescent="0.2">
      <c r="A1106">
        <v>630</v>
      </c>
      <c r="B1106" t="s">
        <v>42</v>
      </c>
      <c r="C1106" t="s">
        <v>21</v>
      </c>
      <c r="D1106">
        <v>33</v>
      </c>
      <c r="E1106">
        <v>9</v>
      </c>
      <c r="F1106">
        <v>0</v>
      </c>
      <c r="G1106">
        <v>2</v>
      </c>
      <c r="H1106" t="s">
        <v>22</v>
      </c>
      <c r="I1106" t="s">
        <v>23</v>
      </c>
      <c r="J1106">
        <v>64804.59</v>
      </c>
      <c r="K1106" t="s">
        <v>23</v>
      </c>
      <c r="L1106">
        <v>8.8756977380654772E-2</v>
      </c>
      <c r="M1106" t="s">
        <v>23</v>
      </c>
      <c r="N1106">
        <v>0</v>
      </c>
      <c r="O1106">
        <v>0</v>
      </c>
      <c r="P1106" t="s">
        <v>34</v>
      </c>
      <c r="Q1106" t="s">
        <v>33</v>
      </c>
      <c r="R1106" t="s">
        <v>29</v>
      </c>
      <c r="S1106" t="s">
        <v>27</v>
      </c>
      <c r="T1106" t="s">
        <v>40</v>
      </c>
      <c r="U1106">
        <f t="shared" si="17"/>
        <v>1</v>
      </c>
    </row>
    <row r="1107" spans="1:21" x14ac:dyDescent="0.2">
      <c r="A1107">
        <v>735</v>
      </c>
      <c r="B1107" t="s">
        <v>42</v>
      </c>
      <c r="C1107" t="s">
        <v>32</v>
      </c>
      <c r="D1107">
        <v>25</v>
      </c>
      <c r="E1107">
        <v>3</v>
      </c>
      <c r="F1107">
        <v>91718.8</v>
      </c>
      <c r="G1107">
        <v>1</v>
      </c>
      <c r="H1107" t="s">
        <v>23</v>
      </c>
      <c r="I1107" t="s">
        <v>23</v>
      </c>
      <c r="J1107">
        <v>28411.23</v>
      </c>
      <c r="K1107" t="s">
        <v>23</v>
      </c>
      <c r="L1107">
        <v>0.1219419150491402</v>
      </c>
      <c r="M1107" t="s">
        <v>23</v>
      </c>
      <c r="N1107">
        <v>0</v>
      </c>
      <c r="O1107">
        <v>0</v>
      </c>
      <c r="P1107" t="s">
        <v>34</v>
      </c>
      <c r="Q1107" t="s">
        <v>36</v>
      </c>
      <c r="R1107" t="s">
        <v>38</v>
      </c>
      <c r="S1107" t="s">
        <v>37</v>
      </c>
      <c r="T1107" t="s">
        <v>35</v>
      </c>
      <c r="U1107">
        <f t="shared" si="17"/>
        <v>1</v>
      </c>
    </row>
    <row r="1108" spans="1:21" x14ac:dyDescent="0.2">
      <c r="A1108">
        <v>722</v>
      </c>
      <c r="B1108" t="s">
        <v>20</v>
      </c>
      <c r="C1108" t="s">
        <v>32</v>
      </c>
      <c r="D1108">
        <v>50</v>
      </c>
      <c r="E1108">
        <v>4</v>
      </c>
      <c r="F1108">
        <v>132088.59</v>
      </c>
      <c r="G1108">
        <v>1</v>
      </c>
      <c r="H1108" t="s">
        <v>22</v>
      </c>
      <c r="I1108" t="s">
        <v>22</v>
      </c>
      <c r="J1108">
        <v>128262.14</v>
      </c>
      <c r="K1108" t="s">
        <v>23</v>
      </c>
      <c r="L1108">
        <v>0.25763641492463452</v>
      </c>
      <c r="M1108" t="s">
        <v>23</v>
      </c>
      <c r="N1108">
        <v>0</v>
      </c>
      <c r="O1108">
        <v>0</v>
      </c>
      <c r="P1108" t="s">
        <v>24</v>
      </c>
      <c r="Q1108" t="s">
        <v>25</v>
      </c>
      <c r="R1108" t="s">
        <v>26</v>
      </c>
      <c r="S1108" t="s">
        <v>37</v>
      </c>
      <c r="T1108" t="s">
        <v>28</v>
      </c>
      <c r="U1108">
        <f t="shared" si="17"/>
        <v>1</v>
      </c>
    </row>
    <row r="1109" spans="1:21" x14ac:dyDescent="0.2">
      <c r="A1109">
        <v>577</v>
      </c>
      <c r="B1109" t="s">
        <v>20</v>
      </c>
      <c r="C1109" t="s">
        <v>32</v>
      </c>
      <c r="D1109">
        <v>39</v>
      </c>
      <c r="E1109">
        <v>4</v>
      </c>
      <c r="F1109">
        <v>0</v>
      </c>
      <c r="G1109">
        <v>2</v>
      </c>
      <c r="H1109" t="s">
        <v>22</v>
      </c>
      <c r="I1109" t="s">
        <v>23</v>
      </c>
      <c r="J1109">
        <v>91366.42</v>
      </c>
      <c r="K1109" t="s">
        <v>23</v>
      </c>
      <c r="L1109">
        <v>0.2407523273415752</v>
      </c>
      <c r="M1109" t="s">
        <v>23</v>
      </c>
      <c r="N1109">
        <v>0</v>
      </c>
      <c r="O1109">
        <v>0</v>
      </c>
      <c r="P1109" t="s">
        <v>24</v>
      </c>
      <c r="Q1109" t="s">
        <v>33</v>
      </c>
      <c r="R1109" t="s">
        <v>29</v>
      </c>
      <c r="S1109" t="s">
        <v>30</v>
      </c>
      <c r="T1109" t="s">
        <v>40</v>
      </c>
      <c r="U1109">
        <f t="shared" si="17"/>
        <v>1</v>
      </c>
    </row>
    <row r="1110" spans="1:21" x14ac:dyDescent="0.2">
      <c r="A1110">
        <v>660</v>
      </c>
      <c r="B1110" t="s">
        <v>42</v>
      </c>
      <c r="C1110" t="s">
        <v>32</v>
      </c>
      <c r="D1110">
        <v>31</v>
      </c>
      <c r="E1110">
        <v>6</v>
      </c>
      <c r="F1110">
        <v>172325.67</v>
      </c>
      <c r="G1110">
        <v>1</v>
      </c>
      <c r="H1110" t="s">
        <v>23</v>
      </c>
      <c r="I1110" t="s">
        <v>22</v>
      </c>
      <c r="J1110">
        <v>45438.38</v>
      </c>
      <c r="K1110" t="s">
        <v>23</v>
      </c>
      <c r="L1110">
        <v>8.2483502666731004E-2</v>
      </c>
      <c r="M1110" t="s">
        <v>23</v>
      </c>
      <c r="N1110">
        <v>0</v>
      </c>
      <c r="O1110">
        <v>0</v>
      </c>
      <c r="P1110" t="s">
        <v>34</v>
      </c>
      <c r="Q1110" t="s">
        <v>33</v>
      </c>
      <c r="R1110" t="s">
        <v>47</v>
      </c>
      <c r="S1110" t="s">
        <v>27</v>
      </c>
      <c r="T1110" t="s">
        <v>35</v>
      </c>
      <c r="U1110">
        <f t="shared" si="17"/>
        <v>1</v>
      </c>
    </row>
    <row r="1111" spans="1:21" x14ac:dyDescent="0.2">
      <c r="A1111">
        <v>684</v>
      </c>
      <c r="B1111" t="s">
        <v>42</v>
      </c>
      <c r="C1111" t="s">
        <v>21</v>
      </c>
      <c r="D1111">
        <v>35</v>
      </c>
      <c r="E1111">
        <v>6</v>
      </c>
      <c r="F1111">
        <v>135871.5</v>
      </c>
      <c r="G1111">
        <v>1</v>
      </c>
      <c r="H1111" t="s">
        <v>22</v>
      </c>
      <c r="I1111" t="s">
        <v>22</v>
      </c>
      <c r="J1111">
        <v>87219.41</v>
      </c>
      <c r="K1111" t="s">
        <v>23</v>
      </c>
      <c r="L1111">
        <v>5.8386592659703362E-2</v>
      </c>
      <c r="M1111" t="s">
        <v>23</v>
      </c>
      <c r="N1111">
        <v>0</v>
      </c>
      <c r="O1111">
        <v>0</v>
      </c>
      <c r="P1111" t="s">
        <v>34</v>
      </c>
      <c r="Q1111" t="s">
        <v>33</v>
      </c>
      <c r="R1111" t="s">
        <v>26</v>
      </c>
      <c r="S1111" t="s">
        <v>27</v>
      </c>
      <c r="T1111" t="s">
        <v>40</v>
      </c>
      <c r="U1111">
        <f t="shared" si="17"/>
        <v>1</v>
      </c>
    </row>
    <row r="1112" spans="1:21" x14ac:dyDescent="0.2">
      <c r="A1112">
        <v>625</v>
      </c>
      <c r="B1112" t="s">
        <v>41</v>
      </c>
      <c r="C1112" t="s">
        <v>32</v>
      </c>
      <c r="D1112">
        <v>49</v>
      </c>
      <c r="E1112">
        <v>4</v>
      </c>
      <c r="F1112">
        <v>128504.76</v>
      </c>
      <c r="G1112">
        <v>1</v>
      </c>
      <c r="H1112" t="s">
        <v>22</v>
      </c>
      <c r="I1112" t="s">
        <v>23</v>
      </c>
      <c r="J1112">
        <v>126812.63</v>
      </c>
      <c r="K1112" t="s">
        <v>22</v>
      </c>
      <c r="L1112">
        <v>0.68235800576433181</v>
      </c>
      <c r="M1112" t="s">
        <v>22</v>
      </c>
      <c r="N1112">
        <v>1</v>
      </c>
      <c r="O1112">
        <v>1</v>
      </c>
      <c r="P1112" t="s">
        <v>43</v>
      </c>
      <c r="Q1112" t="s">
        <v>25</v>
      </c>
      <c r="R1112" t="s">
        <v>26</v>
      </c>
      <c r="S1112" t="s">
        <v>27</v>
      </c>
      <c r="T1112" t="s">
        <v>28</v>
      </c>
      <c r="U1112">
        <f t="shared" si="17"/>
        <v>1</v>
      </c>
    </row>
    <row r="1113" spans="1:21" x14ac:dyDescent="0.2">
      <c r="A1113">
        <v>585</v>
      </c>
      <c r="B1113" t="s">
        <v>42</v>
      </c>
      <c r="C1113" t="s">
        <v>21</v>
      </c>
      <c r="D1113">
        <v>36</v>
      </c>
      <c r="E1113">
        <v>7</v>
      </c>
      <c r="F1113">
        <v>0</v>
      </c>
      <c r="G1113">
        <v>2</v>
      </c>
      <c r="H1113" t="s">
        <v>22</v>
      </c>
      <c r="I1113" t="s">
        <v>23</v>
      </c>
      <c r="J1113">
        <v>94283.09</v>
      </c>
      <c r="K1113" t="s">
        <v>23</v>
      </c>
      <c r="L1113">
        <v>0.117149439779036</v>
      </c>
      <c r="M1113" t="s">
        <v>23</v>
      </c>
      <c r="N1113">
        <v>0</v>
      </c>
      <c r="O1113">
        <v>0</v>
      </c>
      <c r="P1113" t="s">
        <v>34</v>
      </c>
      <c r="Q1113" t="s">
        <v>33</v>
      </c>
      <c r="R1113" t="s">
        <v>29</v>
      </c>
      <c r="S1113" t="s">
        <v>30</v>
      </c>
      <c r="T1113" t="s">
        <v>40</v>
      </c>
      <c r="U1113">
        <f t="shared" si="17"/>
        <v>1</v>
      </c>
    </row>
    <row r="1114" spans="1:21" x14ac:dyDescent="0.2">
      <c r="A1114">
        <v>732</v>
      </c>
      <c r="B1114" t="s">
        <v>41</v>
      </c>
      <c r="C1114" t="s">
        <v>32</v>
      </c>
      <c r="D1114">
        <v>45</v>
      </c>
      <c r="E1114">
        <v>6</v>
      </c>
      <c r="F1114">
        <v>98792.4</v>
      </c>
      <c r="G1114">
        <v>1</v>
      </c>
      <c r="H1114" t="s">
        <v>22</v>
      </c>
      <c r="I1114" t="s">
        <v>23</v>
      </c>
      <c r="J1114">
        <v>81491.7</v>
      </c>
      <c r="K1114" t="s">
        <v>22</v>
      </c>
      <c r="L1114">
        <v>0.56282582807384063</v>
      </c>
      <c r="M1114" t="s">
        <v>22</v>
      </c>
      <c r="N1114">
        <v>1</v>
      </c>
      <c r="O1114">
        <v>1</v>
      </c>
      <c r="P1114" t="s">
        <v>43</v>
      </c>
      <c r="Q1114" t="s">
        <v>25</v>
      </c>
      <c r="R1114" t="s">
        <v>38</v>
      </c>
      <c r="S1114" t="s">
        <v>37</v>
      </c>
      <c r="T1114" t="s">
        <v>40</v>
      </c>
      <c r="U1114">
        <f t="shared" si="17"/>
        <v>1</v>
      </c>
    </row>
    <row r="1115" spans="1:21" x14ac:dyDescent="0.2">
      <c r="A1115">
        <v>628</v>
      </c>
      <c r="B1115" t="s">
        <v>41</v>
      </c>
      <c r="C1115" t="s">
        <v>21</v>
      </c>
      <c r="D1115">
        <v>40</v>
      </c>
      <c r="E1115">
        <v>5</v>
      </c>
      <c r="F1115">
        <v>181768.32000000001</v>
      </c>
      <c r="G1115">
        <v>2</v>
      </c>
      <c r="H1115" t="s">
        <v>22</v>
      </c>
      <c r="I1115" t="s">
        <v>22</v>
      </c>
      <c r="J1115">
        <v>129107.97</v>
      </c>
      <c r="K1115" t="s">
        <v>23</v>
      </c>
      <c r="L1115">
        <v>0.17875696699603191</v>
      </c>
      <c r="M1115" t="s">
        <v>23</v>
      </c>
      <c r="N1115">
        <v>0</v>
      </c>
      <c r="O1115">
        <v>0</v>
      </c>
      <c r="P1115" t="s">
        <v>34</v>
      </c>
      <c r="Q1115" t="s">
        <v>33</v>
      </c>
      <c r="R1115" t="s">
        <v>47</v>
      </c>
      <c r="S1115" t="s">
        <v>27</v>
      </c>
      <c r="T1115" t="s">
        <v>28</v>
      </c>
      <c r="U1115">
        <f t="shared" si="17"/>
        <v>1</v>
      </c>
    </row>
    <row r="1116" spans="1:21" x14ac:dyDescent="0.2">
      <c r="A1116">
        <v>655</v>
      </c>
      <c r="B1116" t="s">
        <v>42</v>
      </c>
      <c r="C1116" t="s">
        <v>32</v>
      </c>
      <c r="D1116">
        <v>60</v>
      </c>
      <c r="E1116">
        <v>3</v>
      </c>
      <c r="F1116">
        <v>0</v>
      </c>
      <c r="G1116">
        <v>2</v>
      </c>
      <c r="H1116" t="s">
        <v>22</v>
      </c>
      <c r="I1116" t="s">
        <v>22</v>
      </c>
      <c r="J1116">
        <v>86981.45</v>
      </c>
      <c r="K1116" t="s">
        <v>23</v>
      </c>
      <c r="L1116">
        <v>0.31871988686074648</v>
      </c>
      <c r="M1116" t="s">
        <v>23</v>
      </c>
      <c r="N1116">
        <v>0</v>
      </c>
      <c r="O1116">
        <v>0</v>
      </c>
      <c r="P1116" t="s">
        <v>24</v>
      </c>
      <c r="Q1116" t="s">
        <v>44</v>
      </c>
      <c r="R1116" t="s">
        <v>29</v>
      </c>
      <c r="S1116" t="s">
        <v>27</v>
      </c>
      <c r="T1116" t="s">
        <v>40</v>
      </c>
      <c r="U1116">
        <f t="shared" si="17"/>
        <v>1</v>
      </c>
    </row>
    <row r="1117" spans="1:21" x14ac:dyDescent="0.2">
      <c r="A1117">
        <v>537</v>
      </c>
      <c r="B1117" t="s">
        <v>42</v>
      </c>
      <c r="C1117" t="s">
        <v>21</v>
      </c>
      <c r="D1117">
        <v>47</v>
      </c>
      <c r="E1117">
        <v>10</v>
      </c>
      <c r="F1117">
        <v>0</v>
      </c>
      <c r="G1117">
        <v>2</v>
      </c>
      <c r="H1117" t="s">
        <v>23</v>
      </c>
      <c r="I1117" t="s">
        <v>22</v>
      </c>
      <c r="J1117">
        <v>25482.62</v>
      </c>
      <c r="K1117" t="s">
        <v>23</v>
      </c>
      <c r="L1117">
        <v>8.8825750376757953E-2</v>
      </c>
      <c r="M1117" t="s">
        <v>23</v>
      </c>
      <c r="N1117">
        <v>0</v>
      </c>
      <c r="O1117">
        <v>0</v>
      </c>
      <c r="P1117" t="s">
        <v>34</v>
      </c>
      <c r="Q1117" t="s">
        <v>25</v>
      </c>
      <c r="R1117" t="s">
        <v>29</v>
      </c>
      <c r="S1117" t="s">
        <v>30</v>
      </c>
      <c r="T1117" t="s">
        <v>35</v>
      </c>
      <c r="U1117">
        <f t="shared" si="17"/>
        <v>1</v>
      </c>
    </row>
    <row r="1118" spans="1:21" x14ac:dyDescent="0.2">
      <c r="A1118">
        <v>507</v>
      </c>
      <c r="B1118" t="s">
        <v>42</v>
      </c>
      <c r="C1118" t="s">
        <v>32</v>
      </c>
      <c r="D1118">
        <v>33</v>
      </c>
      <c r="E1118">
        <v>1</v>
      </c>
      <c r="F1118">
        <v>113452.66</v>
      </c>
      <c r="G1118">
        <v>1</v>
      </c>
      <c r="H1118" t="s">
        <v>23</v>
      </c>
      <c r="I1118" t="s">
        <v>23</v>
      </c>
      <c r="J1118">
        <v>142911.99</v>
      </c>
      <c r="K1118" t="s">
        <v>23</v>
      </c>
      <c r="L1118">
        <v>0.2564681310783275</v>
      </c>
      <c r="M1118" t="s">
        <v>23</v>
      </c>
      <c r="N1118">
        <v>0</v>
      </c>
      <c r="O1118">
        <v>0</v>
      </c>
      <c r="P1118" t="s">
        <v>24</v>
      </c>
      <c r="Q1118" t="s">
        <v>33</v>
      </c>
      <c r="R1118" t="s">
        <v>26</v>
      </c>
      <c r="S1118" t="s">
        <v>30</v>
      </c>
      <c r="T1118" t="s">
        <v>28</v>
      </c>
      <c r="U1118">
        <f t="shared" si="17"/>
        <v>1</v>
      </c>
    </row>
    <row r="1119" spans="1:21" x14ac:dyDescent="0.2">
      <c r="A1119">
        <v>535</v>
      </c>
      <c r="B1119" t="s">
        <v>41</v>
      </c>
      <c r="C1119" t="s">
        <v>21</v>
      </c>
      <c r="D1119">
        <v>38</v>
      </c>
      <c r="E1119">
        <v>8</v>
      </c>
      <c r="F1119">
        <v>127475.24</v>
      </c>
      <c r="G1119">
        <v>1</v>
      </c>
      <c r="H1119" t="s">
        <v>23</v>
      </c>
      <c r="I1119" t="s">
        <v>23</v>
      </c>
      <c r="J1119">
        <v>60775.76</v>
      </c>
      <c r="K1119" t="s">
        <v>22</v>
      </c>
      <c r="L1119">
        <v>0.34955178339799692</v>
      </c>
      <c r="M1119" t="s">
        <v>23</v>
      </c>
      <c r="N1119">
        <v>1</v>
      </c>
      <c r="O1119">
        <v>0</v>
      </c>
      <c r="P1119" t="s">
        <v>24</v>
      </c>
      <c r="Q1119" t="s">
        <v>33</v>
      </c>
      <c r="R1119" t="s">
        <v>26</v>
      </c>
      <c r="S1119" t="s">
        <v>30</v>
      </c>
      <c r="T1119" t="s">
        <v>40</v>
      </c>
      <c r="U1119">
        <f t="shared" si="17"/>
        <v>0</v>
      </c>
    </row>
    <row r="1120" spans="1:21" x14ac:dyDescent="0.2">
      <c r="A1120">
        <v>488</v>
      </c>
      <c r="B1120" t="s">
        <v>42</v>
      </c>
      <c r="C1120" t="s">
        <v>21</v>
      </c>
      <c r="D1120">
        <v>43</v>
      </c>
      <c r="E1120">
        <v>10</v>
      </c>
      <c r="F1120">
        <v>112751.13</v>
      </c>
      <c r="G1120">
        <v>1</v>
      </c>
      <c r="H1120" t="s">
        <v>22</v>
      </c>
      <c r="I1120" t="s">
        <v>22</v>
      </c>
      <c r="J1120">
        <v>28332</v>
      </c>
      <c r="K1120" t="s">
        <v>23</v>
      </c>
      <c r="L1120">
        <v>9.7537727926061982E-2</v>
      </c>
      <c r="M1120" t="s">
        <v>23</v>
      </c>
      <c r="N1120">
        <v>0</v>
      </c>
      <c r="O1120">
        <v>0</v>
      </c>
      <c r="P1120" t="s">
        <v>34</v>
      </c>
      <c r="Q1120" t="s">
        <v>25</v>
      </c>
      <c r="R1120" t="s">
        <v>26</v>
      </c>
      <c r="S1120" t="s">
        <v>45</v>
      </c>
      <c r="T1120" t="s">
        <v>35</v>
      </c>
      <c r="U1120">
        <f t="shared" si="17"/>
        <v>1</v>
      </c>
    </row>
    <row r="1121" spans="1:21" x14ac:dyDescent="0.2">
      <c r="A1121">
        <v>829</v>
      </c>
      <c r="B1121" t="s">
        <v>42</v>
      </c>
      <c r="C1121" t="s">
        <v>32</v>
      </c>
      <c r="D1121">
        <v>22</v>
      </c>
      <c r="E1121">
        <v>7</v>
      </c>
      <c r="F1121">
        <v>150126.44</v>
      </c>
      <c r="G1121">
        <v>1</v>
      </c>
      <c r="H1121" t="s">
        <v>22</v>
      </c>
      <c r="I1121" t="s">
        <v>23</v>
      </c>
      <c r="J1121">
        <v>152107.93</v>
      </c>
      <c r="K1121" t="s">
        <v>22</v>
      </c>
      <c r="L1121">
        <v>0.1041439773578402</v>
      </c>
      <c r="M1121" t="s">
        <v>23</v>
      </c>
      <c r="N1121">
        <v>1</v>
      </c>
      <c r="O1121">
        <v>0</v>
      </c>
      <c r="P1121" t="s">
        <v>34</v>
      </c>
      <c r="Q1121" t="s">
        <v>36</v>
      </c>
      <c r="R1121" t="s">
        <v>47</v>
      </c>
      <c r="S1121" t="s">
        <v>39</v>
      </c>
      <c r="T1121" t="s">
        <v>31</v>
      </c>
      <c r="U1121">
        <f t="shared" si="17"/>
        <v>0</v>
      </c>
    </row>
    <row r="1122" spans="1:21" x14ac:dyDescent="0.2">
      <c r="A1122">
        <v>581</v>
      </c>
      <c r="B1122" t="s">
        <v>42</v>
      </c>
      <c r="C1122" t="s">
        <v>21</v>
      </c>
      <c r="D1122">
        <v>31</v>
      </c>
      <c r="E1122">
        <v>3</v>
      </c>
      <c r="F1122">
        <v>0</v>
      </c>
      <c r="G1122">
        <v>2</v>
      </c>
      <c r="H1122" t="s">
        <v>23</v>
      </c>
      <c r="I1122" t="s">
        <v>23</v>
      </c>
      <c r="J1122">
        <v>89040.61</v>
      </c>
      <c r="K1122" t="s">
        <v>23</v>
      </c>
      <c r="L1122">
        <v>9.2921820597146515E-2</v>
      </c>
      <c r="M1122" t="s">
        <v>23</v>
      </c>
      <c r="N1122">
        <v>0</v>
      </c>
      <c r="O1122">
        <v>0</v>
      </c>
      <c r="P1122" t="s">
        <v>34</v>
      </c>
      <c r="Q1122" t="s">
        <v>33</v>
      </c>
      <c r="R1122" t="s">
        <v>29</v>
      </c>
      <c r="S1122" t="s">
        <v>30</v>
      </c>
      <c r="T1122" t="s">
        <v>40</v>
      </c>
      <c r="U1122">
        <f t="shared" si="17"/>
        <v>1</v>
      </c>
    </row>
    <row r="1123" spans="1:21" x14ac:dyDescent="0.2">
      <c r="A1123">
        <v>653</v>
      </c>
      <c r="B1123" t="s">
        <v>42</v>
      </c>
      <c r="C1123" t="s">
        <v>21</v>
      </c>
      <c r="D1123">
        <v>38</v>
      </c>
      <c r="E1123">
        <v>8</v>
      </c>
      <c r="F1123">
        <v>119315.75</v>
      </c>
      <c r="G1123">
        <v>1</v>
      </c>
      <c r="H1123" t="s">
        <v>22</v>
      </c>
      <c r="I1123" t="s">
        <v>23</v>
      </c>
      <c r="J1123">
        <v>150468.35</v>
      </c>
      <c r="K1123" t="s">
        <v>23</v>
      </c>
      <c r="L1123">
        <v>0.1832773863006083</v>
      </c>
      <c r="M1123" t="s">
        <v>23</v>
      </c>
      <c r="N1123">
        <v>0</v>
      </c>
      <c r="O1123">
        <v>0</v>
      </c>
      <c r="P1123" t="s">
        <v>34</v>
      </c>
      <c r="Q1123" t="s">
        <v>33</v>
      </c>
      <c r="R1123" t="s">
        <v>26</v>
      </c>
      <c r="S1123" t="s">
        <v>27</v>
      </c>
      <c r="T1123" t="s">
        <v>31</v>
      </c>
      <c r="U1123">
        <f t="shared" si="17"/>
        <v>1</v>
      </c>
    </row>
    <row r="1124" spans="1:21" x14ac:dyDescent="0.2">
      <c r="A1124">
        <v>749</v>
      </c>
      <c r="B1124" t="s">
        <v>20</v>
      </c>
      <c r="C1124" t="s">
        <v>32</v>
      </c>
      <c r="D1124">
        <v>43</v>
      </c>
      <c r="E1124">
        <v>1</v>
      </c>
      <c r="F1124">
        <v>124209.02</v>
      </c>
      <c r="G1124">
        <v>1</v>
      </c>
      <c r="H1124" t="s">
        <v>22</v>
      </c>
      <c r="I1124" t="s">
        <v>22</v>
      </c>
      <c r="J1124">
        <v>167179.48000000001</v>
      </c>
      <c r="K1124" t="s">
        <v>23</v>
      </c>
      <c r="L1124">
        <v>0.17737705750742849</v>
      </c>
      <c r="M1124" t="s">
        <v>23</v>
      </c>
      <c r="N1124">
        <v>0</v>
      </c>
      <c r="O1124">
        <v>0</v>
      </c>
      <c r="P1124" t="s">
        <v>34</v>
      </c>
      <c r="Q1124" t="s">
        <v>25</v>
      </c>
      <c r="R1124" t="s">
        <v>26</v>
      </c>
      <c r="S1124" t="s">
        <v>37</v>
      </c>
      <c r="T1124" t="s">
        <v>31</v>
      </c>
      <c r="U1124">
        <f t="shared" si="17"/>
        <v>1</v>
      </c>
    </row>
    <row r="1125" spans="1:21" x14ac:dyDescent="0.2">
      <c r="A1125">
        <v>645</v>
      </c>
      <c r="B1125" t="s">
        <v>42</v>
      </c>
      <c r="C1125" t="s">
        <v>32</v>
      </c>
      <c r="D1125">
        <v>45</v>
      </c>
      <c r="E1125">
        <v>8</v>
      </c>
      <c r="F1125">
        <v>85325.93</v>
      </c>
      <c r="G1125">
        <v>1</v>
      </c>
      <c r="H1125" t="s">
        <v>23</v>
      </c>
      <c r="I1125" t="s">
        <v>23</v>
      </c>
      <c r="J1125">
        <v>22558.74</v>
      </c>
      <c r="K1125" t="s">
        <v>23</v>
      </c>
      <c r="L1125">
        <v>0.36568393796072468</v>
      </c>
      <c r="M1125" t="s">
        <v>23</v>
      </c>
      <c r="N1125">
        <v>0</v>
      </c>
      <c r="O1125">
        <v>0</v>
      </c>
      <c r="P1125" t="s">
        <v>24</v>
      </c>
      <c r="Q1125" t="s">
        <v>25</v>
      </c>
      <c r="R1125" t="s">
        <v>38</v>
      </c>
      <c r="S1125" t="s">
        <v>27</v>
      </c>
      <c r="T1125" t="s">
        <v>35</v>
      </c>
      <c r="U1125">
        <f t="shared" si="17"/>
        <v>1</v>
      </c>
    </row>
    <row r="1126" spans="1:21" x14ac:dyDescent="0.2">
      <c r="A1126">
        <v>645</v>
      </c>
      <c r="B1126" t="s">
        <v>42</v>
      </c>
      <c r="C1126" t="s">
        <v>21</v>
      </c>
      <c r="D1126">
        <v>40</v>
      </c>
      <c r="E1126">
        <v>6</v>
      </c>
      <c r="F1126">
        <v>131411.24</v>
      </c>
      <c r="G1126">
        <v>1</v>
      </c>
      <c r="H1126" t="s">
        <v>22</v>
      </c>
      <c r="I1126" t="s">
        <v>22</v>
      </c>
      <c r="J1126">
        <v>194656.11</v>
      </c>
      <c r="K1126" t="s">
        <v>23</v>
      </c>
      <c r="L1126">
        <v>8.8265934318970979E-2</v>
      </c>
      <c r="M1126" t="s">
        <v>23</v>
      </c>
      <c r="N1126">
        <v>0</v>
      </c>
      <c r="O1126">
        <v>0</v>
      </c>
      <c r="P1126" t="s">
        <v>34</v>
      </c>
      <c r="Q1126" t="s">
        <v>33</v>
      </c>
      <c r="R1126" t="s">
        <v>26</v>
      </c>
      <c r="S1126" t="s">
        <v>27</v>
      </c>
      <c r="T1126" t="s">
        <v>31</v>
      </c>
      <c r="U1126">
        <f t="shared" si="17"/>
        <v>1</v>
      </c>
    </row>
    <row r="1127" spans="1:21" x14ac:dyDescent="0.2">
      <c r="A1127">
        <v>752</v>
      </c>
      <c r="B1127" t="s">
        <v>20</v>
      </c>
      <c r="C1127" t="s">
        <v>32</v>
      </c>
      <c r="D1127">
        <v>36</v>
      </c>
      <c r="E1127">
        <v>3</v>
      </c>
      <c r="F1127">
        <v>0</v>
      </c>
      <c r="G1127">
        <v>2</v>
      </c>
      <c r="H1127" t="s">
        <v>22</v>
      </c>
      <c r="I1127" t="s">
        <v>22</v>
      </c>
      <c r="J1127">
        <v>48505.1</v>
      </c>
      <c r="K1127" t="s">
        <v>23</v>
      </c>
      <c r="L1127">
        <v>7.006088579875773E-2</v>
      </c>
      <c r="M1127" t="s">
        <v>23</v>
      </c>
      <c r="N1127">
        <v>0</v>
      </c>
      <c r="O1127">
        <v>0</v>
      </c>
      <c r="P1127" t="s">
        <v>34</v>
      </c>
      <c r="Q1127" t="s">
        <v>33</v>
      </c>
      <c r="R1127" t="s">
        <v>29</v>
      </c>
      <c r="S1127" t="s">
        <v>37</v>
      </c>
      <c r="T1127" t="s">
        <v>35</v>
      </c>
      <c r="U1127">
        <f t="shared" si="17"/>
        <v>1</v>
      </c>
    </row>
    <row r="1128" spans="1:21" x14ac:dyDescent="0.2">
      <c r="A1128">
        <v>681</v>
      </c>
      <c r="B1128" t="s">
        <v>41</v>
      </c>
      <c r="C1128" t="s">
        <v>32</v>
      </c>
      <c r="D1128">
        <v>44</v>
      </c>
      <c r="E1128">
        <v>4</v>
      </c>
      <c r="F1128">
        <v>91115.76</v>
      </c>
      <c r="G1128">
        <v>2</v>
      </c>
      <c r="H1128" t="s">
        <v>23</v>
      </c>
      <c r="I1128" t="s">
        <v>23</v>
      </c>
      <c r="J1128">
        <v>24208.84</v>
      </c>
      <c r="K1128" t="s">
        <v>22</v>
      </c>
      <c r="L1128">
        <v>0.53250106553441479</v>
      </c>
      <c r="M1128" t="s">
        <v>22</v>
      </c>
      <c r="N1128">
        <v>1</v>
      </c>
      <c r="O1128">
        <v>1</v>
      </c>
      <c r="P1128" t="s">
        <v>43</v>
      </c>
      <c r="Q1128" t="s">
        <v>25</v>
      </c>
      <c r="R1128" t="s">
        <v>38</v>
      </c>
      <c r="S1128" t="s">
        <v>27</v>
      </c>
      <c r="T1128" t="s">
        <v>35</v>
      </c>
      <c r="U1128">
        <f t="shared" si="17"/>
        <v>1</v>
      </c>
    </row>
    <row r="1129" spans="1:21" x14ac:dyDescent="0.2">
      <c r="A1129">
        <v>679</v>
      </c>
      <c r="B1129" t="s">
        <v>41</v>
      </c>
      <c r="C1129" t="s">
        <v>32</v>
      </c>
      <c r="D1129">
        <v>37</v>
      </c>
      <c r="E1129">
        <v>8</v>
      </c>
      <c r="F1129">
        <v>77373.87</v>
      </c>
      <c r="G1129">
        <v>2</v>
      </c>
      <c r="H1129" t="s">
        <v>23</v>
      </c>
      <c r="I1129" t="s">
        <v>22</v>
      </c>
      <c r="J1129">
        <v>174873.09</v>
      </c>
      <c r="K1129" t="s">
        <v>23</v>
      </c>
      <c r="L1129">
        <v>0.1814253488783725</v>
      </c>
      <c r="M1129" t="s">
        <v>23</v>
      </c>
      <c r="N1129">
        <v>0</v>
      </c>
      <c r="O1129">
        <v>0</v>
      </c>
      <c r="P1129" t="s">
        <v>34</v>
      </c>
      <c r="Q1129" t="s">
        <v>33</v>
      </c>
      <c r="R1129" t="s">
        <v>38</v>
      </c>
      <c r="S1129" t="s">
        <v>27</v>
      </c>
      <c r="T1129" t="s">
        <v>31</v>
      </c>
      <c r="U1129">
        <f t="shared" si="17"/>
        <v>1</v>
      </c>
    </row>
    <row r="1130" spans="1:21" x14ac:dyDescent="0.2">
      <c r="A1130">
        <v>726</v>
      </c>
      <c r="B1130" t="s">
        <v>42</v>
      </c>
      <c r="C1130" t="s">
        <v>32</v>
      </c>
      <c r="D1130">
        <v>34</v>
      </c>
      <c r="E1130">
        <v>0</v>
      </c>
      <c r="F1130">
        <v>185734.75</v>
      </c>
      <c r="G1130">
        <v>1</v>
      </c>
      <c r="H1130" t="s">
        <v>22</v>
      </c>
      <c r="I1130" t="s">
        <v>22</v>
      </c>
      <c r="J1130">
        <v>102036.82</v>
      </c>
      <c r="K1130" t="s">
        <v>23</v>
      </c>
      <c r="L1130">
        <v>0.1110702948598952</v>
      </c>
      <c r="M1130" t="s">
        <v>23</v>
      </c>
      <c r="N1130">
        <v>0</v>
      </c>
      <c r="O1130">
        <v>0</v>
      </c>
      <c r="P1130" t="s">
        <v>34</v>
      </c>
      <c r="Q1130" t="s">
        <v>33</v>
      </c>
      <c r="R1130" t="s">
        <v>47</v>
      </c>
      <c r="S1130" t="s">
        <v>37</v>
      </c>
      <c r="T1130" t="s">
        <v>28</v>
      </c>
      <c r="U1130">
        <f t="shared" si="17"/>
        <v>1</v>
      </c>
    </row>
    <row r="1131" spans="1:21" x14ac:dyDescent="0.2">
      <c r="A1131">
        <v>520</v>
      </c>
      <c r="B1131" t="s">
        <v>42</v>
      </c>
      <c r="C1131" t="s">
        <v>21</v>
      </c>
      <c r="D1131">
        <v>30</v>
      </c>
      <c r="E1131">
        <v>3</v>
      </c>
      <c r="F1131">
        <v>143396.54</v>
      </c>
      <c r="G1131">
        <v>2</v>
      </c>
      <c r="H1131" t="s">
        <v>22</v>
      </c>
      <c r="I1131" t="s">
        <v>22</v>
      </c>
      <c r="J1131">
        <v>898.51</v>
      </c>
      <c r="K1131" t="s">
        <v>23</v>
      </c>
      <c r="L1131">
        <v>4.2697810310981847E-2</v>
      </c>
      <c r="M1131" t="s">
        <v>23</v>
      </c>
      <c r="N1131">
        <v>0</v>
      </c>
      <c r="O1131">
        <v>0</v>
      </c>
      <c r="P1131" t="s">
        <v>34</v>
      </c>
      <c r="Q1131" t="s">
        <v>36</v>
      </c>
      <c r="R1131" t="s">
        <v>26</v>
      </c>
      <c r="S1131" t="s">
        <v>30</v>
      </c>
      <c r="T1131" t="s">
        <v>35</v>
      </c>
      <c r="U1131">
        <f t="shared" si="17"/>
        <v>1</v>
      </c>
    </row>
    <row r="1132" spans="1:21" x14ac:dyDescent="0.2">
      <c r="A1132">
        <v>623</v>
      </c>
      <c r="B1132" t="s">
        <v>20</v>
      </c>
      <c r="C1132" t="s">
        <v>21</v>
      </c>
      <c r="D1132">
        <v>44</v>
      </c>
      <c r="E1132">
        <v>1</v>
      </c>
      <c r="F1132">
        <v>83325.77</v>
      </c>
      <c r="G1132">
        <v>1</v>
      </c>
      <c r="H1132" t="s">
        <v>23</v>
      </c>
      <c r="I1132" t="s">
        <v>22</v>
      </c>
      <c r="J1132">
        <v>80828.78</v>
      </c>
      <c r="K1132" t="s">
        <v>23</v>
      </c>
      <c r="L1132">
        <v>0.1148098774600653</v>
      </c>
      <c r="M1132" t="s">
        <v>23</v>
      </c>
      <c r="N1132">
        <v>0</v>
      </c>
      <c r="O1132">
        <v>0</v>
      </c>
      <c r="P1132" t="s">
        <v>34</v>
      </c>
      <c r="Q1132" t="s">
        <v>25</v>
      </c>
      <c r="R1132" t="s">
        <v>38</v>
      </c>
      <c r="S1132" t="s">
        <v>27</v>
      </c>
      <c r="T1132" t="s">
        <v>40</v>
      </c>
      <c r="U1132">
        <f t="shared" si="17"/>
        <v>1</v>
      </c>
    </row>
    <row r="1133" spans="1:21" x14ac:dyDescent="0.2">
      <c r="A1133">
        <v>593</v>
      </c>
      <c r="B1133" t="s">
        <v>41</v>
      </c>
      <c r="C1133" t="s">
        <v>32</v>
      </c>
      <c r="D1133">
        <v>39</v>
      </c>
      <c r="E1133">
        <v>8</v>
      </c>
      <c r="F1133">
        <v>151391.67999999999</v>
      </c>
      <c r="G1133">
        <v>1</v>
      </c>
      <c r="H1133" t="s">
        <v>22</v>
      </c>
      <c r="I1133" t="s">
        <v>23</v>
      </c>
      <c r="J1133">
        <v>27274.6</v>
      </c>
      <c r="K1133" t="s">
        <v>22</v>
      </c>
      <c r="L1133">
        <v>0.49283317971850288</v>
      </c>
      <c r="M1133" t="s">
        <v>23</v>
      </c>
      <c r="N1133">
        <v>1</v>
      </c>
      <c r="O1133">
        <v>0</v>
      </c>
      <c r="P1133" t="s">
        <v>24</v>
      </c>
      <c r="Q1133" t="s">
        <v>33</v>
      </c>
      <c r="R1133" t="s">
        <v>47</v>
      </c>
      <c r="S1133" t="s">
        <v>30</v>
      </c>
      <c r="T1133" t="s">
        <v>35</v>
      </c>
      <c r="U1133">
        <f t="shared" si="17"/>
        <v>0</v>
      </c>
    </row>
    <row r="1134" spans="1:21" x14ac:dyDescent="0.2">
      <c r="A1134">
        <v>636</v>
      </c>
      <c r="B1134" t="s">
        <v>41</v>
      </c>
      <c r="C1134" t="s">
        <v>21</v>
      </c>
      <c r="D1134">
        <v>36</v>
      </c>
      <c r="E1134">
        <v>6</v>
      </c>
      <c r="F1134">
        <v>96643.32</v>
      </c>
      <c r="G1134">
        <v>1</v>
      </c>
      <c r="H1134" t="s">
        <v>23</v>
      </c>
      <c r="I1134" t="s">
        <v>23</v>
      </c>
      <c r="J1134">
        <v>182059.28</v>
      </c>
      <c r="K1134" t="s">
        <v>23</v>
      </c>
      <c r="L1134">
        <v>0.30759213602004121</v>
      </c>
      <c r="M1134" t="s">
        <v>23</v>
      </c>
      <c r="N1134">
        <v>0</v>
      </c>
      <c r="O1134">
        <v>0</v>
      </c>
      <c r="P1134" t="s">
        <v>24</v>
      </c>
      <c r="Q1134" t="s">
        <v>33</v>
      </c>
      <c r="R1134" t="s">
        <v>38</v>
      </c>
      <c r="S1134" t="s">
        <v>27</v>
      </c>
      <c r="T1134" t="s">
        <v>31</v>
      </c>
      <c r="U1134">
        <f t="shared" si="17"/>
        <v>1</v>
      </c>
    </row>
    <row r="1135" spans="1:21" x14ac:dyDescent="0.2">
      <c r="A1135">
        <v>669</v>
      </c>
      <c r="B1135" t="s">
        <v>20</v>
      </c>
      <c r="C1135" t="s">
        <v>32</v>
      </c>
      <c r="D1135">
        <v>33</v>
      </c>
      <c r="E1135">
        <v>8</v>
      </c>
      <c r="F1135">
        <v>0</v>
      </c>
      <c r="G1135">
        <v>2</v>
      </c>
      <c r="H1135" t="s">
        <v>23</v>
      </c>
      <c r="I1135" t="s">
        <v>22</v>
      </c>
      <c r="J1135">
        <v>128538.05</v>
      </c>
      <c r="K1135" t="s">
        <v>23</v>
      </c>
      <c r="L1135">
        <v>5.8843985644942198E-2</v>
      </c>
      <c r="M1135" t="s">
        <v>23</v>
      </c>
      <c r="N1135">
        <v>0</v>
      </c>
      <c r="O1135">
        <v>0</v>
      </c>
      <c r="P1135" t="s">
        <v>34</v>
      </c>
      <c r="Q1135" t="s">
        <v>33</v>
      </c>
      <c r="R1135" t="s">
        <v>29</v>
      </c>
      <c r="S1135" t="s">
        <v>27</v>
      </c>
      <c r="T1135" t="s">
        <v>28</v>
      </c>
      <c r="U1135">
        <f t="shared" si="17"/>
        <v>1</v>
      </c>
    </row>
    <row r="1136" spans="1:21" x14ac:dyDescent="0.2">
      <c r="A1136">
        <v>588</v>
      </c>
      <c r="B1136" t="s">
        <v>42</v>
      </c>
      <c r="C1136" t="s">
        <v>21</v>
      </c>
      <c r="D1136">
        <v>40</v>
      </c>
      <c r="E1136">
        <v>5</v>
      </c>
      <c r="F1136">
        <v>0</v>
      </c>
      <c r="G1136">
        <v>2</v>
      </c>
      <c r="H1136" t="s">
        <v>23</v>
      </c>
      <c r="I1136" t="s">
        <v>23</v>
      </c>
      <c r="J1136">
        <v>100727.67999999999</v>
      </c>
      <c r="K1136" t="s">
        <v>23</v>
      </c>
      <c r="L1136">
        <v>0.16105285392456389</v>
      </c>
      <c r="M1136" t="s">
        <v>23</v>
      </c>
      <c r="N1136">
        <v>0</v>
      </c>
      <c r="O1136">
        <v>0</v>
      </c>
      <c r="P1136" t="s">
        <v>34</v>
      </c>
      <c r="Q1136" t="s">
        <v>33</v>
      </c>
      <c r="R1136" t="s">
        <v>29</v>
      </c>
      <c r="S1136" t="s">
        <v>30</v>
      </c>
      <c r="T1136" t="s">
        <v>28</v>
      </c>
      <c r="U1136">
        <f t="shared" si="17"/>
        <v>1</v>
      </c>
    </row>
    <row r="1137" spans="1:21" x14ac:dyDescent="0.2">
      <c r="A1137">
        <v>763</v>
      </c>
      <c r="B1137" t="s">
        <v>20</v>
      </c>
      <c r="C1137" t="s">
        <v>32</v>
      </c>
      <c r="D1137">
        <v>32</v>
      </c>
      <c r="E1137">
        <v>8</v>
      </c>
      <c r="F1137">
        <v>0</v>
      </c>
      <c r="G1137">
        <v>2</v>
      </c>
      <c r="H1137" t="s">
        <v>22</v>
      </c>
      <c r="I1137" t="s">
        <v>23</v>
      </c>
      <c r="J1137">
        <v>16725.53</v>
      </c>
      <c r="K1137" t="s">
        <v>23</v>
      </c>
      <c r="L1137">
        <v>0.12828652666571949</v>
      </c>
      <c r="M1137" t="s">
        <v>23</v>
      </c>
      <c r="N1137">
        <v>0</v>
      </c>
      <c r="O1137">
        <v>0</v>
      </c>
      <c r="P1137" t="s">
        <v>34</v>
      </c>
      <c r="Q1137" t="s">
        <v>33</v>
      </c>
      <c r="R1137" t="s">
        <v>29</v>
      </c>
      <c r="S1137" t="s">
        <v>37</v>
      </c>
      <c r="T1137" t="s">
        <v>35</v>
      </c>
      <c r="U1137">
        <f t="shared" si="17"/>
        <v>1</v>
      </c>
    </row>
    <row r="1138" spans="1:21" x14ac:dyDescent="0.2">
      <c r="A1138">
        <v>554</v>
      </c>
      <c r="B1138" t="s">
        <v>20</v>
      </c>
      <c r="C1138" t="s">
        <v>32</v>
      </c>
      <c r="D1138">
        <v>45</v>
      </c>
      <c r="E1138">
        <v>4</v>
      </c>
      <c r="F1138">
        <v>0</v>
      </c>
      <c r="G1138">
        <v>2</v>
      </c>
      <c r="H1138" t="s">
        <v>22</v>
      </c>
      <c r="I1138" t="s">
        <v>22</v>
      </c>
      <c r="J1138">
        <v>193412.05</v>
      </c>
      <c r="K1138" t="s">
        <v>23</v>
      </c>
      <c r="L1138">
        <v>0.15168426594111639</v>
      </c>
      <c r="M1138" t="s">
        <v>23</v>
      </c>
      <c r="N1138">
        <v>0</v>
      </c>
      <c r="O1138">
        <v>0</v>
      </c>
      <c r="P1138" t="s">
        <v>34</v>
      </c>
      <c r="Q1138" t="s">
        <v>25</v>
      </c>
      <c r="R1138" t="s">
        <v>29</v>
      </c>
      <c r="S1138" t="s">
        <v>30</v>
      </c>
      <c r="T1138" t="s">
        <v>31</v>
      </c>
      <c r="U1138">
        <f t="shared" si="17"/>
        <v>1</v>
      </c>
    </row>
    <row r="1139" spans="1:21" x14ac:dyDescent="0.2">
      <c r="A1139">
        <v>699</v>
      </c>
      <c r="B1139" t="s">
        <v>42</v>
      </c>
      <c r="C1139" t="s">
        <v>21</v>
      </c>
      <c r="D1139">
        <v>37</v>
      </c>
      <c r="E1139">
        <v>10</v>
      </c>
      <c r="F1139">
        <v>0</v>
      </c>
      <c r="G1139">
        <v>2</v>
      </c>
      <c r="H1139" t="s">
        <v>23</v>
      </c>
      <c r="I1139" t="s">
        <v>23</v>
      </c>
      <c r="J1139">
        <v>83263.039999999994</v>
      </c>
      <c r="K1139" t="s">
        <v>23</v>
      </c>
      <c r="L1139">
        <v>0.1132512943119765</v>
      </c>
      <c r="M1139" t="s">
        <v>23</v>
      </c>
      <c r="N1139">
        <v>0</v>
      </c>
      <c r="O1139">
        <v>0</v>
      </c>
      <c r="P1139" t="s">
        <v>34</v>
      </c>
      <c r="Q1139" t="s">
        <v>33</v>
      </c>
      <c r="R1139" t="s">
        <v>29</v>
      </c>
      <c r="S1139" t="s">
        <v>27</v>
      </c>
      <c r="T1139" t="s">
        <v>40</v>
      </c>
      <c r="U1139">
        <f t="shared" si="17"/>
        <v>1</v>
      </c>
    </row>
    <row r="1140" spans="1:21" x14ac:dyDescent="0.2">
      <c r="A1140">
        <v>625</v>
      </c>
      <c r="B1140" t="s">
        <v>42</v>
      </c>
      <c r="C1140" t="s">
        <v>32</v>
      </c>
      <c r="D1140">
        <v>45</v>
      </c>
      <c r="E1140">
        <v>3</v>
      </c>
      <c r="F1140">
        <v>0</v>
      </c>
      <c r="G1140">
        <v>1</v>
      </c>
      <c r="H1140" t="s">
        <v>22</v>
      </c>
      <c r="I1140" t="s">
        <v>22</v>
      </c>
      <c r="J1140">
        <v>184474.15</v>
      </c>
      <c r="K1140" t="s">
        <v>22</v>
      </c>
      <c r="L1140">
        <v>0.1556926847502369</v>
      </c>
      <c r="M1140" t="s">
        <v>23</v>
      </c>
      <c r="N1140">
        <v>1</v>
      </c>
      <c r="O1140">
        <v>0</v>
      </c>
      <c r="P1140" t="s">
        <v>34</v>
      </c>
      <c r="Q1140" t="s">
        <v>25</v>
      </c>
      <c r="R1140" t="s">
        <v>29</v>
      </c>
      <c r="S1140" t="s">
        <v>27</v>
      </c>
      <c r="T1140" t="s">
        <v>31</v>
      </c>
      <c r="U1140">
        <f t="shared" si="17"/>
        <v>0</v>
      </c>
    </row>
    <row r="1141" spans="1:21" x14ac:dyDescent="0.2">
      <c r="A1141">
        <v>599</v>
      </c>
      <c r="B1141" t="s">
        <v>42</v>
      </c>
      <c r="C1141" t="s">
        <v>21</v>
      </c>
      <c r="D1141">
        <v>30</v>
      </c>
      <c r="E1141">
        <v>9</v>
      </c>
      <c r="F1141">
        <v>105443.68</v>
      </c>
      <c r="G1141">
        <v>1</v>
      </c>
      <c r="H1141" t="s">
        <v>22</v>
      </c>
      <c r="I1141" t="s">
        <v>22</v>
      </c>
      <c r="J1141">
        <v>121124.53</v>
      </c>
      <c r="K1141" t="s">
        <v>23</v>
      </c>
      <c r="L1141">
        <v>3.8758219194165361E-2</v>
      </c>
      <c r="M1141" t="s">
        <v>23</v>
      </c>
      <c r="N1141">
        <v>0</v>
      </c>
      <c r="O1141">
        <v>0</v>
      </c>
      <c r="P1141" t="s">
        <v>34</v>
      </c>
      <c r="Q1141" t="s">
        <v>36</v>
      </c>
      <c r="R1141" t="s">
        <v>26</v>
      </c>
      <c r="S1141" t="s">
        <v>30</v>
      </c>
      <c r="T1141" t="s">
        <v>28</v>
      </c>
      <c r="U1141">
        <f t="shared" si="17"/>
        <v>1</v>
      </c>
    </row>
    <row r="1142" spans="1:21" x14ac:dyDescent="0.2">
      <c r="A1142">
        <v>584</v>
      </c>
      <c r="B1142" t="s">
        <v>20</v>
      </c>
      <c r="C1142" t="s">
        <v>32</v>
      </c>
      <c r="D1142">
        <v>50</v>
      </c>
      <c r="E1142">
        <v>1</v>
      </c>
      <c r="F1142">
        <v>0</v>
      </c>
      <c r="G1142">
        <v>1</v>
      </c>
      <c r="H1142" t="s">
        <v>23</v>
      </c>
      <c r="I1142" t="s">
        <v>22</v>
      </c>
      <c r="J1142">
        <v>152567.75</v>
      </c>
      <c r="K1142" t="s">
        <v>22</v>
      </c>
      <c r="L1142">
        <v>0.23148960508077371</v>
      </c>
      <c r="M1142" t="s">
        <v>23</v>
      </c>
      <c r="N1142">
        <v>1</v>
      </c>
      <c r="O1142">
        <v>0</v>
      </c>
      <c r="P1142" t="s">
        <v>24</v>
      </c>
      <c r="Q1142" t="s">
        <v>25</v>
      </c>
      <c r="R1142" t="s">
        <v>29</v>
      </c>
      <c r="S1142" t="s">
        <v>30</v>
      </c>
      <c r="T1142" t="s">
        <v>31</v>
      </c>
      <c r="U1142">
        <f t="shared" si="17"/>
        <v>0</v>
      </c>
    </row>
    <row r="1143" spans="1:21" x14ac:dyDescent="0.2">
      <c r="A1143">
        <v>526</v>
      </c>
      <c r="B1143" t="s">
        <v>20</v>
      </c>
      <c r="C1143" t="s">
        <v>21</v>
      </c>
      <c r="D1143">
        <v>38</v>
      </c>
      <c r="E1143">
        <v>2</v>
      </c>
      <c r="F1143">
        <v>0</v>
      </c>
      <c r="G1143">
        <v>2</v>
      </c>
      <c r="H1143" t="s">
        <v>23</v>
      </c>
      <c r="I1143" t="s">
        <v>23</v>
      </c>
      <c r="J1143">
        <v>58010.98</v>
      </c>
      <c r="K1143" t="s">
        <v>23</v>
      </c>
      <c r="L1143">
        <v>0.15688517026168211</v>
      </c>
      <c r="M1143" t="s">
        <v>23</v>
      </c>
      <c r="N1143">
        <v>0</v>
      </c>
      <c r="O1143">
        <v>0</v>
      </c>
      <c r="P1143" t="s">
        <v>34</v>
      </c>
      <c r="Q1143" t="s">
        <v>33</v>
      </c>
      <c r="R1143" t="s">
        <v>29</v>
      </c>
      <c r="S1143" t="s">
        <v>30</v>
      </c>
      <c r="T1143" t="s">
        <v>40</v>
      </c>
      <c r="U1143">
        <f t="shared" si="17"/>
        <v>1</v>
      </c>
    </row>
    <row r="1144" spans="1:21" x14ac:dyDescent="0.2">
      <c r="A1144">
        <v>618</v>
      </c>
      <c r="B1144" t="s">
        <v>41</v>
      </c>
      <c r="C1144" t="s">
        <v>32</v>
      </c>
      <c r="D1144">
        <v>40</v>
      </c>
      <c r="E1144">
        <v>1</v>
      </c>
      <c r="F1144">
        <v>133245.51999999999</v>
      </c>
      <c r="G1144">
        <v>2</v>
      </c>
      <c r="H1144" t="s">
        <v>22</v>
      </c>
      <c r="I1144" t="s">
        <v>22</v>
      </c>
      <c r="J1144">
        <v>54495.82</v>
      </c>
      <c r="K1144" t="s">
        <v>23</v>
      </c>
      <c r="L1144">
        <v>0.2575485716973982</v>
      </c>
      <c r="M1144" t="s">
        <v>23</v>
      </c>
      <c r="N1144">
        <v>0</v>
      </c>
      <c r="O1144">
        <v>0</v>
      </c>
      <c r="P1144" t="s">
        <v>24</v>
      </c>
      <c r="Q1144" t="s">
        <v>33</v>
      </c>
      <c r="R1144" t="s">
        <v>26</v>
      </c>
      <c r="S1144" t="s">
        <v>27</v>
      </c>
      <c r="T1144" t="s">
        <v>40</v>
      </c>
      <c r="U1144">
        <f t="shared" si="17"/>
        <v>1</v>
      </c>
    </row>
    <row r="1145" spans="1:21" x14ac:dyDescent="0.2">
      <c r="A1145">
        <v>546</v>
      </c>
      <c r="B1145" t="s">
        <v>42</v>
      </c>
      <c r="C1145" t="s">
        <v>21</v>
      </c>
      <c r="D1145">
        <v>29</v>
      </c>
      <c r="E1145">
        <v>5</v>
      </c>
      <c r="F1145">
        <v>0</v>
      </c>
      <c r="G1145">
        <v>1</v>
      </c>
      <c r="H1145" t="s">
        <v>22</v>
      </c>
      <c r="I1145" t="s">
        <v>22</v>
      </c>
      <c r="J1145">
        <v>94823.95</v>
      </c>
      <c r="K1145" t="s">
        <v>23</v>
      </c>
      <c r="L1145">
        <v>3.0559773134459529E-2</v>
      </c>
      <c r="M1145" t="s">
        <v>23</v>
      </c>
      <c r="N1145">
        <v>0</v>
      </c>
      <c r="O1145">
        <v>0</v>
      </c>
      <c r="P1145" t="s">
        <v>34</v>
      </c>
      <c r="Q1145" t="s">
        <v>36</v>
      </c>
      <c r="R1145" t="s">
        <v>29</v>
      </c>
      <c r="S1145" t="s">
        <v>30</v>
      </c>
      <c r="T1145" t="s">
        <v>40</v>
      </c>
      <c r="U1145">
        <f t="shared" si="17"/>
        <v>1</v>
      </c>
    </row>
    <row r="1146" spans="1:21" x14ac:dyDescent="0.2">
      <c r="A1146">
        <v>653</v>
      </c>
      <c r="B1146" t="s">
        <v>20</v>
      </c>
      <c r="C1146" t="s">
        <v>21</v>
      </c>
      <c r="D1146">
        <v>35</v>
      </c>
      <c r="E1146">
        <v>9</v>
      </c>
      <c r="F1146">
        <v>0</v>
      </c>
      <c r="G1146">
        <v>2</v>
      </c>
      <c r="H1146" t="s">
        <v>22</v>
      </c>
      <c r="I1146" t="s">
        <v>22</v>
      </c>
      <c r="J1146">
        <v>45956.05</v>
      </c>
      <c r="K1146" t="s">
        <v>23</v>
      </c>
      <c r="L1146">
        <v>3.7010783182877219E-2</v>
      </c>
      <c r="M1146" t="s">
        <v>23</v>
      </c>
      <c r="N1146">
        <v>0</v>
      </c>
      <c r="O1146">
        <v>0</v>
      </c>
      <c r="P1146" t="s">
        <v>34</v>
      </c>
      <c r="Q1146" t="s">
        <v>33</v>
      </c>
      <c r="R1146" t="s">
        <v>29</v>
      </c>
      <c r="S1146" t="s">
        <v>27</v>
      </c>
      <c r="T1146" t="s">
        <v>35</v>
      </c>
      <c r="U1146">
        <f t="shared" si="17"/>
        <v>1</v>
      </c>
    </row>
    <row r="1147" spans="1:21" x14ac:dyDescent="0.2">
      <c r="A1147">
        <v>684</v>
      </c>
      <c r="B1147" t="s">
        <v>41</v>
      </c>
      <c r="C1147" t="s">
        <v>21</v>
      </c>
      <c r="D1147">
        <v>37</v>
      </c>
      <c r="E1147">
        <v>4</v>
      </c>
      <c r="F1147">
        <v>138476.41</v>
      </c>
      <c r="G1147">
        <v>2</v>
      </c>
      <c r="H1147" t="s">
        <v>22</v>
      </c>
      <c r="I1147" t="s">
        <v>22</v>
      </c>
      <c r="J1147">
        <v>52367.29</v>
      </c>
      <c r="K1147" t="s">
        <v>23</v>
      </c>
      <c r="L1147">
        <v>0.12776215431582369</v>
      </c>
      <c r="M1147" t="s">
        <v>23</v>
      </c>
      <c r="N1147">
        <v>0</v>
      </c>
      <c r="O1147">
        <v>0</v>
      </c>
      <c r="P1147" t="s">
        <v>34</v>
      </c>
      <c r="Q1147" t="s">
        <v>33</v>
      </c>
      <c r="R1147" t="s">
        <v>26</v>
      </c>
      <c r="S1147" t="s">
        <v>27</v>
      </c>
      <c r="T1147" t="s">
        <v>40</v>
      </c>
      <c r="U1147">
        <f t="shared" si="17"/>
        <v>1</v>
      </c>
    </row>
    <row r="1148" spans="1:21" x14ac:dyDescent="0.2">
      <c r="A1148">
        <v>656</v>
      </c>
      <c r="B1148" t="s">
        <v>41</v>
      </c>
      <c r="C1148" t="s">
        <v>32</v>
      </c>
      <c r="D1148">
        <v>49</v>
      </c>
      <c r="E1148">
        <v>9</v>
      </c>
      <c r="F1148">
        <v>97092.87</v>
      </c>
      <c r="G1148">
        <v>1</v>
      </c>
      <c r="H1148" t="s">
        <v>22</v>
      </c>
      <c r="I1148" t="s">
        <v>23</v>
      </c>
      <c r="J1148">
        <v>74771.22</v>
      </c>
      <c r="K1148" t="s">
        <v>22</v>
      </c>
      <c r="L1148">
        <v>0.63034563083375195</v>
      </c>
      <c r="M1148" t="s">
        <v>22</v>
      </c>
      <c r="N1148">
        <v>1</v>
      </c>
      <c r="O1148">
        <v>1</v>
      </c>
      <c r="P1148" t="s">
        <v>43</v>
      </c>
      <c r="Q1148" t="s">
        <v>25</v>
      </c>
      <c r="R1148" t="s">
        <v>38</v>
      </c>
      <c r="S1148" t="s">
        <v>27</v>
      </c>
      <c r="T1148" t="s">
        <v>40</v>
      </c>
      <c r="U1148">
        <f t="shared" si="17"/>
        <v>1</v>
      </c>
    </row>
    <row r="1149" spans="1:21" x14ac:dyDescent="0.2">
      <c r="A1149">
        <v>850</v>
      </c>
      <c r="B1149" t="s">
        <v>42</v>
      </c>
      <c r="C1149" t="s">
        <v>32</v>
      </c>
      <c r="D1149">
        <v>35</v>
      </c>
      <c r="E1149">
        <v>6</v>
      </c>
      <c r="F1149">
        <v>81684.97</v>
      </c>
      <c r="G1149">
        <v>1</v>
      </c>
      <c r="H1149" t="s">
        <v>22</v>
      </c>
      <c r="I1149" t="s">
        <v>23</v>
      </c>
      <c r="J1149">
        <v>824</v>
      </c>
      <c r="K1149" t="s">
        <v>23</v>
      </c>
      <c r="L1149">
        <v>0.1904835755863972</v>
      </c>
      <c r="M1149" t="s">
        <v>23</v>
      </c>
      <c r="N1149">
        <v>0</v>
      </c>
      <c r="O1149">
        <v>0</v>
      </c>
      <c r="P1149" t="s">
        <v>34</v>
      </c>
      <c r="Q1149" t="s">
        <v>33</v>
      </c>
      <c r="R1149" t="s">
        <v>38</v>
      </c>
      <c r="S1149" t="s">
        <v>39</v>
      </c>
      <c r="T1149" t="s">
        <v>35</v>
      </c>
      <c r="U1149">
        <f t="shared" si="17"/>
        <v>1</v>
      </c>
    </row>
    <row r="1150" spans="1:21" x14ac:dyDescent="0.2">
      <c r="A1150">
        <v>676</v>
      </c>
      <c r="B1150" t="s">
        <v>42</v>
      </c>
      <c r="C1150" t="s">
        <v>32</v>
      </c>
      <c r="D1150">
        <v>49</v>
      </c>
      <c r="E1150">
        <v>1</v>
      </c>
      <c r="F1150">
        <v>0</v>
      </c>
      <c r="G1150">
        <v>1</v>
      </c>
      <c r="H1150" t="s">
        <v>22</v>
      </c>
      <c r="I1150" t="s">
        <v>23</v>
      </c>
      <c r="J1150">
        <v>79342.31</v>
      </c>
      <c r="K1150" t="s">
        <v>22</v>
      </c>
      <c r="L1150">
        <v>0.41111812677817627</v>
      </c>
      <c r="M1150" t="s">
        <v>23</v>
      </c>
      <c r="N1150">
        <v>1</v>
      </c>
      <c r="O1150">
        <v>0</v>
      </c>
      <c r="P1150" t="s">
        <v>24</v>
      </c>
      <c r="Q1150" t="s">
        <v>25</v>
      </c>
      <c r="R1150" t="s">
        <v>29</v>
      </c>
      <c r="S1150" t="s">
        <v>27</v>
      </c>
      <c r="T1150" t="s">
        <v>40</v>
      </c>
      <c r="U1150">
        <f t="shared" si="17"/>
        <v>0</v>
      </c>
    </row>
    <row r="1151" spans="1:21" x14ac:dyDescent="0.2">
      <c r="A1151">
        <v>710</v>
      </c>
      <c r="B1151" t="s">
        <v>42</v>
      </c>
      <c r="C1151" t="s">
        <v>21</v>
      </c>
      <c r="D1151">
        <v>21</v>
      </c>
      <c r="E1151">
        <v>4</v>
      </c>
      <c r="F1151">
        <v>109130.96</v>
      </c>
      <c r="G1151">
        <v>2</v>
      </c>
      <c r="H1151" t="s">
        <v>22</v>
      </c>
      <c r="I1151" t="s">
        <v>22</v>
      </c>
      <c r="J1151">
        <v>56191.99</v>
      </c>
      <c r="K1151" t="s">
        <v>23</v>
      </c>
      <c r="L1151">
        <v>1.8251045979687731E-2</v>
      </c>
      <c r="M1151" t="s">
        <v>23</v>
      </c>
      <c r="N1151">
        <v>0</v>
      </c>
      <c r="O1151">
        <v>0</v>
      </c>
      <c r="P1151" t="s">
        <v>34</v>
      </c>
      <c r="Q1151" t="s">
        <v>36</v>
      </c>
      <c r="R1151" t="s">
        <v>26</v>
      </c>
      <c r="S1151" t="s">
        <v>37</v>
      </c>
      <c r="T1151" t="s">
        <v>40</v>
      </c>
      <c r="U1151">
        <f t="shared" si="17"/>
        <v>1</v>
      </c>
    </row>
    <row r="1152" spans="1:21" x14ac:dyDescent="0.2">
      <c r="A1152">
        <v>509</v>
      </c>
      <c r="B1152" t="s">
        <v>20</v>
      </c>
      <c r="C1152" t="s">
        <v>21</v>
      </c>
      <c r="D1152">
        <v>29</v>
      </c>
      <c r="E1152">
        <v>1</v>
      </c>
      <c r="F1152">
        <v>0</v>
      </c>
      <c r="G1152">
        <v>2</v>
      </c>
      <c r="H1152" t="s">
        <v>22</v>
      </c>
      <c r="I1152" t="s">
        <v>23</v>
      </c>
      <c r="J1152">
        <v>69113.14</v>
      </c>
      <c r="K1152" t="s">
        <v>23</v>
      </c>
      <c r="L1152">
        <v>8.7705968964589709E-2</v>
      </c>
      <c r="M1152" t="s">
        <v>23</v>
      </c>
      <c r="N1152">
        <v>0</v>
      </c>
      <c r="O1152">
        <v>0</v>
      </c>
      <c r="P1152" t="s">
        <v>34</v>
      </c>
      <c r="Q1152" t="s">
        <v>36</v>
      </c>
      <c r="R1152" t="s">
        <v>29</v>
      </c>
      <c r="S1152" t="s">
        <v>30</v>
      </c>
      <c r="T1152" t="s">
        <v>40</v>
      </c>
      <c r="U1152">
        <f t="shared" si="17"/>
        <v>1</v>
      </c>
    </row>
    <row r="1153" spans="1:21" x14ac:dyDescent="0.2">
      <c r="A1153">
        <v>665</v>
      </c>
      <c r="B1153" t="s">
        <v>42</v>
      </c>
      <c r="C1153" t="s">
        <v>21</v>
      </c>
      <c r="D1153">
        <v>51</v>
      </c>
      <c r="E1153">
        <v>2</v>
      </c>
      <c r="F1153">
        <v>0</v>
      </c>
      <c r="G1153">
        <v>1</v>
      </c>
      <c r="H1153" t="s">
        <v>23</v>
      </c>
      <c r="I1153" t="s">
        <v>23</v>
      </c>
      <c r="J1153">
        <v>53353.36</v>
      </c>
      <c r="K1153" t="s">
        <v>23</v>
      </c>
      <c r="L1153">
        <v>0.32009609009482731</v>
      </c>
      <c r="M1153" t="s">
        <v>23</v>
      </c>
      <c r="N1153">
        <v>0</v>
      </c>
      <c r="O1153">
        <v>0</v>
      </c>
      <c r="P1153" t="s">
        <v>24</v>
      </c>
      <c r="Q1153" t="s">
        <v>44</v>
      </c>
      <c r="R1153" t="s">
        <v>29</v>
      </c>
      <c r="S1153" t="s">
        <v>27</v>
      </c>
      <c r="T1153" t="s">
        <v>40</v>
      </c>
      <c r="U1153">
        <f t="shared" si="17"/>
        <v>1</v>
      </c>
    </row>
    <row r="1154" spans="1:21" x14ac:dyDescent="0.2">
      <c r="A1154">
        <v>631</v>
      </c>
      <c r="B1154" t="s">
        <v>41</v>
      </c>
      <c r="C1154" t="s">
        <v>32</v>
      </c>
      <c r="D1154">
        <v>22</v>
      </c>
      <c r="E1154">
        <v>6</v>
      </c>
      <c r="F1154">
        <v>139129.92000000001</v>
      </c>
      <c r="G1154">
        <v>1</v>
      </c>
      <c r="H1154" t="s">
        <v>22</v>
      </c>
      <c r="I1154" t="s">
        <v>22</v>
      </c>
      <c r="J1154">
        <v>63747.51</v>
      </c>
      <c r="K1154" t="s">
        <v>23</v>
      </c>
      <c r="L1154">
        <v>8.5135938335786837E-2</v>
      </c>
      <c r="M1154" t="s">
        <v>23</v>
      </c>
      <c r="N1154">
        <v>0</v>
      </c>
      <c r="O1154">
        <v>0</v>
      </c>
      <c r="P1154" t="s">
        <v>34</v>
      </c>
      <c r="Q1154" t="s">
        <v>36</v>
      </c>
      <c r="R1154" t="s">
        <v>26</v>
      </c>
      <c r="S1154" t="s">
        <v>27</v>
      </c>
      <c r="T1154" t="s">
        <v>40</v>
      </c>
      <c r="U1154">
        <f t="shared" ref="U1154:U1217" si="18">IF(K1154=M1154,1,0)</f>
        <v>1</v>
      </c>
    </row>
    <row r="1155" spans="1:21" x14ac:dyDescent="0.2">
      <c r="A1155">
        <v>544</v>
      </c>
      <c r="B1155" t="s">
        <v>20</v>
      </c>
      <c r="C1155" t="s">
        <v>21</v>
      </c>
      <c r="D1155">
        <v>22</v>
      </c>
      <c r="E1155">
        <v>3</v>
      </c>
      <c r="F1155">
        <v>66483.320000000007</v>
      </c>
      <c r="G1155">
        <v>1</v>
      </c>
      <c r="H1155" t="s">
        <v>23</v>
      </c>
      <c r="I1155" t="s">
        <v>22</v>
      </c>
      <c r="J1155">
        <v>110317.39</v>
      </c>
      <c r="K1155" t="s">
        <v>23</v>
      </c>
      <c r="L1155">
        <v>2.4544673238439531E-2</v>
      </c>
      <c r="M1155" t="s">
        <v>23</v>
      </c>
      <c r="N1155">
        <v>0</v>
      </c>
      <c r="O1155">
        <v>0</v>
      </c>
      <c r="P1155" t="s">
        <v>34</v>
      </c>
      <c r="Q1155" t="s">
        <v>36</v>
      </c>
      <c r="R1155" t="s">
        <v>38</v>
      </c>
      <c r="S1155" t="s">
        <v>30</v>
      </c>
      <c r="T1155" t="s">
        <v>28</v>
      </c>
      <c r="U1155">
        <f t="shared" si="18"/>
        <v>1</v>
      </c>
    </row>
    <row r="1156" spans="1:21" x14ac:dyDescent="0.2">
      <c r="A1156">
        <v>481</v>
      </c>
      <c r="B1156" t="s">
        <v>42</v>
      </c>
      <c r="C1156" t="s">
        <v>32</v>
      </c>
      <c r="D1156">
        <v>34</v>
      </c>
      <c r="E1156">
        <v>5</v>
      </c>
      <c r="F1156">
        <v>0</v>
      </c>
      <c r="G1156">
        <v>2</v>
      </c>
      <c r="H1156" t="s">
        <v>22</v>
      </c>
      <c r="I1156" t="s">
        <v>22</v>
      </c>
      <c r="J1156">
        <v>125253.46</v>
      </c>
      <c r="K1156" t="s">
        <v>23</v>
      </c>
      <c r="L1156">
        <v>7.0359450829441866E-2</v>
      </c>
      <c r="M1156" t="s">
        <v>23</v>
      </c>
      <c r="N1156">
        <v>0</v>
      </c>
      <c r="O1156">
        <v>0</v>
      </c>
      <c r="P1156" t="s">
        <v>34</v>
      </c>
      <c r="Q1156" t="s">
        <v>33</v>
      </c>
      <c r="R1156" t="s">
        <v>29</v>
      </c>
      <c r="S1156" t="s">
        <v>45</v>
      </c>
      <c r="T1156" t="s">
        <v>28</v>
      </c>
      <c r="U1156">
        <f t="shared" si="18"/>
        <v>1</v>
      </c>
    </row>
    <row r="1157" spans="1:21" x14ac:dyDescent="0.2">
      <c r="A1157">
        <v>721</v>
      </c>
      <c r="B1157" t="s">
        <v>20</v>
      </c>
      <c r="C1157" t="s">
        <v>21</v>
      </c>
      <c r="D1157">
        <v>38</v>
      </c>
      <c r="E1157">
        <v>7</v>
      </c>
      <c r="F1157">
        <v>0</v>
      </c>
      <c r="G1157">
        <v>1</v>
      </c>
      <c r="H1157" t="s">
        <v>23</v>
      </c>
      <c r="I1157" t="s">
        <v>22</v>
      </c>
      <c r="J1157">
        <v>53534.8</v>
      </c>
      <c r="K1157" t="s">
        <v>23</v>
      </c>
      <c r="L1157">
        <v>5.1941838902623563E-2</v>
      </c>
      <c r="M1157" t="s">
        <v>23</v>
      </c>
      <c r="N1157">
        <v>0</v>
      </c>
      <c r="O1157">
        <v>0</v>
      </c>
      <c r="P1157" t="s">
        <v>34</v>
      </c>
      <c r="Q1157" t="s">
        <v>33</v>
      </c>
      <c r="R1157" t="s">
        <v>29</v>
      </c>
      <c r="S1157" t="s">
        <v>37</v>
      </c>
      <c r="T1157" t="s">
        <v>40</v>
      </c>
      <c r="U1157">
        <f t="shared" si="18"/>
        <v>1</v>
      </c>
    </row>
    <row r="1158" spans="1:21" x14ac:dyDescent="0.2">
      <c r="A1158">
        <v>729</v>
      </c>
      <c r="B1158" t="s">
        <v>42</v>
      </c>
      <c r="C1158" t="s">
        <v>32</v>
      </c>
      <c r="D1158">
        <v>32</v>
      </c>
      <c r="E1158">
        <v>9</v>
      </c>
      <c r="F1158">
        <v>0</v>
      </c>
      <c r="G1158">
        <v>2</v>
      </c>
      <c r="H1158" t="s">
        <v>23</v>
      </c>
      <c r="I1158" t="s">
        <v>23</v>
      </c>
      <c r="J1158">
        <v>150803.44</v>
      </c>
      <c r="K1158" t="s">
        <v>23</v>
      </c>
      <c r="L1158">
        <v>0.1366213638261386</v>
      </c>
      <c r="M1158" t="s">
        <v>23</v>
      </c>
      <c r="N1158">
        <v>0</v>
      </c>
      <c r="O1158">
        <v>0</v>
      </c>
      <c r="P1158" t="s">
        <v>34</v>
      </c>
      <c r="Q1158" t="s">
        <v>33</v>
      </c>
      <c r="R1158" t="s">
        <v>29</v>
      </c>
      <c r="S1158" t="s">
        <v>37</v>
      </c>
      <c r="T1158" t="s">
        <v>31</v>
      </c>
      <c r="U1158">
        <f t="shared" si="18"/>
        <v>1</v>
      </c>
    </row>
    <row r="1159" spans="1:21" x14ac:dyDescent="0.2">
      <c r="A1159">
        <v>632</v>
      </c>
      <c r="B1159" t="s">
        <v>42</v>
      </c>
      <c r="C1159" t="s">
        <v>21</v>
      </c>
      <c r="D1159">
        <v>43</v>
      </c>
      <c r="E1159">
        <v>2</v>
      </c>
      <c r="F1159">
        <v>100013.51</v>
      </c>
      <c r="G1159">
        <v>1</v>
      </c>
      <c r="H1159" t="s">
        <v>22</v>
      </c>
      <c r="I1159" t="s">
        <v>23</v>
      </c>
      <c r="J1159">
        <v>24275.32</v>
      </c>
      <c r="K1159" t="s">
        <v>23</v>
      </c>
      <c r="L1159">
        <v>0.2475546762445055</v>
      </c>
      <c r="M1159" t="s">
        <v>23</v>
      </c>
      <c r="N1159">
        <v>0</v>
      </c>
      <c r="O1159">
        <v>0</v>
      </c>
      <c r="P1159" t="s">
        <v>24</v>
      </c>
      <c r="Q1159" t="s">
        <v>25</v>
      </c>
      <c r="R1159" t="s">
        <v>26</v>
      </c>
      <c r="S1159" t="s">
        <v>27</v>
      </c>
      <c r="T1159" t="s">
        <v>35</v>
      </c>
      <c r="U1159">
        <f t="shared" si="18"/>
        <v>1</v>
      </c>
    </row>
    <row r="1160" spans="1:21" x14ac:dyDescent="0.2">
      <c r="A1160">
        <v>658</v>
      </c>
      <c r="B1160" t="s">
        <v>20</v>
      </c>
      <c r="C1160" t="s">
        <v>21</v>
      </c>
      <c r="D1160">
        <v>21</v>
      </c>
      <c r="E1160">
        <v>7</v>
      </c>
      <c r="F1160">
        <v>0</v>
      </c>
      <c r="G1160">
        <v>2</v>
      </c>
      <c r="H1160" t="s">
        <v>23</v>
      </c>
      <c r="I1160" t="s">
        <v>22</v>
      </c>
      <c r="J1160">
        <v>154279.87</v>
      </c>
      <c r="K1160" t="s">
        <v>23</v>
      </c>
      <c r="L1160">
        <v>1.5280118646845231E-2</v>
      </c>
      <c r="M1160" t="s">
        <v>23</v>
      </c>
      <c r="N1160">
        <v>0</v>
      </c>
      <c r="O1160">
        <v>0</v>
      </c>
      <c r="P1160" t="s">
        <v>34</v>
      </c>
      <c r="Q1160" t="s">
        <v>36</v>
      </c>
      <c r="R1160" t="s">
        <v>29</v>
      </c>
      <c r="S1160" t="s">
        <v>27</v>
      </c>
      <c r="T1160" t="s">
        <v>31</v>
      </c>
      <c r="U1160">
        <f t="shared" si="18"/>
        <v>1</v>
      </c>
    </row>
    <row r="1161" spans="1:21" x14ac:dyDescent="0.2">
      <c r="A1161">
        <v>683</v>
      </c>
      <c r="B1161" t="s">
        <v>42</v>
      </c>
      <c r="C1161" t="s">
        <v>21</v>
      </c>
      <c r="D1161">
        <v>41</v>
      </c>
      <c r="E1161">
        <v>6</v>
      </c>
      <c r="F1161">
        <v>95696.52</v>
      </c>
      <c r="G1161">
        <v>2</v>
      </c>
      <c r="H1161" t="s">
        <v>22</v>
      </c>
      <c r="I1161" t="s">
        <v>22</v>
      </c>
      <c r="J1161">
        <v>184366.14</v>
      </c>
      <c r="K1161" t="s">
        <v>23</v>
      </c>
      <c r="L1161">
        <v>7.6615778630055781E-2</v>
      </c>
      <c r="M1161" t="s">
        <v>23</v>
      </c>
      <c r="N1161">
        <v>0</v>
      </c>
      <c r="O1161">
        <v>0</v>
      </c>
      <c r="P1161" t="s">
        <v>34</v>
      </c>
      <c r="Q1161" t="s">
        <v>25</v>
      </c>
      <c r="R1161" t="s">
        <v>38</v>
      </c>
      <c r="S1161" t="s">
        <v>27</v>
      </c>
      <c r="T1161" t="s">
        <v>31</v>
      </c>
      <c r="U1161">
        <f t="shared" si="18"/>
        <v>1</v>
      </c>
    </row>
    <row r="1162" spans="1:21" x14ac:dyDescent="0.2">
      <c r="A1162">
        <v>552</v>
      </c>
      <c r="B1162" t="s">
        <v>41</v>
      </c>
      <c r="C1162" t="s">
        <v>21</v>
      </c>
      <c r="D1162">
        <v>38</v>
      </c>
      <c r="E1162">
        <v>10</v>
      </c>
      <c r="F1162">
        <v>132271.12</v>
      </c>
      <c r="G1162">
        <v>2</v>
      </c>
      <c r="H1162" t="s">
        <v>22</v>
      </c>
      <c r="I1162" t="s">
        <v>22</v>
      </c>
      <c r="J1162">
        <v>46562.02</v>
      </c>
      <c r="K1162" t="s">
        <v>23</v>
      </c>
      <c r="L1162">
        <v>0.13083809607592131</v>
      </c>
      <c r="M1162" t="s">
        <v>23</v>
      </c>
      <c r="N1162">
        <v>0</v>
      </c>
      <c r="O1162">
        <v>0</v>
      </c>
      <c r="P1162" t="s">
        <v>34</v>
      </c>
      <c r="Q1162" t="s">
        <v>33</v>
      </c>
      <c r="R1162" t="s">
        <v>26</v>
      </c>
      <c r="S1162" t="s">
        <v>30</v>
      </c>
      <c r="T1162" t="s">
        <v>35</v>
      </c>
      <c r="U1162">
        <f t="shared" si="18"/>
        <v>1</v>
      </c>
    </row>
    <row r="1163" spans="1:21" x14ac:dyDescent="0.2">
      <c r="A1163">
        <v>602</v>
      </c>
      <c r="B1163" t="s">
        <v>42</v>
      </c>
      <c r="C1163" t="s">
        <v>32</v>
      </c>
      <c r="D1163">
        <v>29</v>
      </c>
      <c r="E1163">
        <v>3</v>
      </c>
      <c r="F1163">
        <v>88814.399999999994</v>
      </c>
      <c r="G1163">
        <v>2</v>
      </c>
      <c r="H1163" t="s">
        <v>22</v>
      </c>
      <c r="I1163" t="s">
        <v>22</v>
      </c>
      <c r="J1163">
        <v>62487.97</v>
      </c>
      <c r="K1163" t="s">
        <v>23</v>
      </c>
      <c r="L1163">
        <v>5.7309587086246103E-2</v>
      </c>
      <c r="M1163" t="s">
        <v>23</v>
      </c>
      <c r="N1163">
        <v>0</v>
      </c>
      <c r="O1163">
        <v>0</v>
      </c>
      <c r="P1163" t="s">
        <v>34</v>
      </c>
      <c r="Q1163" t="s">
        <v>36</v>
      </c>
      <c r="R1163" t="s">
        <v>38</v>
      </c>
      <c r="S1163" t="s">
        <v>27</v>
      </c>
      <c r="T1163" t="s">
        <v>40</v>
      </c>
      <c r="U1163">
        <f t="shared" si="18"/>
        <v>1</v>
      </c>
    </row>
    <row r="1164" spans="1:21" x14ac:dyDescent="0.2">
      <c r="A1164">
        <v>443</v>
      </c>
      <c r="B1164" t="s">
        <v>42</v>
      </c>
      <c r="C1164" t="s">
        <v>32</v>
      </c>
      <c r="D1164">
        <v>54</v>
      </c>
      <c r="E1164">
        <v>3</v>
      </c>
      <c r="F1164">
        <v>138547.97</v>
      </c>
      <c r="G1164">
        <v>1</v>
      </c>
      <c r="H1164" t="s">
        <v>22</v>
      </c>
      <c r="I1164" t="s">
        <v>22</v>
      </c>
      <c r="J1164">
        <v>70196.23</v>
      </c>
      <c r="K1164" t="s">
        <v>22</v>
      </c>
      <c r="L1164">
        <v>0.35353436282170192</v>
      </c>
      <c r="M1164" t="s">
        <v>23</v>
      </c>
      <c r="N1164">
        <v>1</v>
      </c>
      <c r="O1164">
        <v>0</v>
      </c>
      <c r="P1164" t="s">
        <v>24</v>
      </c>
      <c r="Q1164" t="s">
        <v>44</v>
      </c>
      <c r="R1164" t="s">
        <v>26</v>
      </c>
      <c r="S1164" t="s">
        <v>45</v>
      </c>
      <c r="T1164" t="s">
        <v>40</v>
      </c>
      <c r="U1164">
        <f t="shared" si="18"/>
        <v>0</v>
      </c>
    </row>
    <row r="1165" spans="1:21" x14ac:dyDescent="0.2">
      <c r="A1165">
        <v>588</v>
      </c>
      <c r="B1165" t="s">
        <v>41</v>
      </c>
      <c r="C1165" t="s">
        <v>21</v>
      </c>
      <c r="D1165">
        <v>35</v>
      </c>
      <c r="E1165">
        <v>3</v>
      </c>
      <c r="F1165">
        <v>104356.38</v>
      </c>
      <c r="G1165">
        <v>1</v>
      </c>
      <c r="H1165" t="s">
        <v>22</v>
      </c>
      <c r="I1165" t="s">
        <v>23</v>
      </c>
      <c r="J1165">
        <v>94498.82</v>
      </c>
      <c r="K1165" t="s">
        <v>23</v>
      </c>
      <c r="L1165">
        <v>0.29859238969559171</v>
      </c>
      <c r="M1165" t="s">
        <v>23</v>
      </c>
      <c r="N1165">
        <v>0</v>
      </c>
      <c r="O1165">
        <v>0</v>
      </c>
      <c r="P1165" t="s">
        <v>24</v>
      </c>
      <c r="Q1165" t="s">
        <v>33</v>
      </c>
      <c r="R1165" t="s">
        <v>26</v>
      </c>
      <c r="S1165" t="s">
        <v>30</v>
      </c>
      <c r="T1165" t="s">
        <v>40</v>
      </c>
      <c r="U1165">
        <f t="shared" si="18"/>
        <v>1</v>
      </c>
    </row>
    <row r="1166" spans="1:21" x14ac:dyDescent="0.2">
      <c r="A1166">
        <v>738</v>
      </c>
      <c r="B1166" t="s">
        <v>41</v>
      </c>
      <c r="C1166" t="s">
        <v>21</v>
      </c>
      <c r="D1166">
        <v>37</v>
      </c>
      <c r="E1166">
        <v>7</v>
      </c>
      <c r="F1166">
        <v>140950.92000000001</v>
      </c>
      <c r="G1166">
        <v>2</v>
      </c>
      <c r="H1166" t="s">
        <v>22</v>
      </c>
      <c r="I1166" t="s">
        <v>23</v>
      </c>
      <c r="J1166">
        <v>195333.98</v>
      </c>
      <c r="K1166" t="s">
        <v>23</v>
      </c>
      <c r="L1166">
        <v>0.30124539459002031</v>
      </c>
      <c r="M1166" t="s">
        <v>23</v>
      </c>
      <c r="N1166">
        <v>0</v>
      </c>
      <c r="O1166">
        <v>0</v>
      </c>
      <c r="P1166" t="s">
        <v>24</v>
      </c>
      <c r="Q1166" t="s">
        <v>33</v>
      </c>
      <c r="R1166" t="s">
        <v>26</v>
      </c>
      <c r="S1166" t="s">
        <v>37</v>
      </c>
      <c r="T1166" t="s">
        <v>31</v>
      </c>
      <c r="U1166">
        <f t="shared" si="18"/>
        <v>1</v>
      </c>
    </row>
    <row r="1167" spans="1:21" x14ac:dyDescent="0.2">
      <c r="A1167">
        <v>639</v>
      </c>
      <c r="B1167" t="s">
        <v>42</v>
      </c>
      <c r="C1167" t="s">
        <v>32</v>
      </c>
      <c r="D1167">
        <v>27</v>
      </c>
      <c r="E1167">
        <v>2</v>
      </c>
      <c r="F1167">
        <v>0</v>
      </c>
      <c r="G1167">
        <v>2</v>
      </c>
      <c r="H1167" t="s">
        <v>23</v>
      </c>
      <c r="I1167" t="s">
        <v>23</v>
      </c>
      <c r="J1167">
        <v>125244.18</v>
      </c>
      <c r="K1167" t="s">
        <v>23</v>
      </c>
      <c r="L1167">
        <v>0.11638869498109861</v>
      </c>
      <c r="M1167" t="s">
        <v>23</v>
      </c>
      <c r="N1167">
        <v>0</v>
      </c>
      <c r="O1167">
        <v>0</v>
      </c>
      <c r="P1167" t="s">
        <v>34</v>
      </c>
      <c r="Q1167" t="s">
        <v>36</v>
      </c>
      <c r="R1167" t="s">
        <v>29</v>
      </c>
      <c r="S1167" t="s">
        <v>27</v>
      </c>
      <c r="T1167" t="s">
        <v>28</v>
      </c>
      <c r="U1167">
        <f t="shared" si="18"/>
        <v>1</v>
      </c>
    </row>
    <row r="1168" spans="1:21" x14ac:dyDescent="0.2">
      <c r="A1168">
        <v>570</v>
      </c>
      <c r="B1168" t="s">
        <v>42</v>
      </c>
      <c r="C1168" t="s">
        <v>32</v>
      </c>
      <c r="D1168">
        <v>29</v>
      </c>
      <c r="E1168">
        <v>4</v>
      </c>
      <c r="F1168">
        <v>153040.03</v>
      </c>
      <c r="G1168">
        <v>1</v>
      </c>
      <c r="H1168" t="s">
        <v>22</v>
      </c>
      <c r="I1168" t="s">
        <v>22</v>
      </c>
      <c r="J1168">
        <v>131363.57</v>
      </c>
      <c r="K1168" t="s">
        <v>22</v>
      </c>
      <c r="L1168">
        <v>7.6611780866146229E-2</v>
      </c>
      <c r="M1168" t="s">
        <v>23</v>
      </c>
      <c r="N1168">
        <v>1</v>
      </c>
      <c r="O1168">
        <v>0</v>
      </c>
      <c r="P1168" t="s">
        <v>34</v>
      </c>
      <c r="Q1168" t="s">
        <v>36</v>
      </c>
      <c r="R1168" t="s">
        <v>47</v>
      </c>
      <c r="S1168" t="s">
        <v>30</v>
      </c>
      <c r="T1168" t="s">
        <v>28</v>
      </c>
      <c r="U1168">
        <f t="shared" si="18"/>
        <v>0</v>
      </c>
    </row>
    <row r="1169" spans="1:21" x14ac:dyDescent="0.2">
      <c r="A1169">
        <v>749</v>
      </c>
      <c r="B1169" t="s">
        <v>20</v>
      </c>
      <c r="C1169" t="s">
        <v>32</v>
      </c>
      <c r="D1169">
        <v>46</v>
      </c>
      <c r="E1169">
        <v>9</v>
      </c>
      <c r="F1169">
        <v>66582.81</v>
      </c>
      <c r="G1169">
        <v>1</v>
      </c>
      <c r="H1169" t="s">
        <v>22</v>
      </c>
      <c r="I1169" t="s">
        <v>23</v>
      </c>
      <c r="J1169">
        <v>78753.119999999995</v>
      </c>
      <c r="K1169" t="s">
        <v>22</v>
      </c>
      <c r="L1169">
        <v>0.35904686552165699</v>
      </c>
      <c r="M1169" t="s">
        <v>23</v>
      </c>
      <c r="N1169">
        <v>1</v>
      </c>
      <c r="O1169">
        <v>0</v>
      </c>
      <c r="P1169" t="s">
        <v>24</v>
      </c>
      <c r="Q1169" t="s">
        <v>25</v>
      </c>
      <c r="R1169" t="s">
        <v>38</v>
      </c>
      <c r="S1169" t="s">
        <v>37</v>
      </c>
      <c r="T1169" t="s">
        <v>40</v>
      </c>
      <c r="U1169">
        <f t="shared" si="18"/>
        <v>0</v>
      </c>
    </row>
    <row r="1170" spans="1:21" x14ac:dyDescent="0.2">
      <c r="A1170">
        <v>691</v>
      </c>
      <c r="B1170" t="s">
        <v>42</v>
      </c>
      <c r="C1170" t="s">
        <v>32</v>
      </c>
      <c r="D1170">
        <v>33</v>
      </c>
      <c r="E1170">
        <v>6</v>
      </c>
      <c r="F1170">
        <v>0</v>
      </c>
      <c r="G1170">
        <v>2</v>
      </c>
      <c r="H1170" t="s">
        <v>22</v>
      </c>
      <c r="I1170" t="s">
        <v>22</v>
      </c>
      <c r="J1170">
        <v>100408.31</v>
      </c>
      <c r="K1170" t="s">
        <v>23</v>
      </c>
      <c r="L1170">
        <v>5.5501163484399429E-2</v>
      </c>
      <c r="M1170" t="s">
        <v>23</v>
      </c>
      <c r="N1170">
        <v>0</v>
      </c>
      <c r="O1170">
        <v>0</v>
      </c>
      <c r="P1170" t="s">
        <v>34</v>
      </c>
      <c r="Q1170" t="s">
        <v>33</v>
      </c>
      <c r="R1170" t="s">
        <v>29</v>
      </c>
      <c r="S1170" t="s">
        <v>27</v>
      </c>
      <c r="T1170" t="s">
        <v>28</v>
      </c>
      <c r="U1170">
        <f t="shared" si="18"/>
        <v>1</v>
      </c>
    </row>
    <row r="1171" spans="1:21" x14ac:dyDescent="0.2">
      <c r="A1171">
        <v>826</v>
      </c>
      <c r="B1171" t="s">
        <v>42</v>
      </c>
      <c r="C1171" t="s">
        <v>32</v>
      </c>
      <c r="D1171">
        <v>30</v>
      </c>
      <c r="E1171">
        <v>5</v>
      </c>
      <c r="F1171">
        <v>0</v>
      </c>
      <c r="G1171">
        <v>2</v>
      </c>
      <c r="H1171" t="s">
        <v>23</v>
      </c>
      <c r="I1171" t="s">
        <v>22</v>
      </c>
      <c r="J1171">
        <v>157397.57</v>
      </c>
      <c r="K1171" t="s">
        <v>23</v>
      </c>
      <c r="L1171">
        <v>4.453987020038775E-2</v>
      </c>
      <c r="M1171" t="s">
        <v>23</v>
      </c>
      <c r="N1171">
        <v>0</v>
      </c>
      <c r="O1171">
        <v>0</v>
      </c>
      <c r="P1171" t="s">
        <v>34</v>
      </c>
      <c r="Q1171" t="s">
        <v>36</v>
      </c>
      <c r="R1171" t="s">
        <v>29</v>
      </c>
      <c r="S1171" t="s">
        <v>39</v>
      </c>
      <c r="T1171" t="s">
        <v>31</v>
      </c>
      <c r="U1171">
        <f t="shared" si="18"/>
        <v>1</v>
      </c>
    </row>
    <row r="1172" spans="1:21" x14ac:dyDescent="0.2">
      <c r="A1172">
        <v>850</v>
      </c>
      <c r="B1172" t="s">
        <v>20</v>
      </c>
      <c r="C1172" t="s">
        <v>21</v>
      </c>
      <c r="D1172">
        <v>38</v>
      </c>
      <c r="E1172">
        <v>7</v>
      </c>
      <c r="F1172">
        <v>115378.94</v>
      </c>
      <c r="G1172">
        <v>1</v>
      </c>
      <c r="H1172" t="s">
        <v>23</v>
      </c>
      <c r="I1172" t="s">
        <v>22</v>
      </c>
      <c r="J1172">
        <v>162087.82</v>
      </c>
      <c r="K1172" t="s">
        <v>23</v>
      </c>
      <c r="L1172">
        <v>6.6992609907558245E-2</v>
      </c>
      <c r="M1172" t="s">
        <v>23</v>
      </c>
      <c r="N1172">
        <v>0</v>
      </c>
      <c r="O1172">
        <v>0</v>
      </c>
      <c r="P1172" t="s">
        <v>34</v>
      </c>
      <c r="Q1172" t="s">
        <v>33</v>
      </c>
      <c r="R1172" t="s">
        <v>26</v>
      </c>
      <c r="S1172" t="s">
        <v>39</v>
      </c>
      <c r="T1172" t="s">
        <v>31</v>
      </c>
      <c r="U1172">
        <f t="shared" si="18"/>
        <v>1</v>
      </c>
    </row>
    <row r="1173" spans="1:21" x14ac:dyDescent="0.2">
      <c r="A1173">
        <v>766</v>
      </c>
      <c r="B1173" t="s">
        <v>41</v>
      </c>
      <c r="C1173" t="s">
        <v>21</v>
      </c>
      <c r="D1173">
        <v>30</v>
      </c>
      <c r="E1173">
        <v>4</v>
      </c>
      <c r="F1173">
        <v>127786.28</v>
      </c>
      <c r="G1173">
        <v>2</v>
      </c>
      <c r="H1173" t="s">
        <v>22</v>
      </c>
      <c r="I1173" t="s">
        <v>22</v>
      </c>
      <c r="J1173">
        <v>28879.3</v>
      </c>
      <c r="K1173" t="s">
        <v>23</v>
      </c>
      <c r="L1173">
        <v>7.3341266174165753E-2</v>
      </c>
      <c r="M1173" t="s">
        <v>23</v>
      </c>
      <c r="N1173">
        <v>0</v>
      </c>
      <c r="O1173">
        <v>0</v>
      </c>
      <c r="P1173" t="s">
        <v>34</v>
      </c>
      <c r="Q1173" t="s">
        <v>36</v>
      </c>
      <c r="R1173" t="s">
        <v>26</v>
      </c>
      <c r="S1173" t="s">
        <v>37</v>
      </c>
      <c r="T1173" t="s">
        <v>35</v>
      </c>
      <c r="U1173">
        <f t="shared" si="18"/>
        <v>1</v>
      </c>
    </row>
    <row r="1174" spans="1:21" x14ac:dyDescent="0.2">
      <c r="A1174">
        <v>612</v>
      </c>
      <c r="B1174" t="s">
        <v>42</v>
      </c>
      <c r="C1174" t="s">
        <v>32</v>
      </c>
      <c r="D1174">
        <v>33</v>
      </c>
      <c r="E1174">
        <v>0</v>
      </c>
      <c r="F1174">
        <v>64900.32</v>
      </c>
      <c r="G1174">
        <v>2</v>
      </c>
      <c r="H1174" t="s">
        <v>22</v>
      </c>
      <c r="I1174" t="s">
        <v>23</v>
      </c>
      <c r="J1174">
        <v>102426.12</v>
      </c>
      <c r="K1174" t="s">
        <v>23</v>
      </c>
      <c r="L1174">
        <v>0.19755809229024651</v>
      </c>
      <c r="M1174" t="s">
        <v>23</v>
      </c>
      <c r="N1174">
        <v>0</v>
      </c>
      <c r="O1174">
        <v>0</v>
      </c>
      <c r="P1174" t="s">
        <v>34</v>
      </c>
      <c r="Q1174" t="s">
        <v>33</v>
      </c>
      <c r="R1174" t="s">
        <v>38</v>
      </c>
      <c r="S1174" t="s">
        <v>27</v>
      </c>
      <c r="T1174" t="s">
        <v>28</v>
      </c>
      <c r="U1174">
        <f t="shared" si="18"/>
        <v>1</v>
      </c>
    </row>
    <row r="1175" spans="1:21" x14ac:dyDescent="0.2">
      <c r="A1175">
        <v>721</v>
      </c>
      <c r="B1175" t="s">
        <v>42</v>
      </c>
      <c r="C1175" t="s">
        <v>21</v>
      </c>
      <c r="D1175">
        <v>41</v>
      </c>
      <c r="E1175">
        <v>7</v>
      </c>
      <c r="F1175">
        <v>0</v>
      </c>
      <c r="G1175">
        <v>2</v>
      </c>
      <c r="H1175" t="s">
        <v>23</v>
      </c>
      <c r="I1175" t="s">
        <v>22</v>
      </c>
      <c r="J1175">
        <v>61018.85</v>
      </c>
      <c r="K1175" t="s">
        <v>23</v>
      </c>
      <c r="L1175">
        <v>5.6244465660747409E-2</v>
      </c>
      <c r="M1175" t="s">
        <v>23</v>
      </c>
      <c r="N1175">
        <v>0</v>
      </c>
      <c r="O1175">
        <v>0</v>
      </c>
      <c r="P1175" t="s">
        <v>34</v>
      </c>
      <c r="Q1175" t="s">
        <v>25</v>
      </c>
      <c r="R1175" t="s">
        <v>29</v>
      </c>
      <c r="S1175" t="s">
        <v>37</v>
      </c>
      <c r="T1175" t="s">
        <v>40</v>
      </c>
      <c r="U1175">
        <f t="shared" si="18"/>
        <v>1</v>
      </c>
    </row>
    <row r="1176" spans="1:21" x14ac:dyDescent="0.2">
      <c r="A1176">
        <v>540</v>
      </c>
      <c r="B1176" t="s">
        <v>42</v>
      </c>
      <c r="C1176" t="s">
        <v>32</v>
      </c>
      <c r="D1176">
        <v>40</v>
      </c>
      <c r="E1176">
        <v>3</v>
      </c>
      <c r="F1176">
        <v>165298.12</v>
      </c>
      <c r="G1176">
        <v>1</v>
      </c>
      <c r="H1176" t="s">
        <v>23</v>
      </c>
      <c r="I1176" t="s">
        <v>22</v>
      </c>
      <c r="J1176">
        <v>199862.75</v>
      </c>
      <c r="K1176" t="s">
        <v>23</v>
      </c>
      <c r="L1176">
        <v>0.17762686106190709</v>
      </c>
      <c r="M1176" t="s">
        <v>23</v>
      </c>
      <c r="N1176">
        <v>0</v>
      </c>
      <c r="O1176">
        <v>0</v>
      </c>
      <c r="P1176" t="s">
        <v>34</v>
      </c>
      <c r="Q1176" t="s">
        <v>33</v>
      </c>
      <c r="R1176" t="s">
        <v>47</v>
      </c>
      <c r="S1176" t="s">
        <v>30</v>
      </c>
      <c r="T1176" t="s">
        <v>31</v>
      </c>
      <c r="U1176">
        <f t="shared" si="18"/>
        <v>1</v>
      </c>
    </row>
    <row r="1177" spans="1:21" x14ac:dyDescent="0.2">
      <c r="A1177">
        <v>796</v>
      </c>
      <c r="B1177" t="s">
        <v>20</v>
      </c>
      <c r="C1177" t="s">
        <v>21</v>
      </c>
      <c r="D1177">
        <v>32</v>
      </c>
      <c r="E1177">
        <v>5</v>
      </c>
      <c r="F1177">
        <v>102773.15</v>
      </c>
      <c r="G1177">
        <v>2</v>
      </c>
      <c r="H1177" t="s">
        <v>23</v>
      </c>
      <c r="I1177" t="s">
        <v>22</v>
      </c>
      <c r="J1177">
        <v>117832.88</v>
      </c>
      <c r="K1177" t="s">
        <v>23</v>
      </c>
      <c r="L1177">
        <v>4.0626084685036243E-2</v>
      </c>
      <c r="M1177" t="s">
        <v>23</v>
      </c>
      <c r="N1177">
        <v>0</v>
      </c>
      <c r="O1177">
        <v>0</v>
      </c>
      <c r="P1177" t="s">
        <v>34</v>
      </c>
      <c r="Q1177" t="s">
        <v>33</v>
      </c>
      <c r="R1177" t="s">
        <v>26</v>
      </c>
      <c r="S1177" t="s">
        <v>37</v>
      </c>
      <c r="T1177" t="s">
        <v>28</v>
      </c>
      <c r="U1177">
        <f t="shared" si="18"/>
        <v>1</v>
      </c>
    </row>
    <row r="1178" spans="1:21" x14ac:dyDescent="0.2">
      <c r="A1178">
        <v>579</v>
      </c>
      <c r="B1178" t="s">
        <v>41</v>
      </c>
      <c r="C1178" t="s">
        <v>21</v>
      </c>
      <c r="D1178">
        <v>42</v>
      </c>
      <c r="E1178">
        <v>0</v>
      </c>
      <c r="F1178">
        <v>144386.32</v>
      </c>
      <c r="G1178">
        <v>1</v>
      </c>
      <c r="H1178" t="s">
        <v>22</v>
      </c>
      <c r="I1178" t="s">
        <v>22</v>
      </c>
      <c r="J1178">
        <v>22497.1</v>
      </c>
      <c r="K1178" t="s">
        <v>22</v>
      </c>
      <c r="L1178">
        <v>0.2146932301403289</v>
      </c>
      <c r="M1178" t="s">
        <v>23</v>
      </c>
      <c r="N1178">
        <v>1</v>
      </c>
      <c r="O1178">
        <v>0</v>
      </c>
      <c r="P1178" t="s">
        <v>24</v>
      </c>
      <c r="Q1178" t="s">
        <v>25</v>
      </c>
      <c r="R1178" t="s">
        <v>26</v>
      </c>
      <c r="S1178" t="s">
        <v>30</v>
      </c>
      <c r="T1178" t="s">
        <v>35</v>
      </c>
      <c r="U1178">
        <f t="shared" si="18"/>
        <v>0</v>
      </c>
    </row>
    <row r="1179" spans="1:21" x14ac:dyDescent="0.2">
      <c r="A1179">
        <v>470</v>
      </c>
      <c r="B1179" t="s">
        <v>42</v>
      </c>
      <c r="C1179" t="s">
        <v>21</v>
      </c>
      <c r="D1179">
        <v>35</v>
      </c>
      <c r="E1179">
        <v>1</v>
      </c>
      <c r="F1179">
        <v>96473.59</v>
      </c>
      <c r="G1179">
        <v>1</v>
      </c>
      <c r="H1179" t="s">
        <v>23</v>
      </c>
      <c r="I1179" t="s">
        <v>23</v>
      </c>
      <c r="J1179">
        <v>5962.3</v>
      </c>
      <c r="K1179" t="s">
        <v>23</v>
      </c>
      <c r="L1179">
        <v>0.17380398644273351</v>
      </c>
      <c r="M1179" t="s">
        <v>23</v>
      </c>
      <c r="N1179">
        <v>0</v>
      </c>
      <c r="O1179">
        <v>0</v>
      </c>
      <c r="P1179" t="s">
        <v>34</v>
      </c>
      <c r="Q1179" t="s">
        <v>33</v>
      </c>
      <c r="R1179" t="s">
        <v>38</v>
      </c>
      <c r="S1179" t="s">
        <v>45</v>
      </c>
      <c r="T1179" t="s">
        <v>35</v>
      </c>
      <c r="U1179">
        <f t="shared" si="18"/>
        <v>1</v>
      </c>
    </row>
    <row r="1180" spans="1:21" x14ac:dyDescent="0.2">
      <c r="A1180">
        <v>548</v>
      </c>
      <c r="B1180" t="s">
        <v>41</v>
      </c>
      <c r="C1180" t="s">
        <v>21</v>
      </c>
      <c r="D1180">
        <v>49</v>
      </c>
      <c r="E1180">
        <v>9</v>
      </c>
      <c r="F1180">
        <v>108437.89</v>
      </c>
      <c r="G1180">
        <v>1</v>
      </c>
      <c r="H1180" t="s">
        <v>23</v>
      </c>
      <c r="I1180" t="s">
        <v>23</v>
      </c>
      <c r="J1180">
        <v>127022.87</v>
      </c>
      <c r="K1180" t="s">
        <v>22</v>
      </c>
      <c r="L1180">
        <v>0.53788953489644498</v>
      </c>
      <c r="M1180" t="s">
        <v>22</v>
      </c>
      <c r="N1180">
        <v>1</v>
      </c>
      <c r="O1180">
        <v>1</v>
      </c>
      <c r="P1180" t="s">
        <v>43</v>
      </c>
      <c r="Q1180" t="s">
        <v>25</v>
      </c>
      <c r="R1180" t="s">
        <v>26</v>
      </c>
      <c r="S1180" t="s">
        <v>30</v>
      </c>
      <c r="T1180" t="s">
        <v>28</v>
      </c>
      <c r="U1180">
        <f t="shared" si="18"/>
        <v>1</v>
      </c>
    </row>
    <row r="1181" spans="1:21" x14ac:dyDescent="0.2">
      <c r="A1181">
        <v>672</v>
      </c>
      <c r="B1181" t="s">
        <v>42</v>
      </c>
      <c r="C1181" t="s">
        <v>21</v>
      </c>
      <c r="D1181">
        <v>37</v>
      </c>
      <c r="E1181">
        <v>5</v>
      </c>
      <c r="F1181">
        <v>153195.59</v>
      </c>
      <c r="G1181">
        <v>1</v>
      </c>
      <c r="H1181" t="s">
        <v>22</v>
      </c>
      <c r="I1181" t="s">
        <v>22</v>
      </c>
      <c r="J1181">
        <v>162763.01</v>
      </c>
      <c r="K1181" t="s">
        <v>23</v>
      </c>
      <c r="L1181">
        <v>7.4656909487849629E-2</v>
      </c>
      <c r="M1181" t="s">
        <v>23</v>
      </c>
      <c r="N1181">
        <v>0</v>
      </c>
      <c r="O1181">
        <v>0</v>
      </c>
      <c r="P1181" t="s">
        <v>34</v>
      </c>
      <c r="Q1181" t="s">
        <v>33</v>
      </c>
      <c r="R1181" t="s">
        <v>47</v>
      </c>
      <c r="S1181" t="s">
        <v>27</v>
      </c>
      <c r="T1181" t="s">
        <v>31</v>
      </c>
      <c r="U1181">
        <f t="shared" si="18"/>
        <v>1</v>
      </c>
    </row>
    <row r="1182" spans="1:21" x14ac:dyDescent="0.2">
      <c r="A1182">
        <v>705</v>
      </c>
      <c r="B1182" t="s">
        <v>20</v>
      </c>
      <c r="C1182" t="s">
        <v>21</v>
      </c>
      <c r="D1182">
        <v>33</v>
      </c>
      <c r="E1182">
        <v>7</v>
      </c>
      <c r="F1182">
        <v>68423.89</v>
      </c>
      <c r="G1182">
        <v>1</v>
      </c>
      <c r="H1182" t="s">
        <v>22</v>
      </c>
      <c r="I1182" t="s">
        <v>22</v>
      </c>
      <c r="J1182">
        <v>64872.55</v>
      </c>
      <c r="K1182" t="s">
        <v>23</v>
      </c>
      <c r="L1182">
        <v>4.2626803148115178E-2</v>
      </c>
      <c r="M1182" t="s">
        <v>23</v>
      </c>
      <c r="N1182">
        <v>0</v>
      </c>
      <c r="O1182">
        <v>0</v>
      </c>
      <c r="P1182" t="s">
        <v>34</v>
      </c>
      <c r="Q1182" t="s">
        <v>33</v>
      </c>
      <c r="R1182" t="s">
        <v>38</v>
      </c>
      <c r="S1182" t="s">
        <v>37</v>
      </c>
      <c r="T1182" t="s">
        <v>40</v>
      </c>
      <c r="U1182">
        <f t="shared" si="18"/>
        <v>1</v>
      </c>
    </row>
    <row r="1183" spans="1:21" x14ac:dyDescent="0.2">
      <c r="A1183">
        <v>758</v>
      </c>
      <c r="B1183" t="s">
        <v>42</v>
      </c>
      <c r="C1183" t="s">
        <v>32</v>
      </c>
      <c r="D1183">
        <v>32</v>
      </c>
      <c r="E1183">
        <v>2</v>
      </c>
      <c r="F1183">
        <v>84378.9</v>
      </c>
      <c r="G1183">
        <v>1</v>
      </c>
      <c r="H1183" t="s">
        <v>22</v>
      </c>
      <c r="I1183" t="s">
        <v>22</v>
      </c>
      <c r="J1183">
        <v>75396.429999999993</v>
      </c>
      <c r="K1183" t="s">
        <v>23</v>
      </c>
      <c r="L1183">
        <v>7.1281512839063588E-2</v>
      </c>
      <c r="M1183" t="s">
        <v>23</v>
      </c>
      <c r="N1183">
        <v>0</v>
      </c>
      <c r="O1183">
        <v>0</v>
      </c>
      <c r="P1183" t="s">
        <v>34</v>
      </c>
      <c r="Q1183" t="s">
        <v>33</v>
      </c>
      <c r="R1183" t="s">
        <v>38</v>
      </c>
      <c r="S1183" t="s">
        <v>37</v>
      </c>
      <c r="T1183" t="s">
        <v>40</v>
      </c>
      <c r="U1183">
        <f t="shared" si="18"/>
        <v>1</v>
      </c>
    </row>
    <row r="1184" spans="1:21" x14ac:dyDescent="0.2">
      <c r="A1184">
        <v>644</v>
      </c>
      <c r="B1184" t="s">
        <v>20</v>
      </c>
      <c r="C1184" t="s">
        <v>21</v>
      </c>
      <c r="D1184">
        <v>28</v>
      </c>
      <c r="E1184">
        <v>0</v>
      </c>
      <c r="F1184">
        <v>0</v>
      </c>
      <c r="G1184">
        <v>2</v>
      </c>
      <c r="H1184" t="s">
        <v>22</v>
      </c>
      <c r="I1184" t="s">
        <v>23</v>
      </c>
      <c r="J1184">
        <v>119419.37</v>
      </c>
      <c r="K1184" t="s">
        <v>23</v>
      </c>
      <c r="L1184">
        <v>7.8601868580214382E-2</v>
      </c>
      <c r="M1184" t="s">
        <v>23</v>
      </c>
      <c r="N1184">
        <v>0</v>
      </c>
      <c r="O1184">
        <v>0</v>
      </c>
      <c r="P1184" t="s">
        <v>34</v>
      </c>
      <c r="Q1184" t="s">
        <v>36</v>
      </c>
      <c r="R1184" t="s">
        <v>29</v>
      </c>
      <c r="S1184" t="s">
        <v>27</v>
      </c>
      <c r="T1184" t="s">
        <v>28</v>
      </c>
      <c r="U1184">
        <f t="shared" si="18"/>
        <v>1</v>
      </c>
    </row>
    <row r="1185" spans="1:21" x14ac:dyDescent="0.2">
      <c r="A1185">
        <v>775</v>
      </c>
      <c r="B1185" t="s">
        <v>42</v>
      </c>
      <c r="C1185" t="s">
        <v>32</v>
      </c>
      <c r="D1185">
        <v>30</v>
      </c>
      <c r="E1185">
        <v>5</v>
      </c>
      <c r="F1185">
        <v>0</v>
      </c>
      <c r="G1185">
        <v>1</v>
      </c>
      <c r="H1185" t="s">
        <v>22</v>
      </c>
      <c r="I1185" t="s">
        <v>23</v>
      </c>
      <c r="J1185">
        <v>193880.6</v>
      </c>
      <c r="K1185" t="s">
        <v>22</v>
      </c>
      <c r="L1185">
        <v>0.1360109667886959</v>
      </c>
      <c r="M1185" t="s">
        <v>23</v>
      </c>
      <c r="N1185">
        <v>1</v>
      </c>
      <c r="O1185">
        <v>0</v>
      </c>
      <c r="P1185" t="s">
        <v>34</v>
      </c>
      <c r="Q1185" t="s">
        <v>36</v>
      </c>
      <c r="R1185" t="s">
        <v>29</v>
      </c>
      <c r="S1185" t="s">
        <v>37</v>
      </c>
      <c r="T1185" t="s">
        <v>31</v>
      </c>
      <c r="U1185">
        <f t="shared" si="18"/>
        <v>0</v>
      </c>
    </row>
    <row r="1186" spans="1:21" x14ac:dyDescent="0.2">
      <c r="A1186">
        <v>521</v>
      </c>
      <c r="B1186" t="s">
        <v>20</v>
      </c>
      <c r="C1186" t="s">
        <v>32</v>
      </c>
      <c r="D1186">
        <v>22</v>
      </c>
      <c r="E1186">
        <v>10</v>
      </c>
      <c r="F1186">
        <v>0</v>
      </c>
      <c r="G1186">
        <v>1</v>
      </c>
      <c r="H1186" t="s">
        <v>22</v>
      </c>
      <c r="I1186" t="s">
        <v>22</v>
      </c>
      <c r="J1186">
        <v>101311.95</v>
      </c>
      <c r="K1186" t="s">
        <v>23</v>
      </c>
      <c r="L1186">
        <v>3.0263263154134658E-2</v>
      </c>
      <c r="M1186" t="s">
        <v>23</v>
      </c>
      <c r="N1186">
        <v>0</v>
      </c>
      <c r="O1186">
        <v>0</v>
      </c>
      <c r="P1186" t="s">
        <v>34</v>
      </c>
      <c r="Q1186" t="s">
        <v>36</v>
      </c>
      <c r="R1186" t="s">
        <v>29</v>
      </c>
      <c r="S1186" t="s">
        <v>30</v>
      </c>
      <c r="T1186" t="s">
        <v>28</v>
      </c>
      <c r="U1186">
        <f t="shared" si="18"/>
        <v>1</v>
      </c>
    </row>
    <row r="1187" spans="1:21" x14ac:dyDescent="0.2">
      <c r="A1187">
        <v>757</v>
      </c>
      <c r="B1187" t="s">
        <v>42</v>
      </c>
      <c r="C1187" t="s">
        <v>21</v>
      </c>
      <c r="D1187">
        <v>28</v>
      </c>
      <c r="E1187">
        <v>3</v>
      </c>
      <c r="F1187">
        <v>75381.149999999994</v>
      </c>
      <c r="G1187">
        <v>1</v>
      </c>
      <c r="H1187" t="s">
        <v>22</v>
      </c>
      <c r="I1187" t="s">
        <v>22</v>
      </c>
      <c r="J1187">
        <v>199727.72</v>
      </c>
      <c r="K1187" t="s">
        <v>23</v>
      </c>
      <c r="L1187">
        <v>3.2816089776775199E-2</v>
      </c>
      <c r="M1187" t="s">
        <v>23</v>
      </c>
      <c r="N1187">
        <v>0</v>
      </c>
      <c r="O1187">
        <v>0</v>
      </c>
      <c r="P1187" t="s">
        <v>34</v>
      </c>
      <c r="Q1187" t="s">
        <v>36</v>
      </c>
      <c r="R1187" t="s">
        <v>38</v>
      </c>
      <c r="S1187" t="s">
        <v>37</v>
      </c>
      <c r="T1187" t="s">
        <v>31</v>
      </c>
      <c r="U1187">
        <f t="shared" si="18"/>
        <v>1</v>
      </c>
    </row>
    <row r="1188" spans="1:21" x14ac:dyDescent="0.2">
      <c r="A1188">
        <v>759</v>
      </c>
      <c r="B1188" t="s">
        <v>20</v>
      </c>
      <c r="C1188" t="s">
        <v>21</v>
      </c>
      <c r="D1188">
        <v>38</v>
      </c>
      <c r="E1188">
        <v>1</v>
      </c>
      <c r="F1188">
        <v>0</v>
      </c>
      <c r="G1188">
        <v>2</v>
      </c>
      <c r="H1188" t="s">
        <v>22</v>
      </c>
      <c r="I1188" t="s">
        <v>23</v>
      </c>
      <c r="J1188">
        <v>20778.39</v>
      </c>
      <c r="K1188" t="s">
        <v>23</v>
      </c>
      <c r="L1188">
        <v>0.13283082321497469</v>
      </c>
      <c r="M1188" t="s">
        <v>23</v>
      </c>
      <c r="N1188">
        <v>0</v>
      </c>
      <c r="O1188">
        <v>0</v>
      </c>
      <c r="P1188" t="s">
        <v>34</v>
      </c>
      <c r="Q1188" t="s">
        <v>33</v>
      </c>
      <c r="R1188" t="s">
        <v>29</v>
      </c>
      <c r="S1188" t="s">
        <v>37</v>
      </c>
      <c r="T1188" t="s">
        <v>35</v>
      </c>
      <c r="U1188">
        <f t="shared" si="18"/>
        <v>1</v>
      </c>
    </row>
    <row r="1189" spans="1:21" x14ac:dyDescent="0.2">
      <c r="A1189">
        <v>520</v>
      </c>
      <c r="B1189" t="s">
        <v>41</v>
      </c>
      <c r="C1189" t="s">
        <v>32</v>
      </c>
      <c r="D1189">
        <v>45</v>
      </c>
      <c r="E1189">
        <v>1</v>
      </c>
      <c r="F1189">
        <v>123086.39</v>
      </c>
      <c r="G1189">
        <v>1</v>
      </c>
      <c r="H1189" t="s">
        <v>22</v>
      </c>
      <c r="I1189" t="s">
        <v>22</v>
      </c>
      <c r="J1189">
        <v>41042.400000000001</v>
      </c>
      <c r="K1189" t="s">
        <v>22</v>
      </c>
      <c r="L1189">
        <v>0.36559029813793648</v>
      </c>
      <c r="M1189" t="s">
        <v>23</v>
      </c>
      <c r="N1189">
        <v>1</v>
      </c>
      <c r="O1189">
        <v>0</v>
      </c>
      <c r="P1189" t="s">
        <v>24</v>
      </c>
      <c r="Q1189" t="s">
        <v>25</v>
      </c>
      <c r="R1189" t="s">
        <v>26</v>
      </c>
      <c r="S1189" t="s">
        <v>30</v>
      </c>
      <c r="T1189" t="s">
        <v>35</v>
      </c>
      <c r="U1189">
        <f t="shared" si="18"/>
        <v>0</v>
      </c>
    </row>
    <row r="1190" spans="1:21" x14ac:dyDescent="0.2">
      <c r="A1190">
        <v>738</v>
      </c>
      <c r="B1190" t="s">
        <v>42</v>
      </c>
      <c r="C1190" t="s">
        <v>32</v>
      </c>
      <c r="D1190">
        <v>26</v>
      </c>
      <c r="E1190">
        <v>3</v>
      </c>
      <c r="F1190">
        <v>0</v>
      </c>
      <c r="G1190">
        <v>2</v>
      </c>
      <c r="H1190" t="s">
        <v>22</v>
      </c>
      <c r="I1190" t="s">
        <v>23</v>
      </c>
      <c r="J1190">
        <v>67484.160000000003</v>
      </c>
      <c r="K1190" t="s">
        <v>23</v>
      </c>
      <c r="L1190">
        <v>9.5010829652071416E-2</v>
      </c>
      <c r="M1190" t="s">
        <v>23</v>
      </c>
      <c r="N1190">
        <v>0</v>
      </c>
      <c r="O1190">
        <v>0</v>
      </c>
      <c r="P1190" t="s">
        <v>34</v>
      </c>
      <c r="Q1190" t="s">
        <v>36</v>
      </c>
      <c r="R1190" t="s">
        <v>29</v>
      </c>
      <c r="S1190" t="s">
        <v>37</v>
      </c>
      <c r="T1190" t="s">
        <v>40</v>
      </c>
      <c r="U1190">
        <f t="shared" si="18"/>
        <v>1</v>
      </c>
    </row>
    <row r="1191" spans="1:21" x14ac:dyDescent="0.2">
      <c r="A1191">
        <v>535</v>
      </c>
      <c r="B1191" t="s">
        <v>20</v>
      </c>
      <c r="C1191" t="s">
        <v>21</v>
      </c>
      <c r="D1191">
        <v>48</v>
      </c>
      <c r="E1191">
        <v>9</v>
      </c>
      <c r="F1191">
        <v>109472.47</v>
      </c>
      <c r="G1191">
        <v>1</v>
      </c>
      <c r="H1191" t="s">
        <v>22</v>
      </c>
      <c r="I1191" t="s">
        <v>23</v>
      </c>
      <c r="J1191">
        <v>157358.43</v>
      </c>
      <c r="K1191" t="s">
        <v>22</v>
      </c>
      <c r="L1191">
        <v>0.33722308341260609</v>
      </c>
      <c r="M1191" t="s">
        <v>23</v>
      </c>
      <c r="N1191">
        <v>1</v>
      </c>
      <c r="O1191">
        <v>0</v>
      </c>
      <c r="P1191" t="s">
        <v>24</v>
      </c>
      <c r="Q1191" t="s">
        <v>25</v>
      </c>
      <c r="R1191" t="s">
        <v>26</v>
      </c>
      <c r="S1191" t="s">
        <v>30</v>
      </c>
      <c r="T1191" t="s">
        <v>31</v>
      </c>
      <c r="U1191">
        <f t="shared" si="18"/>
        <v>0</v>
      </c>
    </row>
    <row r="1192" spans="1:21" x14ac:dyDescent="0.2">
      <c r="A1192">
        <v>850</v>
      </c>
      <c r="B1192" t="s">
        <v>41</v>
      </c>
      <c r="C1192" t="s">
        <v>21</v>
      </c>
      <c r="D1192">
        <v>44</v>
      </c>
      <c r="E1192">
        <v>3</v>
      </c>
      <c r="F1192">
        <v>140393.65</v>
      </c>
      <c r="G1192">
        <v>2</v>
      </c>
      <c r="H1192" t="s">
        <v>23</v>
      </c>
      <c r="I1192" t="s">
        <v>22</v>
      </c>
      <c r="J1192">
        <v>186285.52</v>
      </c>
      <c r="K1192" t="s">
        <v>23</v>
      </c>
      <c r="L1192">
        <v>0.20005165841447931</v>
      </c>
      <c r="M1192" t="s">
        <v>23</v>
      </c>
      <c r="N1192">
        <v>0</v>
      </c>
      <c r="O1192">
        <v>0</v>
      </c>
      <c r="P1192" t="s">
        <v>24</v>
      </c>
      <c r="Q1192" t="s">
        <v>25</v>
      </c>
      <c r="R1192" t="s">
        <v>26</v>
      </c>
      <c r="S1192" t="s">
        <v>39</v>
      </c>
      <c r="T1192" t="s">
        <v>31</v>
      </c>
      <c r="U1192">
        <f t="shared" si="18"/>
        <v>1</v>
      </c>
    </row>
    <row r="1193" spans="1:21" x14ac:dyDescent="0.2">
      <c r="A1193">
        <v>452</v>
      </c>
      <c r="B1193" t="s">
        <v>41</v>
      </c>
      <c r="C1193" t="s">
        <v>21</v>
      </c>
      <c r="D1193">
        <v>52</v>
      </c>
      <c r="E1193">
        <v>1</v>
      </c>
      <c r="F1193">
        <v>98443.14</v>
      </c>
      <c r="G1193">
        <v>2</v>
      </c>
      <c r="H1193" t="s">
        <v>23</v>
      </c>
      <c r="I1193" t="s">
        <v>23</v>
      </c>
      <c r="J1193">
        <v>92033.98</v>
      </c>
      <c r="K1193" t="s">
        <v>23</v>
      </c>
      <c r="L1193">
        <v>0.61052111441366375</v>
      </c>
      <c r="M1193" t="s">
        <v>22</v>
      </c>
      <c r="N1193">
        <v>0</v>
      </c>
      <c r="O1193">
        <v>1</v>
      </c>
      <c r="P1193" t="s">
        <v>43</v>
      </c>
      <c r="Q1193" t="s">
        <v>44</v>
      </c>
      <c r="R1193" t="s">
        <v>38</v>
      </c>
      <c r="S1193" t="s">
        <v>45</v>
      </c>
      <c r="T1193" t="s">
        <v>40</v>
      </c>
      <c r="U1193">
        <f t="shared" si="18"/>
        <v>0</v>
      </c>
    </row>
    <row r="1194" spans="1:21" x14ac:dyDescent="0.2">
      <c r="A1194">
        <v>479</v>
      </c>
      <c r="B1194" t="s">
        <v>41</v>
      </c>
      <c r="C1194" t="s">
        <v>32</v>
      </c>
      <c r="D1194">
        <v>23</v>
      </c>
      <c r="E1194">
        <v>9</v>
      </c>
      <c r="F1194">
        <v>123575.51</v>
      </c>
      <c r="G1194">
        <v>1</v>
      </c>
      <c r="H1194" t="s">
        <v>23</v>
      </c>
      <c r="I1194" t="s">
        <v>22</v>
      </c>
      <c r="J1194">
        <v>95148.28</v>
      </c>
      <c r="K1194" t="s">
        <v>23</v>
      </c>
      <c r="L1194">
        <v>9.5764761703338447E-2</v>
      </c>
      <c r="M1194" t="s">
        <v>23</v>
      </c>
      <c r="N1194">
        <v>0</v>
      </c>
      <c r="O1194">
        <v>0</v>
      </c>
      <c r="P1194" t="s">
        <v>34</v>
      </c>
      <c r="Q1194" t="s">
        <v>36</v>
      </c>
      <c r="R1194" t="s">
        <v>26</v>
      </c>
      <c r="S1194" t="s">
        <v>45</v>
      </c>
      <c r="T1194" t="s">
        <v>40</v>
      </c>
      <c r="U1194">
        <f t="shared" si="18"/>
        <v>1</v>
      </c>
    </row>
    <row r="1195" spans="1:21" x14ac:dyDescent="0.2">
      <c r="A1195">
        <v>762</v>
      </c>
      <c r="B1195" t="s">
        <v>42</v>
      </c>
      <c r="C1195" t="s">
        <v>21</v>
      </c>
      <c r="D1195">
        <v>31</v>
      </c>
      <c r="E1195">
        <v>7</v>
      </c>
      <c r="F1195">
        <v>117687.35</v>
      </c>
      <c r="G1195">
        <v>1</v>
      </c>
      <c r="H1195" t="s">
        <v>22</v>
      </c>
      <c r="I1195" t="s">
        <v>22</v>
      </c>
      <c r="J1195">
        <v>159344.43</v>
      </c>
      <c r="K1195" t="s">
        <v>23</v>
      </c>
      <c r="L1195">
        <v>4.0814479389280338E-2</v>
      </c>
      <c r="M1195" t="s">
        <v>23</v>
      </c>
      <c r="N1195">
        <v>0</v>
      </c>
      <c r="O1195">
        <v>0</v>
      </c>
      <c r="P1195" t="s">
        <v>34</v>
      </c>
      <c r="Q1195" t="s">
        <v>33</v>
      </c>
      <c r="R1195" t="s">
        <v>26</v>
      </c>
      <c r="S1195" t="s">
        <v>37</v>
      </c>
      <c r="T1195" t="s">
        <v>31</v>
      </c>
      <c r="U1195">
        <f t="shared" si="18"/>
        <v>1</v>
      </c>
    </row>
    <row r="1196" spans="1:21" x14ac:dyDescent="0.2">
      <c r="A1196">
        <v>676</v>
      </c>
      <c r="B1196" t="s">
        <v>42</v>
      </c>
      <c r="C1196" t="s">
        <v>32</v>
      </c>
      <c r="D1196">
        <v>41</v>
      </c>
      <c r="E1196">
        <v>4</v>
      </c>
      <c r="F1196">
        <v>101457.14</v>
      </c>
      <c r="G1196">
        <v>1</v>
      </c>
      <c r="H1196" t="s">
        <v>22</v>
      </c>
      <c r="I1196" t="s">
        <v>22</v>
      </c>
      <c r="J1196">
        <v>79101.67</v>
      </c>
      <c r="K1196" t="s">
        <v>23</v>
      </c>
      <c r="L1196">
        <v>0.13732365061231611</v>
      </c>
      <c r="M1196" t="s">
        <v>23</v>
      </c>
      <c r="N1196">
        <v>0</v>
      </c>
      <c r="O1196">
        <v>0</v>
      </c>
      <c r="P1196" t="s">
        <v>34</v>
      </c>
      <c r="Q1196" t="s">
        <v>25</v>
      </c>
      <c r="R1196" t="s">
        <v>26</v>
      </c>
      <c r="S1196" t="s">
        <v>27</v>
      </c>
      <c r="T1196" t="s">
        <v>40</v>
      </c>
      <c r="U1196">
        <f t="shared" si="18"/>
        <v>1</v>
      </c>
    </row>
    <row r="1197" spans="1:21" x14ac:dyDescent="0.2">
      <c r="A1197">
        <v>629</v>
      </c>
      <c r="B1197" t="s">
        <v>20</v>
      </c>
      <c r="C1197" t="s">
        <v>21</v>
      </c>
      <c r="D1197">
        <v>35</v>
      </c>
      <c r="E1197">
        <v>4</v>
      </c>
      <c r="F1197">
        <v>174588.79999999999</v>
      </c>
      <c r="G1197">
        <v>2</v>
      </c>
      <c r="H1197" t="s">
        <v>23</v>
      </c>
      <c r="I1197" t="s">
        <v>22</v>
      </c>
      <c r="J1197">
        <v>158420.14000000001</v>
      </c>
      <c r="K1197" t="s">
        <v>23</v>
      </c>
      <c r="L1197">
        <v>6.9419135783341829E-2</v>
      </c>
      <c r="M1197" t="s">
        <v>23</v>
      </c>
      <c r="N1197">
        <v>0</v>
      </c>
      <c r="O1197">
        <v>0</v>
      </c>
      <c r="P1197" t="s">
        <v>34</v>
      </c>
      <c r="Q1197" t="s">
        <v>33</v>
      </c>
      <c r="R1197" t="s">
        <v>47</v>
      </c>
      <c r="S1197" t="s">
        <v>27</v>
      </c>
      <c r="T1197" t="s">
        <v>31</v>
      </c>
      <c r="U1197">
        <f t="shared" si="18"/>
        <v>1</v>
      </c>
    </row>
    <row r="1198" spans="1:21" x14ac:dyDescent="0.2">
      <c r="A1198">
        <v>471</v>
      </c>
      <c r="B1198" t="s">
        <v>41</v>
      </c>
      <c r="C1198" t="s">
        <v>32</v>
      </c>
      <c r="D1198">
        <v>36</v>
      </c>
      <c r="E1198">
        <v>5</v>
      </c>
      <c r="F1198">
        <v>90063.74</v>
      </c>
      <c r="G1198">
        <v>2</v>
      </c>
      <c r="H1198" t="s">
        <v>22</v>
      </c>
      <c r="I1198" t="s">
        <v>22</v>
      </c>
      <c r="J1198">
        <v>96366.7</v>
      </c>
      <c r="K1198" t="s">
        <v>23</v>
      </c>
      <c r="L1198">
        <v>0.19456862550004861</v>
      </c>
      <c r="M1198" t="s">
        <v>23</v>
      </c>
      <c r="N1198">
        <v>0</v>
      </c>
      <c r="O1198">
        <v>0</v>
      </c>
      <c r="P1198" t="s">
        <v>34</v>
      </c>
      <c r="Q1198" t="s">
        <v>33</v>
      </c>
      <c r="R1198" t="s">
        <v>38</v>
      </c>
      <c r="S1198" t="s">
        <v>45</v>
      </c>
      <c r="T1198" t="s">
        <v>40</v>
      </c>
      <c r="U1198">
        <f t="shared" si="18"/>
        <v>1</v>
      </c>
    </row>
    <row r="1199" spans="1:21" x14ac:dyDescent="0.2">
      <c r="A1199">
        <v>811</v>
      </c>
      <c r="B1199" t="s">
        <v>42</v>
      </c>
      <c r="C1199" t="s">
        <v>32</v>
      </c>
      <c r="D1199">
        <v>45</v>
      </c>
      <c r="E1199">
        <v>5</v>
      </c>
      <c r="F1199">
        <v>0</v>
      </c>
      <c r="G1199">
        <v>2</v>
      </c>
      <c r="H1199" t="s">
        <v>22</v>
      </c>
      <c r="I1199" t="s">
        <v>22</v>
      </c>
      <c r="J1199">
        <v>146123.19</v>
      </c>
      <c r="K1199" t="s">
        <v>23</v>
      </c>
      <c r="L1199">
        <v>0.1208879819167573</v>
      </c>
      <c r="M1199" t="s">
        <v>23</v>
      </c>
      <c r="N1199">
        <v>0</v>
      </c>
      <c r="O1199">
        <v>0</v>
      </c>
      <c r="P1199" t="s">
        <v>34</v>
      </c>
      <c r="Q1199" t="s">
        <v>25</v>
      </c>
      <c r="R1199" t="s">
        <v>29</v>
      </c>
      <c r="S1199" t="s">
        <v>39</v>
      </c>
      <c r="T1199" t="s">
        <v>28</v>
      </c>
      <c r="U1199">
        <f t="shared" si="18"/>
        <v>1</v>
      </c>
    </row>
    <row r="1200" spans="1:21" x14ac:dyDescent="0.2">
      <c r="A1200">
        <v>687</v>
      </c>
      <c r="B1200" t="s">
        <v>42</v>
      </c>
      <c r="C1200" t="s">
        <v>32</v>
      </c>
      <c r="D1200">
        <v>24</v>
      </c>
      <c r="E1200">
        <v>3</v>
      </c>
      <c r="F1200">
        <v>110495.27</v>
      </c>
      <c r="G1200">
        <v>1</v>
      </c>
      <c r="H1200" t="s">
        <v>22</v>
      </c>
      <c r="I1200" t="s">
        <v>23</v>
      </c>
      <c r="J1200">
        <v>158615.41</v>
      </c>
      <c r="K1200" t="s">
        <v>23</v>
      </c>
      <c r="L1200">
        <v>0.12723476354677449</v>
      </c>
      <c r="M1200" t="s">
        <v>23</v>
      </c>
      <c r="N1200">
        <v>0</v>
      </c>
      <c r="O1200">
        <v>0</v>
      </c>
      <c r="P1200" t="s">
        <v>34</v>
      </c>
      <c r="Q1200" t="s">
        <v>36</v>
      </c>
      <c r="R1200" t="s">
        <v>26</v>
      </c>
      <c r="S1200" t="s">
        <v>27</v>
      </c>
      <c r="T1200" t="s">
        <v>31</v>
      </c>
      <c r="U1200">
        <f t="shared" si="18"/>
        <v>1</v>
      </c>
    </row>
    <row r="1201" spans="1:21" x14ac:dyDescent="0.2">
      <c r="A1201">
        <v>548</v>
      </c>
      <c r="B1201" t="s">
        <v>42</v>
      </c>
      <c r="C1201" t="s">
        <v>32</v>
      </c>
      <c r="D1201">
        <v>41</v>
      </c>
      <c r="E1201">
        <v>4</v>
      </c>
      <c r="F1201">
        <v>82596.800000000003</v>
      </c>
      <c r="G1201">
        <v>1</v>
      </c>
      <c r="H1201" t="s">
        <v>23</v>
      </c>
      <c r="I1201" t="s">
        <v>22</v>
      </c>
      <c r="J1201">
        <v>55672.09</v>
      </c>
      <c r="K1201" t="s">
        <v>23</v>
      </c>
      <c r="L1201">
        <v>0.14444423795258141</v>
      </c>
      <c r="M1201" t="s">
        <v>23</v>
      </c>
      <c r="N1201">
        <v>0</v>
      </c>
      <c r="O1201">
        <v>0</v>
      </c>
      <c r="P1201" t="s">
        <v>34</v>
      </c>
      <c r="Q1201" t="s">
        <v>25</v>
      </c>
      <c r="R1201" t="s">
        <v>38</v>
      </c>
      <c r="S1201" t="s">
        <v>30</v>
      </c>
      <c r="T1201" t="s">
        <v>40</v>
      </c>
      <c r="U1201">
        <f t="shared" si="18"/>
        <v>1</v>
      </c>
    </row>
    <row r="1202" spans="1:21" x14ac:dyDescent="0.2">
      <c r="A1202">
        <v>609</v>
      </c>
      <c r="B1202" t="s">
        <v>41</v>
      </c>
      <c r="C1202" t="s">
        <v>21</v>
      </c>
      <c r="D1202">
        <v>31</v>
      </c>
      <c r="E1202">
        <v>9</v>
      </c>
      <c r="F1202">
        <v>103837.75</v>
      </c>
      <c r="G1202">
        <v>1</v>
      </c>
      <c r="H1202" t="s">
        <v>22</v>
      </c>
      <c r="I1202" t="s">
        <v>22</v>
      </c>
      <c r="J1202">
        <v>150218.10999999999</v>
      </c>
      <c r="K1202" t="s">
        <v>23</v>
      </c>
      <c r="L1202">
        <v>8.7601006120956018E-2</v>
      </c>
      <c r="M1202" t="s">
        <v>23</v>
      </c>
      <c r="N1202">
        <v>0</v>
      </c>
      <c r="O1202">
        <v>0</v>
      </c>
      <c r="P1202" t="s">
        <v>34</v>
      </c>
      <c r="Q1202" t="s">
        <v>33</v>
      </c>
      <c r="R1202" t="s">
        <v>26</v>
      </c>
      <c r="S1202" t="s">
        <v>27</v>
      </c>
      <c r="T1202" t="s">
        <v>31</v>
      </c>
      <c r="U1202">
        <f t="shared" si="18"/>
        <v>1</v>
      </c>
    </row>
    <row r="1203" spans="1:21" x14ac:dyDescent="0.2">
      <c r="A1203">
        <v>526</v>
      </c>
      <c r="B1203" t="s">
        <v>42</v>
      </c>
      <c r="C1203" t="s">
        <v>21</v>
      </c>
      <c r="D1203">
        <v>52</v>
      </c>
      <c r="E1203">
        <v>8</v>
      </c>
      <c r="F1203">
        <v>93590.47</v>
      </c>
      <c r="G1203">
        <v>1</v>
      </c>
      <c r="H1203" t="s">
        <v>23</v>
      </c>
      <c r="I1203" t="s">
        <v>22</v>
      </c>
      <c r="J1203">
        <v>21228.71</v>
      </c>
      <c r="K1203" t="s">
        <v>22</v>
      </c>
      <c r="L1203">
        <v>0.17262977221251541</v>
      </c>
      <c r="M1203" t="s">
        <v>23</v>
      </c>
      <c r="N1203">
        <v>1</v>
      </c>
      <c r="O1203">
        <v>0</v>
      </c>
      <c r="P1203" t="s">
        <v>34</v>
      </c>
      <c r="Q1203" t="s">
        <v>44</v>
      </c>
      <c r="R1203" t="s">
        <v>38</v>
      </c>
      <c r="S1203" t="s">
        <v>30</v>
      </c>
      <c r="T1203" t="s">
        <v>35</v>
      </c>
      <c r="U1203">
        <f t="shared" si="18"/>
        <v>0</v>
      </c>
    </row>
    <row r="1204" spans="1:21" x14ac:dyDescent="0.2">
      <c r="A1204">
        <v>545</v>
      </c>
      <c r="B1204" t="s">
        <v>42</v>
      </c>
      <c r="C1204" t="s">
        <v>21</v>
      </c>
      <c r="D1204">
        <v>26</v>
      </c>
      <c r="E1204">
        <v>7</v>
      </c>
      <c r="F1204">
        <v>0</v>
      </c>
      <c r="G1204">
        <v>2</v>
      </c>
      <c r="H1204" t="s">
        <v>23</v>
      </c>
      <c r="I1204" t="s">
        <v>22</v>
      </c>
      <c r="J1204">
        <v>156598.23000000001</v>
      </c>
      <c r="K1204" t="s">
        <v>23</v>
      </c>
      <c r="L1204">
        <v>2.2871358839557501E-2</v>
      </c>
      <c r="M1204" t="s">
        <v>23</v>
      </c>
      <c r="N1204">
        <v>0</v>
      </c>
      <c r="O1204">
        <v>0</v>
      </c>
      <c r="P1204" t="s">
        <v>34</v>
      </c>
      <c r="Q1204" t="s">
        <v>36</v>
      </c>
      <c r="R1204" t="s">
        <v>29</v>
      </c>
      <c r="S1204" t="s">
        <v>30</v>
      </c>
      <c r="T1204" t="s">
        <v>31</v>
      </c>
      <c r="U1204">
        <f t="shared" si="18"/>
        <v>1</v>
      </c>
    </row>
    <row r="1205" spans="1:21" x14ac:dyDescent="0.2">
      <c r="A1205">
        <v>642</v>
      </c>
      <c r="B1205" t="s">
        <v>41</v>
      </c>
      <c r="C1205" t="s">
        <v>21</v>
      </c>
      <c r="D1205">
        <v>41</v>
      </c>
      <c r="E1205">
        <v>4</v>
      </c>
      <c r="F1205">
        <v>157777.57999999999</v>
      </c>
      <c r="G1205">
        <v>1</v>
      </c>
      <c r="H1205" t="s">
        <v>22</v>
      </c>
      <c r="I1205" t="s">
        <v>23</v>
      </c>
      <c r="J1205">
        <v>67484.600000000006</v>
      </c>
      <c r="K1205" t="s">
        <v>23</v>
      </c>
      <c r="L1205">
        <v>0.41486689149414657</v>
      </c>
      <c r="M1205" t="s">
        <v>23</v>
      </c>
      <c r="N1205">
        <v>0</v>
      </c>
      <c r="O1205">
        <v>0</v>
      </c>
      <c r="P1205" t="s">
        <v>24</v>
      </c>
      <c r="Q1205" t="s">
        <v>25</v>
      </c>
      <c r="R1205" t="s">
        <v>47</v>
      </c>
      <c r="S1205" t="s">
        <v>27</v>
      </c>
      <c r="T1205" t="s">
        <v>40</v>
      </c>
      <c r="U1205">
        <f t="shared" si="18"/>
        <v>1</v>
      </c>
    </row>
    <row r="1206" spans="1:21" x14ac:dyDescent="0.2">
      <c r="A1206">
        <v>617</v>
      </c>
      <c r="B1206" t="s">
        <v>42</v>
      </c>
      <c r="C1206" t="s">
        <v>32</v>
      </c>
      <c r="D1206">
        <v>34</v>
      </c>
      <c r="E1206">
        <v>0</v>
      </c>
      <c r="F1206">
        <v>131244.65</v>
      </c>
      <c r="G1206">
        <v>2</v>
      </c>
      <c r="H1206" t="s">
        <v>22</v>
      </c>
      <c r="I1206" t="s">
        <v>23</v>
      </c>
      <c r="J1206">
        <v>183229.02</v>
      </c>
      <c r="K1206" t="s">
        <v>23</v>
      </c>
      <c r="L1206">
        <v>0.24713752213160781</v>
      </c>
      <c r="M1206" t="s">
        <v>23</v>
      </c>
      <c r="N1206">
        <v>0</v>
      </c>
      <c r="O1206">
        <v>0</v>
      </c>
      <c r="P1206" t="s">
        <v>24</v>
      </c>
      <c r="Q1206" t="s">
        <v>33</v>
      </c>
      <c r="R1206" t="s">
        <v>26</v>
      </c>
      <c r="S1206" t="s">
        <v>27</v>
      </c>
      <c r="T1206" t="s">
        <v>31</v>
      </c>
      <c r="U1206">
        <f t="shared" si="18"/>
        <v>1</v>
      </c>
    </row>
    <row r="1207" spans="1:21" x14ac:dyDescent="0.2">
      <c r="A1207">
        <v>648</v>
      </c>
      <c r="B1207" t="s">
        <v>42</v>
      </c>
      <c r="C1207" t="s">
        <v>21</v>
      </c>
      <c r="D1207">
        <v>23</v>
      </c>
      <c r="E1207">
        <v>9</v>
      </c>
      <c r="F1207">
        <v>168372.52</v>
      </c>
      <c r="G1207">
        <v>1</v>
      </c>
      <c r="H1207" t="s">
        <v>22</v>
      </c>
      <c r="I1207" t="s">
        <v>23</v>
      </c>
      <c r="J1207">
        <v>134676.72</v>
      </c>
      <c r="K1207" t="s">
        <v>23</v>
      </c>
      <c r="L1207">
        <v>7.5703253256355782E-2</v>
      </c>
      <c r="M1207" t="s">
        <v>23</v>
      </c>
      <c r="N1207">
        <v>0</v>
      </c>
      <c r="O1207">
        <v>0</v>
      </c>
      <c r="P1207" t="s">
        <v>34</v>
      </c>
      <c r="Q1207" t="s">
        <v>36</v>
      </c>
      <c r="R1207" t="s">
        <v>47</v>
      </c>
      <c r="S1207" t="s">
        <v>27</v>
      </c>
      <c r="T1207" t="s">
        <v>28</v>
      </c>
      <c r="U1207">
        <f t="shared" si="18"/>
        <v>1</v>
      </c>
    </row>
    <row r="1208" spans="1:21" x14ac:dyDescent="0.2">
      <c r="A1208">
        <v>627</v>
      </c>
      <c r="B1208" t="s">
        <v>42</v>
      </c>
      <c r="C1208" t="s">
        <v>32</v>
      </c>
      <c r="D1208">
        <v>44</v>
      </c>
      <c r="E1208">
        <v>5</v>
      </c>
      <c r="F1208">
        <v>0</v>
      </c>
      <c r="G1208">
        <v>2</v>
      </c>
      <c r="H1208" t="s">
        <v>22</v>
      </c>
      <c r="I1208" t="s">
        <v>23</v>
      </c>
      <c r="J1208">
        <v>82969.61</v>
      </c>
      <c r="K1208" t="s">
        <v>22</v>
      </c>
      <c r="L1208">
        <v>0.29398259914426539</v>
      </c>
      <c r="M1208" t="s">
        <v>23</v>
      </c>
      <c r="N1208">
        <v>1</v>
      </c>
      <c r="O1208">
        <v>0</v>
      </c>
      <c r="P1208" t="s">
        <v>24</v>
      </c>
      <c r="Q1208" t="s">
        <v>25</v>
      </c>
      <c r="R1208" t="s">
        <v>29</v>
      </c>
      <c r="S1208" t="s">
        <v>27</v>
      </c>
      <c r="T1208" t="s">
        <v>40</v>
      </c>
      <c r="U1208">
        <f t="shared" si="18"/>
        <v>0</v>
      </c>
    </row>
    <row r="1209" spans="1:21" x14ac:dyDescent="0.2">
      <c r="A1209">
        <v>465</v>
      </c>
      <c r="B1209" t="s">
        <v>20</v>
      </c>
      <c r="C1209" t="s">
        <v>32</v>
      </c>
      <c r="D1209">
        <v>33</v>
      </c>
      <c r="E1209">
        <v>6</v>
      </c>
      <c r="F1209">
        <v>0</v>
      </c>
      <c r="G1209">
        <v>2</v>
      </c>
      <c r="H1209" t="s">
        <v>22</v>
      </c>
      <c r="I1209" t="s">
        <v>22</v>
      </c>
      <c r="J1209">
        <v>95500.98</v>
      </c>
      <c r="K1209" t="s">
        <v>23</v>
      </c>
      <c r="L1209">
        <v>6.6477190894272883E-2</v>
      </c>
      <c r="M1209" t="s">
        <v>23</v>
      </c>
      <c r="N1209">
        <v>0</v>
      </c>
      <c r="O1209">
        <v>0</v>
      </c>
      <c r="P1209" t="s">
        <v>34</v>
      </c>
      <c r="Q1209" t="s">
        <v>33</v>
      </c>
      <c r="R1209" t="s">
        <v>29</v>
      </c>
      <c r="S1209" t="s">
        <v>45</v>
      </c>
      <c r="T1209" t="s">
        <v>40</v>
      </c>
      <c r="U1209">
        <f t="shared" si="18"/>
        <v>1</v>
      </c>
    </row>
    <row r="1210" spans="1:21" x14ac:dyDescent="0.2">
      <c r="A1210">
        <v>687</v>
      </c>
      <c r="B1210" t="s">
        <v>42</v>
      </c>
      <c r="C1210" t="s">
        <v>32</v>
      </c>
      <c r="D1210">
        <v>34</v>
      </c>
      <c r="E1210">
        <v>9</v>
      </c>
      <c r="F1210">
        <v>125474.44</v>
      </c>
      <c r="G1210">
        <v>1</v>
      </c>
      <c r="H1210" t="s">
        <v>22</v>
      </c>
      <c r="I1210" t="s">
        <v>23</v>
      </c>
      <c r="J1210">
        <v>198929.84</v>
      </c>
      <c r="K1210" t="s">
        <v>23</v>
      </c>
      <c r="L1210">
        <v>0.22390551750081761</v>
      </c>
      <c r="M1210" t="s">
        <v>23</v>
      </c>
      <c r="N1210">
        <v>0</v>
      </c>
      <c r="O1210">
        <v>0</v>
      </c>
      <c r="P1210" t="s">
        <v>24</v>
      </c>
      <c r="Q1210" t="s">
        <v>33</v>
      </c>
      <c r="R1210" t="s">
        <v>26</v>
      </c>
      <c r="S1210" t="s">
        <v>27</v>
      </c>
      <c r="T1210" t="s">
        <v>31</v>
      </c>
      <c r="U1210">
        <f t="shared" si="18"/>
        <v>1</v>
      </c>
    </row>
    <row r="1211" spans="1:21" x14ac:dyDescent="0.2">
      <c r="A1211">
        <v>699</v>
      </c>
      <c r="B1211" t="s">
        <v>20</v>
      </c>
      <c r="C1211" t="s">
        <v>32</v>
      </c>
      <c r="D1211">
        <v>25</v>
      </c>
      <c r="E1211">
        <v>8</v>
      </c>
      <c r="F1211">
        <v>0</v>
      </c>
      <c r="G1211">
        <v>2</v>
      </c>
      <c r="H1211" t="s">
        <v>22</v>
      </c>
      <c r="I1211" t="s">
        <v>22</v>
      </c>
      <c r="J1211">
        <v>52404.47</v>
      </c>
      <c r="K1211" t="s">
        <v>23</v>
      </c>
      <c r="L1211">
        <v>3.047963451731894E-2</v>
      </c>
      <c r="M1211" t="s">
        <v>23</v>
      </c>
      <c r="N1211">
        <v>0</v>
      </c>
      <c r="O1211">
        <v>0</v>
      </c>
      <c r="P1211" t="s">
        <v>34</v>
      </c>
      <c r="Q1211" t="s">
        <v>36</v>
      </c>
      <c r="R1211" t="s">
        <v>29</v>
      </c>
      <c r="S1211" t="s">
        <v>27</v>
      </c>
      <c r="T1211" t="s">
        <v>40</v>
      </c>
      <c r="U1211">
        <f t="shared" si="18"/>
        <v>1</v>
      </c>
    </row>
    <row r="1212" spans="1:21" x14ac:dyDescent="0.2">
      <c r="A1212">
        <v>779</v>
      </c>
      <c r="B1212" t="s">
        <v>41</v>
      </c>
      <c r="C1212" t="s">
        <v>32</v>
      </c>
      <c r="D1212">
        <v>24</v>
      </c>
      <c r="E1212">
        <v>10</v>
      </c>
      <c r="F1212">
        <v>122200.31</v>
      </c>
      <c r="G1212">
        <v>2</v>
      </c>
      <c r="H1212" t="s">
        <v>22</v>
      </c>
      <c r="I1212" t="s">
        <v>23</v>
      </c>
      <c r="J1212">
        <v>43705.56</v>
      </c>
      <c r="K1212" t="s">
        <v>23</v>
      </c>
      <c r="L1212">
        <v>0.18588240985940441</v>
      </c>
      <c r="M1212" t="s">
        <v>23</v>
      </c>
      <c r="N1212">
        <v>0</v>
      </c>
      <c r="O1212">
        <v>0</v>
      </c>
      <c r="P1212" t="s">
        <v>34</v>
      </c>
      <c r="Q1212" t="s">
        <v>36</v>
      </c>
      <c r="R1212" t="s">
        <v>26</v>
      </c>
      <c r="S1212" t="s">
        <v>37</v>
      </c>
      <c r="T1212" t="s">
        <v>35</v>
      </c>
      <c r="U1212">
        <f t="shared" si="18"/>
        <v>1</v>
      </c>
    </row>
    <row r="1213" spans="1:21" x14ac:dyDescent="0.2">
      <c r="A1213">
        <v>794</v>
      </c>
      <c r="B1213" t="s">
        <v>20</v>
      </c>
      <c r="C1213" t="s">
        <v>21</v>
      </c>
      <c r="D1213">
        <v>33</v>
      </c>
      <c r="E1213">
        <v>8</v>
      </c>
      <c r="F1213">
        <v>0</v>
      </c>
      <c r="G1213">
        <v>2</v>
      </c>
      <c r="H1213" t="s">
        <v>23</v>
      </c>
      <c r="I1213" t="s">
        <v>23</v>
      </c>
      <c r="J1213">
        <v>91340.02</v>
      </c>
      <c r="K1213" t="s">
        <v>23</v>
      </c>
      <c r="L1213">
        <v>8.8090359783874583E-2</v>
      </c>
      <c r="M1213" t="s">
        <v>23</v>
      </c>
      <c r="N1213">
        <v>0</v>
      </c>
      <c r="O1213">
        <v>0</v>
      </c>
      <c r="P1213" t="s">
        <v>34</v>
      </c>
      <c r="Q1213" t="s">
        <v>33</v>
      </c>
      <c r="R1213" t="s">
        <v>29</v>
      </c>
      <c r="S1213" t="s">
        <v>37</v>
      </c>
      <c r="T1213" t="s">
        <v>40</v>
      </c>
      <c r="U1213">
        <f t="shared" si="18"/>
        <v>1</v>
      </c>
    </row>
    <row r="1214" spans="1:21" x14ac:dyDescent="0.2">
      <c r="A1214">
        <v>756</v>
      </c>
      <c r="B1214" t="s">
        <v>41</v>
      </c>
      <c r="C1214" t="s">
        <v>32</v>
      </c>
      <c r="D1214">
        <v>26</v>
      </c>
      <c r="E1214">
        <v>5</v>
      </c>
      <c r="F1214">
        <v>155143.51999999999</v>
      </c>
      <c r="G1214">
        <v>1</v>
      </c>
      <c r="H1214" t="s">
        <v>23</v>
      </c>
      <c r="I1214" t="s">
        <v>22</v>
      </c>
      <c r="J1214">
        <v>135034.57</v>
      </c>
      <c r="K1214" t="s">
        <v>22</v>
      </c>
      <c r="L1214">
        <v>0.1159140063872602</v>
      </c>
      <c r="M1214" t="s">
        <v>23</v>
      </c>
      <c r="N1214">
        <v>1</v>
      </c>
      <c r="O1214">
        <v>0</v>
      </c>
      <c r="P1214" t="s">
        <v>34</v>
      </c>
      <c r="Q1214" t="s">
        <v>36</v>
      </c>
      <c r="R1214" t="s">
        <v>47</v>
      </c>
      <c r="S1214" t="s">
        <v>37</v>
      </c>
      <c r="T1214" t="s">
        <v>28</v>
      </c>
      <c r="U1214">
        <f t="shared" si="18"/>
        <v>0</v>
      </c>
    </row>
    <row r="1215" spans="1:21" x14ac:dyDescent="0.2">
      <c r="A1215">
        <v>709</v>
      </c>
      <c r="B1215" t="s">
        <v>42</v>
      </c>
      <c r="C1215" t="s">
        <v>32</v>
      </c>
      <c r="D1215">
        <v>32</v>
      </c>
      <c r="E1215">
        <v>2</v>
      </c>
      <c r="F1215">
        <v>87814.89</v>
      </c>
      <c r="G1215">
        <v>1</v>
      </c>
      <c r="H1215" t="s">
        <v>22</v>
      </c>
      <c r="I1215" t="s">
        <v>23</v>
      </c>
      <c r="J1215">
        <v>138578.37</v>
      </c>
      <c r="K1215" t="s">
        <v>23</v>
      </c>
      <c r="L1215">
        <v>0.19795514995284819</v>
      </c>
      <c r="M1215" t="s">
        <v>23</v>
      </c>
      <c r="N1215">
        <v>0</v>
      </c>
      <c r="O1215">
        <v>0</v>
      </c>
      <c r="P1215" t="s">
        <v>34</v>
      </c>
      <c r="Q1215" t="s">
        <v>33</v>
      </c>
      <c r="R1215" t="s">
        <v>38</v>
      </c>
      <c r="S1215" t="s">
        <v>37</v>
      </c>
      <c r="T1215" t="s">
        <v>28</v>
      </c>
      <c r="U1215">
        <f t="shared" si="18"/>
        <v>1</v>
      </c>
    </row>
    <row r="1216" spans="1:21" x14ac:dyDescent="0.2">
      <c r="A1216">
        <v>503</v>
      </c>
      <c r="B1216" t="s">
        <v>20</v>
      </c>
      <c r="C1216" t="s">
        <v>21</v>
      </c>
      <c r="D1216">
        <v>31</v>
      </c>
      <c r="E1216">
        <v>4</v>
      </c>
      <c r="F1216">
        <v>0</v>
      </c>
      <c r="G1216">
        <v>2</v>
      </c>
      <c r="H1216" t="s">
        <v>22</v>
      </c>
      <c r="I1216" t="s">
        <v>22</v>
      </c>
      <c r="J1216">
        <v>21645.06</v>
      </c>
      <c r="K1216" t="s">
        <v>23</v>
      </c>
      <c r="L1216">
        <v>3.3387401280776739E-2</v>
      </c>
      <c r="M1216" t="s">
        <v>23</v>
      </c>
      <c r="N1216">
        <v>0</v>
      </c>
      <c r="O1216">
        <v>0</v>
      </c>
      <c r="P1216" t="s">
        <v>34</v>
      </c>
      <c r="Q1216" t="s">
        <v>33</v>
      </c>
      <c r="R1216" t="s">
        <v>29</v>
      </c>
      <c r="S1216" t="s">
        <v>30</v>
      </c>
      <c r="T1216" t="s">
        <v>35</v>
      </c>
      <c r="U1216">
        <f t="shared" si="18"/>
        <v>1</v>
      </c>
    </row>
    <row r="1217" spans="1:21" x14ac:dyDescent="0.2">
      <c r="A1217">
        <v>579</v>
      </c>
      <c r="B1217" t="s">
        <v>20</v>
      </c>
      <c r="C1217" t="s">
        <v>21</v>
      </c>
      <c r="D1217">
        <v>37</v>
      </c>
      <c r="E1217">
        <v>4</v>
      </c>
      <c r="F1217">
        <v>0</v>
      </c>
      <c r="G1217">
        <v>2</v>
      </c>
      <c r="H1217" t="s">
        <v>22</v>
      </c>
      <c r="I1217" t="s">
        <v>22</v>
      </c>
      <c r="J1217">
        <v>32246.63</v>
      </c>
      <c r="K1217" t="s">
        <v>23</v>
      </c>
      <c r="L1217">
        <v>4.8876562706800138E-2</v>
      </c>
      <c r="M1217" t="s">
        <v>23</v>
      </c>
      <c r="N1217">
        <v>0</v>
      </c>
      <c r="O1217">
        <v>0</v>
      </c>
      <c r="P1217" t="s">
        <v>34</v>
      </c>
      <c r="Q1217" t="s">
        <v>33</v>
      </c>
      <c r="R1217" t="s">
        <v>29</v>
      </c>
      <c r="S1217" t="s">
        <v>30</v>
      </c>
      <c r="T1217" t="s">
        <v>35</v>
      </c>
      <c r="U1217">
        <f t="shared" si="18"/>
        <v>1</v>
      </c>
    </row>
    <row r="1218" spans="1:21" x14ac:dyDescent="0.2">
      <c r="A1218">
        <v>704</v>
      </c>
      <c r="B1218" t="s">
        <v>42</v>
      </c>
      <c r="C1218" t="s">
        <v>21</v>
      </c>
      <c r="D1218">
        <v>36</v>
      </c>
      <c r="E1218">
        <v>3</v>
      </c>
      <c r="F1218">
        <v>114370.41</v>
      </c>
      <c r="G1218">
        <v>1</v>
      </c>
      <c r="H1218" t="s">
        <v>23</v>
      </c>
      <c r="I1218" t="s">
        <v>22</v>
      </c>
      <c r="J1218">
        <v>66810.48</v>
      </c>
      <c r="K1218" t="s">
        <v>23</v>
      </c>
      <c r="L1218">
        <v>6.3213980724237021E-2</v>
      </c>
      <c r="M1218" t="s">
        <v>23</v>
      </c>
      <c r="N1218">
        <v>0</v>
      </c>
      <c r="O1218">
        <v>0</v>
      </c>
      <c r="P1218" t="s">
        <v>34</v>
      </c>
      <c r="Q1218" t="s">
        <v>33</v>
      </c>
      <c r="R1218" t="s">
        <v>26</v>
      </c>
      <c r="S1218" t="s">
        <v>37</v>
      </c>
      <c r="T1218" t="s">
        <v>40</v>
      </c>
      <c r="U1218">
        <f t="shared" ref="U1218:U1281" si="19">IF(K1218=M1218,1,0)</f>
        <v>1</v>
      </c>
    </row>
    <row r="1219" spans="1:21" x14ac:dyDescent="0.2">
      <c r="A1219">
        <v>714</v>
      </c>
      <c r="B1219" t="s">
        <v>41</v>
      </c>
      <c r="C1219" t="s">
        <v>21</v>
      </c>
      <c r="D1219">
        <v>39</v>
      </c>
      <c r="E1219">
        <v>3</v>
      </c>
      <c r="F1219">
        <v>149887.49</v>
      </c>
      <c r="G1219">
        <v>2</v>
      </c>
      <c r="H1219" t="s">
        <v>22</v>
      </c>
      <c r="I1219" t="s">
        <v>23</v>
      </c>
      <c r="J1219">
        <v>63846.36</v>
      </c>
      <c r="K1219" t="s">
        <v>23</v>
      </c>
      <c r="L1219">
        <v>0.34343505464923152</v>
      </c>
      <c r="M1219" t="s">
        <v>23</v>
      </c>
      <c r="N1219">
        <v>0</v>
      </c>
      <c r="O1219">
        <v>0</v>
      </c>
      <c r="P1219" t="s">
        <v>24</v>
      </c>
      <c r="Q1219" t="s">
        <v>33</v>
      </c>
      <c r="R1219" t="s">
        <v>26</v>
      </c>
      <c r="S1219" t="s">
        <v>37</v>
      </c>
      <c r="T1219" t="s">
        <v>40</v>
      </c>
      <c r="U1219">
        <f t="shared" si="19"/>
        <v>1</v>
      </c>
    </row>
    <row r="1220" spans="1:21" x14ac:dyDescent="0.2">
      <c r="A1220">
        <v>592</v>
      </c>
      <c r="B1220" t="s">
        <v>42</v>
      </c>
      <c r="C1220" t="s">
        <v>21</v>
      </c>
      <c r="D1220">
        <v>27</v>
      </c>
      <c r="E1220">
        <v>3</v>
      </c>
      <c r="F1220">
        <v>0</v>
      </c>
      <c r="G1220">
        <v>2</v>
      </c>
      <c r="H1220" t="s">
        <v>22</v>
      </c>
      <c r="I1220" t="s">
        <v>22</v>
      </c>
      <c r="J1220">
        <v>19645.650000000001</v>
      </c>
      <c r="K1220" t="s">
        <v>23</v>
      </c>
      <c r="L1220">
        <v>2.3135869016958591E-2</v>
      </c>
      <c r="M1220" t="s">
        <v>23</v>
      </c>
      <c r="N1220">
        <v>0</v>
      </c>
      <c r="O1220">
        <v>0</v>
      </c>
      <c r="P1220" t="s">
        <v>34</v>
      </c>
      <c r="Q1220" t="s">
        <v>36</v>
      </c>
      <c r="R1220" t="s">
        <v>29</v>
      </c>
      <c r="S1220" t="s">
        <v>30</v>
      </c>
      <c r="T1220" t="s">
        <v>35</v>
      </c>
      <c r="U1220">
        <f t="shared" si="19"/>
        <v>1</v>
      </c>
    </row>
    <row r="1221" spans="1:21" x14ac:dyDescent="0.2">
      <c r="A1221">
        <v>689</v>
      </c>
      <c r="B1221" t="s">
        <v>41</v>
      </c>
      <c r="C1221" t="s">
        <v>32</v>
      </c>
      <c r="D1221">
        <v>28</v>
      </c>
      <c r="E1221">
        <v>2</v>
      </c>
      <c r="F1221">
        <v>64808.32</v>
      </c>
      <c r="G1221">
        <v>2</v>
      </c>
      <c r="H1221" t="s">
        <v>23</v>
      </c>
      <c r="I1221" t="s">
        <v>23</v>
      </c>
      <c r="J1221">
        <v>78591.149999999994</v>
      </c>
      <c r="K1221" t="s">
        <v>23</v>
      </c>
      <c r="L1221">
        <v>0.25780218670997618</v>
      </c>
      <c r="M1221" t="s">
        <v>23</v>
      </c>
      <c r="N1221">
        <v>0</v>
      </c>
      <c r="O1221">
        <v>0</v>
      </c>
      <c r="P1221" t="s">
        <v>24</v>
      </c>
      <c r="Q1221" t="s">
        <v>36</v>
      </c>
      <c r="R1221" t="s">
        <v>38</v>
      </c>
      <c r="S1221" t="s">
        <v>27</v>
      </c>
      <c r="T1221" t="s">
        <v>40</v>
      </c>
      <c r="U1221">
        <f t="shared" si="19"/>
        <v>1</v>
      </c>
    </row>
    <row r="1222" spans="1:21" x14ac:dyDescent="0.2">
      <c r="A1222">
        <v>581</v>
      </c>
      <c r="B1222" t="s">
        <v>41</v>
      </c>
      <c r="C1222" t="s">
        <v>32</v>
      </c>
      <c r="D1222">
        <v>54</v>
      </c>
      <c r="E1222">
        <v>2</v>
      </c>
      <c r="F1222">
        <v>152508.99</v>
      </c>
      <c r="G1222">
        <v>1</v>
      </c>
      <c r="H1222" t="s">
        <v>22</v>
      </c>
      <c r="I1222" t="s">
        <v>23</v>
      </c>
      <c r="J1222">
        <v>187597.98</v>
      </c>
      <c r="K1222" t="s">
        <v>22</v>
      </c>
      <c r="L1222">
        <v>0.7859788004820053</v>
      </c>
      <c r="M1222" t="s">
        <v>22</v>
      </c>
      <c r="N1222">
        <v>1</v>
      </c>
      <c r="O1222">
        <v>1</v>
      </c>
      <c r="P1222" t="s">
        <v>43</v>
      </c>
      <c r="Q1222" t="s">
        <v>44</v>
      </c>
      <c r="R1222" t="s">
        <v>47</v>
      </c>
      <c r="S1222" t="s">
        <v>30</v>
      </c>
      <c r="T1222" t="s">
        <v>31</v>
      </c>
      <c r="U1222">
        <f t="shared" si="19"/>
        <v>1</v>
      </c>
    </row>
    <row r="1223" spans="1:21" x14ac:dyDescent="0.2">
      <c r="A1223">
        <v>690</v>
      </c>
      <c r="B1223" t="s">
        <v>42</v>
      </c>
      <c r="C1223" t="s">
        <v>32</v>
      </c>
      <c r="D1223">
        <v>40</v>
      </c>
      <c r="E1223">
        <v>9</v>
      </c>
      <c r="F1223">
        <v>77641.990000000005</v>
      </c>
      <c r="G1223">
        <v>1</v>
      </c>
      <c r="H1223" t="s">
        <v>23</v>
      </c>
      <c r="I1223" t="s">
        <v>23</v>
      </c>
      <c r="J1223">
        <v>189051.59</v>
      </c>
      <c r="K1223" t="s">
        <v>22</v>
      </c>
      <c r="L1223">
        <v>0.28936857018585449</v>
      </c>
      <c r="M1223" t="s">
        <v>23</v>
      </c>
      <c r="N1223">
        <v>1</v>
      </c>
      <c r="O1223">
        <v>0</v>
      </c>
      <c r="P1223" t="s">
        <v>24</v>
      </c>
      <c r="Q1223" t="s">
        <v>33</v>
      </c>
      <c r="R1223" t="s">
        <v>38</v>
      </c>
      <c r="S1223" t="s">
        <v>27</v>
      </c>
      <c r="T1223" t="s">
        <v>31</v>
      </c>
      <c r="U1223">
        <f t="shared" si="19"/>
        <v>0</v>
      </c>
    </row>
    <row r="1224" spans="1:21" x14ac:dyDescent="0.2">
      <c r="A1224">
        <v>479</v>
      </c>
      <c r="B1224" t="s">
        <v>42</v>
      </c>
      <c r="C1224" t="s">
        <v>21</v>
      </c>
      <c r="D1224">
        <v>47</v>
      </c>
      <c r="E1224">
        <v>1</v>
      </c>
      <c r="F1224">
        <v>0</v>
      </c>
      <c r="G1224">
        <v>1</v>
      </c>
      <c r="H1224" t="s">
        <v>22</v>
      </c>
      <c r="I1224" t="s">
        <v>23</v>
      </c>
      <c r="J1224">
        <v>95270.83</v>
      </c>
      <c r="K1224" t="s">
        <v>23</v>
      </c>
      <c r="L1224">
        <v>0.28710125088072108</v>
      </c>
      <c r="M1224" t="s">
        <v>23</v>
      </c>
      <c r="N1224">
        <v>0</v>
      </c>
      <c r="O1224">
        <v>0</v>
      </c>
      <c r="P1224" t="s">
        <v>24</v>
      </c>
      <c r="Q1224" t="s">
        <v>25</v>
      </c>
      <c r="R1224" t="s">
        <v>29</v>
      </c>
      <c r="S1224" t="s">
        <v>45</v>
      </c>
      <c r="T1224" t="s">
        <v>40</v>
      </c>
      <c r="U1224">
        <f t="shared" si="19"/>
        <v>1</v>
      </c>
    </row>
    <row r="1225" spans="1:21" x14ac:dyDescent="0.2">
      <c r="A1225">
        <v>693</v>
      </c>
      <c r="B1225" t="s">
        <v>42</v>
      </c>
      <c r="C1225" t="s">
        <v>21</v>
      </c>
      <c r="D1225">
        <v>31</v>
      </c>
      <c r="E1225">
        <v>2</v>
      </c>
      <c r="F1225">
        <v>0</v>
      </c>
      <c r="G1225">
        <v>2</v>
      </c>
      <c r="H1225" t="s">
        <v>22</v>
      </c>
      <c r="I1225" t="s">
        <v>22</v>
      </c>
      <c r="J1225">
        <v>107759.31</v>
      </c>
      <c r="K1225" t="s">
        <v>23</v>
      </c>
      <c r="L1225">
        <v>3.083361753714383E-2</v>
      </c>
      <c r="M1225" t="s">
        <v>23</v>
      </c>
      <c r="N1225">
        <v>0</v>
      </c>
      <c r="O1225">
        <v>0</v>
      </c>
      <c r="P1225" t="s">
        <v>34</v>
      </c>
      <c r="Q1225" t="s">
        <v>33</v>
      </c>
      <c r="R1225" t="s">
        <v>29</v>
      </c>
      <c r="S1225" t="s">
        <v>27</v>
      </c>
      <c r="T1225" t="s">
        <v>28</v>
      </c>
      <c r="U1225">
        <f t="shared" si="19"/>
        <v>1</v>
      </c>
    </row>
    <row r="1226" spans="1:21" x14ac:dyDescent="0.2">
      <c r="A1226">
        <v>707</v>
      </c>
      <c r="B1226" t="s">
        <v>20</v>
      </c>
      <c r="C1226" t="s">
        <v>21</v>
      </c>
      <c r="D1226">
        <v>43</v>
      </c>
      <c r="E1226">
        <v>10</v>
      </c>
      <c r="F1226">
        <v>0</v>
      </c>
      <c r="G1226">
        <v>2</v>
      </c>
      <c r="H1226" t="s">
        <v>22</v>
      </c>
      <c r="I1226" t="s">
        <v>23</v>
      </c>
      <c r="J1226">
        <v>118368.2</v>
      </c>
      <c r="K1226" t="s">
        <v>23</v>
      </c>
      <c r="L1226">
        <v>0.16886651488195409</v>
      </c>
      <c r="M1226" t="s">
        <v>23</v>
      </c>
      <c r="N1226">
        <v>0</v>
      </c>
      <c r="O1226">
        <v>0</v>
      </c>
      <c r="P1226" t="s">
        <v>34</v>
      </c>
      <c r="Q1226" t="s">
        <v>25</v>
      </c>
      <c r="R1226" t="s">
        <v>29</v>
      </c>
      <c r="S1226" t="s">
        <v>37</v>
      </c>
      <c r="T1226" t="s">
        <v>28</v>
      </c>
      <c r="U1226">
        <f t="shared" si="19"/>
        <v>1</v>
      </c>
    </row>
    <row r="1227" spans="1:21" x14ac:dyDescent="0.2">
      <c r="A1227">
        <v>777</v>
      </c>
      <c r="B1227" t="s">
        <v>42</v>
      </c>
      <c r="C1227" t="s">
        <v>21</v>
      </c>
      <c r="D1227">
        <v>39</v>
      </c>
      <c r="E1227">
        <v>8</v>
      </c>
      <c r="F1227">
        <v>0</v>
      </c>
      <c r="G1227">
        <v>2</v>
      </c>
      <c r="H1227" t="s">
        <v>22</v>
      </c>
      <c r="I1227" t="s">
        <v>22</v>
      </c>
      <c r="J1227">
        <v>18613.52</v>
      </c>
      <c r="K1227" t="s">
        <v>23</v>
      </c>
      <c r="L1227">
        <v>4.3828947976903683E-2</v>
      </c>
      <c r="M1227" t="s">
        <v>23</v>
      </c>
      <c r="N1227">
        <v>0</v>
      </c>
      <c r="O1227">
        <v>0</v>
      </c>
      <c r="P1227" t="s">
        <v>34</v>
      </c>
      <c r="Q1227" t="s">
        <v>33</v>
      </c>
      <c r="R1227" t="s">
        <v>29</v>
      </c>
      <c r="S1227" t="s">
        <v>37</v>
      </c>
      <c r="T1227" t="s">
        <v>35</v>
      </c>
      <c r="U1227">
        <f t="shared" si="19"/>
        <v>1</v>
      </c>
    </row>
    <row r="1228" spans="1:21" x14ac:dyDescent="0.2">
      <c r="A1228">
        <v>762</v>
      </c>
      <c r="B1228" t="s">
        <v>41</v>
      </c>
      <c r="C1228" t="s">
        <v>21</v>
      </c>
      <c r="D1228">
        <v>46</v>
      </c>
      <c r="E1228">
        <v>6</v>
      </c>
      <c r="F1228">
        <v>123571.77</v>
      </c>
      <c r="G1228">
        <v>3</v>
      </c>
      <c r="H1228" t="s">
        <v>23</v>
      </c>
      <c r="I1228" t="s">
        <v>22</v>
      </c>
      <c r="J1228">
        <v>57014.17</v>
      </c>
      <c r="K1228" t="s">
        <v>22</v>
      </c>
      <c r="L1228">
        <v>0.18908638318804619</v>
      </c>
      <c r="M1228" t="s">
        <v>23</v>
      </c>
      <c r="N1228">
        <v>1</v>
      </c>
      <c r="O1228">
        <v>0</v>
      </c>
      <c r="P1228" t="s">
        <v>34</v>
      </c>
      <c r="Q1228" t="s">
        <v>25</v>
      </c>
      <c r="R1228" t="s">
        <v>26</v>
      </c>
      <c r="S1228" t="s">
        <v>37</v>
      </c>
      <c r="T1228" t="s">
        <v>40</v>
      </c>
      <c r="U1228">
        <f t="shared" si="19"/>
        <v>0</v>
      </c>
    </row>
    <row r="1229" spans="1:21" x14ac:dyDescent="0.2">
      <c r="A1229">
        <v>592</v>
      </c>
      <c r="B1229" t="s">
        <v>42</v>
      </c>
      <c r="C1229" t="s">
        <v>21</v>
      </c>
      <c r="D1229">
        <v>71</v>
      </c>
      <c r="E1229">
        <v>4</v>
      </c>
      <c r="F1229">
        <v>0</v>
      </c>
      <c r="G1229">
        <v>2</v>
      </c>
      <c r="H1229" t="s">
        <v>23</v>
      </c>
      <c r="I1229" t="s">
        <v>22</v>
      </c>
      <c r="J1229">
        <v>17013.54</v>
      </c>
      <c r="K1229" t="s">
        <v>23</v>
      </c>
      <c r="L1229">
        <v>0.38312334453393038</v>
      </c>
      <c r="M1229" t="s">
        <v>23</v>
      </c>
      <c r="N1229">
        <v>0</v>
      </c>
      <c r="O1229">
        <v>0</v>
      </c>
      <c r="P1229" t="s">
        <v>24</v>
      </c>
      <c r="Q1229" t="s">
        <v>46</v>
      </c>
      <c r="R1229" t="s">
        <v>29</v>
      </c>
      <c r="S1229" t="s">
        <v>30</v>
      </c>
      <c r="T1229" t="s">
        <v>35</v>
      </c>
      <c r="U1229">
        <f t="shared" si="19"/>
        <v>1</v>
      </c>
    </row>
    <row r="1230" spans="1:21" x14ac:dyDescent="0.2">
      <c r="A1230">
        <v>631</v>
      </c>
      <c r="B1230" t="s">
        <v>41</v>
      </c>
      <c r="C1230" t="s">
        <v>21</v>
      </c>
      <c r="D1230">
        <v>48</v>
      </c>
      <c r="E1230">
        <v>1</v>
      </c>
      <c r="F1230">
        <v>106396.48</v>
      </c>
      <c r="G1230">
        <v>1</v>
      </c>
      <c r="H1230" t="s">
        <v>22</v>
      </c>
      <c r="I1230" t="s">
        <v>22</v>
      </c>
      <c r="J1230">
        <v>150661.42000000001</v>
      </c>
      <c r="K1230" t="s">
        <v>22</v>
      </c>
      <c r="L1230">
        <v>0.28182009793148999</v>
      </c>
      <c r="M1230" t="s">
        <v>23</v>
      </c>
      <c r="N1230">
        <v>1</v>
      </c>
      <c r="O1230">
        <v>0</v>
      </c>
      <c r="P1230" t="s">
        <v>24</v>
      </c>
      <c r="Q1230" t="s">
        <v>25</v>
      </c>
      <c r="R1230" t="s">
        <v>26</v>
      </c>
      <c r="S1230" t="s">
        <v>27</v>
      </c>
      <c r="T1230" t="s">
        <v>31</v>
      </c>
      <c r="U1230">
        <f t="shared" si="19"/>
        <v>0</v>
      </c>
    </row>
    <row r="1231" spans="1:21" x14ac:dyDescent="0.2">
      <c r="A1231">
        <v>850</v>
      </c>
      <c r="B1231" t="s">
        <v>42</v>
      </c>
      <c r="C1231" t="s">
        <v>21</v>
      </c>
      <c r="D1231">
        <v>34</v>
      </c>
      <c r="E1231">
        <v>2</v>
      </c>
      <c r="F1231">
        <v>72079.710000000006</v>
      </c>
      <c r="G1231">
        <v>1</v>
      </c>
      <c r="H1231" t="s">
        <v>22</v>
      </c>
      <c r="I1231" t="s">
        <v>22</v>
      </c>
      <c r="J1231">
        <v>115767.93</v>
      </c>
      <c r="K1231" t="s">
        <v>23</v>
      </c>
      <c r="L1231">
        <v>4.5666879274915077E-2</v>
      </c>
      <c r="M1231" t="s">
        <v>23</v>
      </c>
      <c r="N1231">
        <v>0</v>
      </c>
      <c r="O1231">
        <v>0</v>
      </c>
      <c r="P1231" t="s">
        <v>34</v>
      </c>
      <c r="Q1231" t="s">
        <v>33</v>
      </c>
      <c r="R1231" t="s">
        <v>38</v>
      </c>
      <c r="S1231" t="s">
        <v>39</v>
      </c>
      <c r="T1231" t="s">
        <v>28</v>
      </c>
      <c r="U1231">
        <f t="shared" si="19"/>
        <v>1</v>
      </c>
    </row>
    <row r="1232" spans="1:21" x14ac:dyDescent="0.2">
      <c r="A1232">
        <v>630</v>
      </c>
      <c r="B1232" t="s">
        <v>42</v>
      </c>
      <c r="C1232" t="s">
        <v>32</v>
      </c>
      <c r="D1232">
        <v>28</v>
      </c>
      <c r="E1232">
        <v>1</v>
      </c>
      <c r="F1232">
        <v>0</v>
      </c>
      <c r="G1232">
        <v>2</v>
      </c>
      <c r="H1232" t="s">
        <v>22</v>
      </c>
      <c r="I1232" t="s">
        <v>22</v>
      </c>
      <c r="J1232">
        <v>133267.78</v>
      </c>
      <c r="K1232" t="s">
        <v>23</v>
      </c>
      <c r="L1232">
        <v>4.5448512641899343E-2</v>
      </c>
      <c r="M1232" t="s">
        <v>23</v>
      </c>
      <c r="N1232">
        <v>0</v>
      </c>
      <c r="O1232">
        <v>0</v>
      </c>
      <c r="P1232" t="s">
        <v>34</v>
      </c>
      <c r="Q1232" t="s">
        <v>36</v>
      </c>
      <c r="R1232" t="s">
        <v>29</v>
      </c>
      <c r="S1232" t="s">
        <v>27</v>
      </c>
      <c r="T1232" t="s">
        <v>28</v>
      </c>
      <c r="U1232">
        <f t="shared" si="19"/>
        <v>1</v>
      </c>
    </row>
    <row r="1233" spans="1:21" x14ac:dyDescent="0.2">
      <c r="A1233">
        <v>558</v>
      </c>
      <c r="B1233" t="s">
        <v>42</v>
      </c>
      <c r="C1233" t="s">
        <v>21</v>
      </c>
      <c r="D1233">
        <v>27</v>
      </c>
      <c r="E1233">
        <v>1</v>
      </c>
      <c r="F1233">
        <v>152283.39000000001</v>
      </c>
      <c r="G1233">
        <v>1</v>
      </c>
      <c r="H1233" t="s">
        <v>22</v>
      </c>
      <c r="I1233" t="s">
        <v>23</v>
      </c>
      <c r="J1233">
        <v>183271.15</v>
      </c>
      <c r="K1233" t="s">
        <v>23</v>
      </c>
      <c r="L1233">
        <v>0.11918817020625069</v>
      </c>
      <c r="M1233" t="s">
        <v>23</v>
      </c>
      <c r="N1233">
        <v>0</v>
      </c>
      <c r="O1233">
        <v>0</v>
      </c>
      <c r="P1233" t="s">
        <v>34</v>
      </c>
      <c r="Q1233" t="s">
        <v>36</v>
      </c>
      <c r="R1233" t="s">
        <v>47</v>
      </c>
      <c r="S1233" t="s">
        <v>30</v>
      </c>
      <c r="T1233" t="s">
        <v>31</v>
      </c>
      <c r="U1233">
        <f t="shared" si="19"/>
        <v>1</v>
      </c>
    </row>
    <row r="1234" spans="1:21" x14ac:dyDescent="0.2">
      <c r="A1234">
        <v>682</v>
      </c>
      <c r="B1234" t="s">
        <v>42</v>
      </c>
      <c r="C1234" t="s">
        <v>32</v>
      </c>
      <c r="D1234">
        <v>37</v>
      </c>
      <c r="E1234">
        <v>8</v>
      </c>
      <c r="F1234">
        <v>148580.12</v>
      </c>
      <c r="G1234">
        <v>1</v>
      </c>
      <c r="H1234" t="s">
        <v>22</v>
      </c>
      <c r="I1234" t="s">
        <v>23</v>
      </c>
      <c r="J1234">
        <v>35179.18</v>
      </c>
      <c r="K1234" t="s">
        <v>23</v>
      </c>
      <c r="L1234">
        <v>0.26317124518508339</v>
      </c>
      <c r="M1234" t="s">
        <v>23</v>
      </c>
      <c r="N1234">
        <v>0</v>
      </c>
      <c r="O1234">
        <v>0</v>
      </c>
      <c r="P1234" t="s">
        <v>24</v>
      </c>
      <c r="Q1234" t="s">
        <v>33</v>
      </c>
      <c r="R1234" t="s">
        <v>26</v>
      </c>
      <c r="S1234" t="s">
        <v>27</v>
      </c>
      <c r="T1234" t="s">
        <v>35</v>
      </c>
      <c r="U1234">
        <f t="shared" si="19"/>
        <v>1</v>
      </c>
    </row>
    <row r="1235" spans="1:21" x14ac:dyDescent="0.2">
      <c r="A1235">
        <v>578</v>
      </c>
      <c r="B1235" t="s">
        <v>41</v>
      </c>
      <c r="C1235" t="s">
        <v>21</v>
      </c>
      <c r="D1235">
        <v>37</v>
      </c>
      <c r="E1235">
        <v>1</v>
      </c>
      <c r="F1235">
        <v>135650.88</v>
      </c>
      <c r="G1235">
        <v>1</v>
      </c>
      <c r="H1235" t="s">
        <v>22</v>
      </c>
      <c r="I1235" t="s">
        <v>23</v>
      </c>
      <c r="J1235">
        <v>199428.19</v>
      </c>
      <c r="K1235" t="s">
        <v>23</v>
      </c>
      <c r="L1235">
        <v>0.37291987267067511</v>
      </c>
      <c r="M1235" t="s">
        <v>23</v>
      </c>
      <c r="N1235">
        <v>0</v>
      </c>
      <c r="O1235">
        <v>0</v>
      </c>
      <c r="P1235" t="s">
        <v>24</v>
      </c>
      <c r="Q1235" t="s">
        <v>33</v>
      </c>
      <c r="R1235" t="s">
        <v>26</v>
      </c>
      <c r="S1235" t="s">
        <v>30</v>
      </c>
      <c r="T1235" t="s">
        <v>31</v>
      </c>
      <c r="U1235">
        <f t="shared" si="19"/>
        <v>1</v>
      </c>
    </row>
    <row r="1236" spans="1:21" x14ac:dyDescent="0.2">
      <c r="A1236">
        <v>708</v>
      </c>
      <c r="B1236" t="s">
        <v>20</v>
      </c>
      <c r="C1236" t="s">
        <v>32</v>
      </c>
      <c r="D1236">
        <v>35</v>
      </c>
      <c r="E1236">
        <v>8</v>
      </c>
      <c r="F1236">
        <v>122570.69</v>
      </c>
      <c r="G1236">
        <v>1</v>
      </c>
      <c r="H1236" t="s">
        <v>23</v>
      </c>
      <c r="I1236" t="s">
        <v>23</v>
      </c>
      <c r="J1236">
        <v>199005.88</v>
      </c>
      <c r="K1236" t="s">
        <v>23</v>
      </c>
      <c r="L1236">
        <v>0.2496174093774175</v>
      </c>
      <c r="M1236" t="s">
        <v>23</v>
      </c>
      <c r="N1236">
        <v>0</v>
      </c>
      <c r="O1236">
        <v>0</v>
      </c>
      <c r="P1236" t="s">
        <v>24</v>
      </c>
      <c r="Q1236" t="s">
        <v>33</v>
      </c>
      <c r="R1236" t="s">
        <v>26</v>
      </c>
      <c r="S1236" t="s">
        <v>37</v>
      </c>
      <c r="T1236" t="s">
        <v>31</v>
      </c>
      <c r="U1236">
        <f t="shared" si="19"/>
        <v>1</v>
      </c>
    </row>
    <row r="1237" spans="1:21" x14ac:dyDescent="0.2">
      <c r="A1237">
        <v>445</v>
      </c>
      <c r="B1237" t="s">
        <v>42</v>
      </c>
      <c r="C1237" t="s">
        <v>21</v>
      </c>
      <c r="D1237">
        <v>37</v>
      </c>
      <c r="E1237">
        <v>3</v>
      </c>
      <c r="F1237">
        <v>0</v>
      </c>
      <c r="G1237">
        <v>2</v>
      </c>
      <c r="H1237" t="s">
        <v>22</v>
      </c>
      <c r="I1237" t="s">
        <v>22</v>
      </c>
      <c r="J1237">
        <v>180012.39</v>
      </c>
      <c r="K1237" t="s">
        <v>23</v>
      </c>
      <c r="L1237">
        <v>5.6703802183719253E-2</v>
      </c>
      <c r="M1237" t="s">
        <v>23</v>
      </c>
      <c r="N1237">
        <v>0</v>
      </c>
      <c r="O1237">
        <v>0</v>
      </c>
      <c r="P1237" t="s">
        <v>34</v>
      </c>
      <c r="Q1237" t="s">
        <v>33</v>
      </c>
      <c r="R1237" t="s">
        <v>29</v>
      </c>
      <c r="S1237" t="s">
        <v>45</v>
      </c>
      <c r="T1237" t="s">
        <v>31</v>
      </c>
      <c r="U1237">
        <f t="shared" si="19"/>
        <v>1</v>
      </c>
    </row>
    <row r="1238" spans="1:21" x14ac:dyDescent="0.2">
      <c r="A1238">
        <v>537</v>
      </c>
      <c r="B1238" t="s">
        <v>20</v>
      </c>
      <c r="C1238" t="s">
        <v>32</v>
      </c>
      <c r="D1238">
        <v>33</v>
      </c>
      <c r="E1238">
        <v>7</v>
      </c>
      <c r="F1238">
        <v>136082</v>
      </c>
      <c r="G1238">
        <v>1</v>
      </c>
      <c r="H1238" t="s">
        <v>22</v>
      </c>
      <c r="I1238" t="s">
        <v>23</v>
      </c>
      <c r="J1238">
        <v>62746.54</v>
      </c>
      <c r="K1238" t="s">
        <v>23</v>
      </c>
      <c r="L1238">
        <v>0.23435285090969729</v>
      </c>
      <c r="M1238" t="s">
        <v>23</v>
      </c>
      <c r="N1238">
        <v>0</v>
      </c>
      <c r="O1238">
        <v>0</v>
      </c>
      <c r="P1238" t="s">
        <v>24</v>
      </c>
      <c r="Q1238" t="s">
        <v>33</v>
      </c>
      <c r="R1238" t="s">
        <v>26</v>
      </c>
      <c r="S1238" t="s">
        <v>30</v>
      </c>
      <c r="T1238" t="s">
        <v>40</v>
      </c>
      <c r="U1238">
        <f t="shared" si="19"/>
        <v>1</v>
      </c>
    </row>
    <row r="1239" spans="1:21" x14ac:dyDescent="0.2">
      <c r="A1239">
        <v>511</v>
      </c>
      <c r="B1239" t="s">
        <v>42</v>
      </c>
      <c r="C1239" t="s">
        <v>32</v>
      </c>
      <c r="D1239">
        <v>46</v>
      </c>
      <c r="E1239">
        <v>1</v>
      </c>
      <c r="F1239">
        <v>0</v>
      </c>
      <c r="G1239">
        <v>1</v>
      </c>
      <c r="H1239" t="s">
        <v>22</v>
      </c>
      <c r="I1239" t="s">
        <v>22</v>
      </c>
      <c r="J1239">
        <v>115779.48</v>
      </c>
      <c r="K1239" t="s">
        <v>22</v>
      </c>
      <c r="L1239">
        <v>0.1770342222792165</v>
      </c>
      <c r="M1239" t="s">
        <v>23</v>
      </c>
      <c r="N1239">
        <v>1</v>
      </c>
      <c r="O1239">
        <v>0</v>
      </c>
      <c r="P1239" t="s">
        <v>34</v>
      </c>
      <c r="Q1239" t="s">
        <v>25</v>
      </c>
      <c r="R1239" t="s">
        <v>29</v>
      </c>
      <c r="S1239" t="s">
        <v>30</v>
      </c>
      <c r="T1239" t="s">
        <v>28</v>
      </c>
      <c r="U1239">
        <f t="shared" si="19"/>
        <v>0</v>
      </c>
    </row>
    <row r="1240" spans="1:21" x14ac:dyDescent="0.2">
      <c r="A1240">
        <v>743</v>
      </c>
      <c r="B1240" t="s">
        <v>20</v>
      </c>
      <c r="C1240" t="s">
        <v>21</v>
      </c>
      <c r="D1240">
        <v>43</v>
      </c>
      <c r="E1240">
        <v>2</v>
      </c>
      <c r="F1240">
        <v>161807.18</v>
      </c>
      <c r="G1240">
        <v>2</v>
      </c>
      <c r="H1240" t="s">
        <v>23</v>
      </c>
      <c r="I1240" t="s">
        <v>22</v>
      </c>
      <c r="J1240">
        <v>93228.86</v>
      </c>
      <c r="K1240" t="s">
        <v>22</v>
      </c>
      <c r="L1240">
        <v>0.10787326284511729</v>
      </c>
      <c r="M1240" t="s">
        <v>23</v>
      </c>
      <c r="N1240">
        <v>1</v>
      </c>
      <c r="O1240">
        <v>0</v>
      </c>
      <c r="P1240" t="s">
        <v>34</v>
      </c>
      <c r="Q1240" t="s">
        <v>25</v>
      </c>
      <c r="R1240" t="s">
        <v>47</v>
      </c>
      <c r="S1240" t="s">
        <v>37</v>
      </c>
      <c r="T1240" t="s">
        <v>40</v>
      </c>
      <c r="U1240">
        <f t="shared" si="19"/>
        <v>0</v>
      </c>
    </row>
    <row r="1241" spans="1:21" x14ac:dyDescent="0.2">
      <c r="A1241">
        <v>532</v>
      </c>
      <c r="B1241" t="s">
        <v>41</v>
      </c>
      <c r="C1241" t="s">
        <v>21</v>
      </c>
      <c r="D1241">
        <v>52</v>
      </c>
      <c r="E1241">
        <v>3</v>
      </c>
      <c r="F1241">
        <v>110791.97</v>
      </c>
      <c r="G1241">
        <v>1</v>
      </c>
      <c r="H1241" t="s">
        <v>22</v>
      </c>
      <c r="I1241" t="s">
        <v>23</v>
      </c>
      <c r="J1241">
        <v>148704.76999999999</v>
      </c>
      <c r="K1241" t="s">
        <v>22</v>
      </c>
      <c r="L1241">
        <v>0.62002403371937742</v>
      </c>
      <c r="M1241" t="s">
        <v>22</v>
      </c>
      <c r="N1241">
        <v>1</v>
      </c>
      <c r="O1241">
        <v>1</v>
      </c>
      <c r="P1241" t="s">
        <v>43</v>
      </c>
      <c r="Q1241" t="s">
        <v>44</v>
      </c>
      <c r="R1241" t="s">
        <v>26</v>
      </c>
      <c r="S1241" t="s">
        <v>30</v>
      </c>
      <c r="T1241" t="s">
        <v>28</v>
      </c>
      <c r="U1241">
        <f t="shared" si="19"/>
        <v>1</v>
      </c>
    </row>
    <row r="1242" spans="1:21" x14ac:dyDescent="0.2">
      <c r="A1242">
        <v>554</v>
      </c>
      <c r="B1242" t="s">
        <v>41</v>
      </c>
      <c r="C1242" t="s">
        <v>32</v>
      </c>
      <c r="D1242">
        <v>54</v>
      </c>
      <c r="E1242">
        <v>6</v>
      </c>
      <c r="F1242">
        <v>108755</v>
      </c>
      <c r="G1242">
        <v>1</v>
      </c>
      <c r="H1242" t="s">
        <v>22</v>
      </c>
      <c r="I1242" t="s">
        <v>23</v>
      </c>
      <c r="J1242">
        <v>40914.32</v>
      </c>
      <c r="K1242" t="s">
        <v>22</v>
      </c>
      <c r="L1242">
        <v>0.73980007952736537</v>
      </c>
      <c r="M1242" t="s">
        <v>22</v>
      </c>
      <c r="N1242">
        <v>1</v>
      </c>
      <c r="O1242">
        <v>1</v>
      </c>
      <c r="P1242" t="s">
        <v>43</v>
      </c>
      <c r="Q1242" t="s">
        <v>44</v>
      </c>
      <c r="R1242" t="s">
        <v>26</v>
      </c>
      <c r="S1242" t="s">
        <v>30</v>
      </c>
      <c r="T1242" t="s">
        <v>35</v>
      </c>
      <c r="U1242">
        <f t="shared" si="19"/>
        <v>1</v>
      </c>
    </row>
    <row r="1243" spans="1:21" x14ac:dyDescent="0.2">
      <c r="A1243">
        <v>604</v>
      </c>
      <c r="B1243" t="s">
        <v>20</v>
      </c>
      <c r="C1243" t="s">
        <v>32</v>
      </c>
      <c r="D1243">
        <v>34</v>
      </c>
      <c r="E1243">
        <v>3</v>
      </c>
      <c r="F1243">
        <v>0</v>
      </c>
      <c r="G1243">
        <v>2</v>
      </c>
      <c r="H1243" t="s">
        <v>22</v>
      </c>
      <c r="I1243" t="s">
        <v>23</v>
      </c>
      <c r="J1243">
        <v>38587.699999999997</v>
      </c>
      <c r="K1243" t="s">
        <v>23</v>
      </c>
      <c r="L1243">
        <v>0.1755260072722685</v>
      </c>
      <c r="M1243" t="s">
        <v>23</v>
      </c>
      <c r="N1243">
        <v>0</v>
      </c>
      <c r="O1243">
        <v>0</v>
      </c>
      <c r="P1243" t="s">
        <v>34</v>
      </c>
      <c r="Q1243" t="s">
        <v>33</v>
      </c>
      <c r="R1243" t="s">
        <v>29</v>
      </c>
      <c r="S1243" t="s">
        <v>27</v>
      </c>
      <c r="T1243" t="s">
        <v>35</v>
      </c>
      <c r="U1243">
        <f t="shared" si="19"/>
        <v>1</v>
      </c>
    </row>
    <row r="1244" spans="1:21" x14ac:dyDescent="0.2">
      <c r="A1244">
        <v>850</v>
      </c>
      <c r="B1244" t="s">
        <v>41</v>
      </c>
      <c r="C1244" t="s">
        <v>32</v>
      </c>
      <c r="D1244">
        <v>35</v>
      </c>
      <c r="E1244">
        <v>7</v>
      </c>
      <c r="F1244">
        <v>114285.2</v>
      </c>
      <c r="G1244">
        <v>1</v>
      </c>
      <c r="H1244" t="s">
        <v>23</v>
      </c>
      <c r="I1244" t="s">
        <v>22</v>
      </c>
      <c r="J1244">
        <v>129660.59</v>
      </c>
      <c r="K1244" t="s">
        <v>23</v>
      </c>
      <c r="L1244">
        <v>0.17089117731522391</v>
      </c>
      <c r="M1244" t="s">
        <v>23</v>
      </c>
      <c r="N1244">
        <v>0</v>
      </c>
      <c r="O1244">
        <v>0</v>
      </c>
      <c r="P1244" t="s">
        <v>34</v>
      </c>
      <c r="Q1244" t="s">
        <v>33</v>
      </c>
      <c r="R1244" t="s">
        <v>26</v>
      </c>
      <c r="S1244" t="s">
        <v>39</v>
      </c>
      <c r="T1244" t="s">
        <v>28</v>
      </c>
      <c r="U1244">
        <f t="shared" si="19"/>
        <v>1</v>
      </c>
    </row>
    <row r="1245" spans="1:21" x14ac:dyDescent="0.2">
      <c r="A1245">
        <v>633</v>
      </c>
      <c r="B1245" t="s">
        <v>20</v>
      </c>
      <c r="C1245" t="s">
        <v>21</v>
      </c>
      <c r="D1245">
        <v>63</v>
      </c>
      <c r="E1245">
        <v>4</v>
      </c>
      <c r="F1245">
        <v>114552.6</v>
      </c>
      <c r="G1245">
        <v>1</v>
      </c>
      <c r="H1245" t="s">
        <v>22</v>
      </c>
      <c r="I1245" t="s">
        <v>23</v>
      </c>
      <c r="J1245">
        <v>73856.28</v>
      </c>
      <c r="K1245" t="s">
        <v>22</v>
      </c>
      <c r="L1245">
        <v>0.60628986997875911</v>
      </c>
      <c r="M1245" t="s">
        <v>22</v>
      </c>
      <c r="N1245">
        <v>1</v>
      </c>
      <c r="O1245">
        <v>1</v>
      </c>
      <c r="P1245" t="s">
        <v>43</v>
      </c>
      <c r="Q1245" t="s">
        <v>46</v>
      </c>
      <c r="R1245" t="s">
        <v>26</v>
      </c>
      <c r="S1245" t="s">
        <v>27</v>
      </c>
      <c r="T1245" t="s">
        <v>40</v>
      </c>
      <c r="U1245">
        <f t="shared" si="19"/>
        <v>1</v>
      </c>
    </row>
    <row r="1246" spans="1:21" x14ac:dyDescent="0.2">
      <c r="A1246">
        <v>494</v>
      </c>
      <c r="B1246" t="s">
        <v>42</v>
      </c>
      <c r="C1246" t="s">
        <v>32</v>
      </c>
      <c r="D1246">
        <v>33</v>
      </c>
      <c r="E1246">
        <v>1</v>
      </c>
      <c r="F1246">
        <v>137853</v>
      </c>
      <c r="G1246">
        <v>1</v>
      </c>
      <c r="H1246" t="s">
        <v>23</v>
      </c>
      <c r="I1246" t="s">
        <v>22</v>
      </c>
      <c r="J1246">
        <v>90273.85</v>
      </c>
      <c r="K1246" t="s">
        <v>23</v>
      </c>
      <c r="L1246">
        <v>0.1079857594476336</v>
      </c>
      <c r="M1246" t="s">
        <v>23</v>
      </c>
      <c r="N1246">
        <v>0</v>
      </c>
      <c r="O1246">
        <v>0</v>
      </c>
      <c r="P1246" t="s">
        <v>34</v>
      </c>
      <c r="Q1246" t="s">
        <v>33</v>
      </c>
      <c r="R1246" t="s">
        <v>26</v>
      </c>
      <c r="S1246" t="s">
        <v>45</v>
      </c>
      <c r="T1246" t="s">
        <v>40</v>
      </c>
      <c r="U1246">
        <f t="shared" si="19"/>
        <v>1</v>
      </c>
    </row>
    <row r="1247" spans="1:21" x14ac:dyDescent="0.2">
      <c r="A1247">
        <v>557</v>
      </c>
      <c r="B1247" t="s">
        <v>20</v>
      </c>
      <c r="C1247" t="s">
        <v>21</v>
      </c>
      <c r="D1247">
        <v>42</v>
      </c>
      <c r="E1247">
        <v>4</v>
      </c>
      <c r="F1247">
        <v>0</v>
      </c>
      <c r="G1247">
        <v>2</v>
      </c>
      <c r="H1247" t="s">
        <v>23</v>
      </c>
      <c r="I1247" t="s">
        <v>22</v>
      </c>
      <c r="J1247">
        <v>86642.38</v>
      </c>
      <c r="K1247" t="s">
        <v>23</v>
      </c>
      <c r="L1247">
        <v>7.4433341637813247E-2</v>
      </c>
      <c r="M1247" t="s">
        <v>23</v>
      </c>
      <c r="N1247">
        <v>0</v>
      </c>
      <c r="O1247">
        <v>0</v>
      </c>
      <c r="P1247" t="s">
        <v>34</v>
      </c>
      <c r="Q1247" t="s">
        <v>25</v>
      </c>
      <c r="R1247" t="s">
        <v>29</v>
      </c>
      <c r="S1247" t="s">
        <v>30</v>
      </c>
      <c r="T1247" t="s">
        <v>40</v>
      </c>
      <c r="U1247">
        <f t="shared" si="19"/>
        <v>1</v>
      </c>
    </row>
    <row r="1248" spans="1:21" x14ac:dyDescent="0.2">
      <c r="A1248">
        <v>726</v>
      </c>
      <c r="B1248" t="s">
        <v>41</v>
      </c>
      <c r="C1248" t="s">
        <v>32</v>
      </c>
      <c r="D1248">
        <v>33</v>
      </c>
      <c r="E1248">
        <v>7</v>
      </c>
      <c r="F1248">
        <v>99046.31</v>
      </c>
      <c r="G1248">
        <v>2</v>
      </c>
      <c r="H1248" t="s">
        <v>22</v>
      </c>
      <c r="I1248" t="s">
        <v>22</v>
      </c>
      <c r="J1248">
        <v>56053.06</v>
      </c>
      <c r="K1248" t="s">
        <v>23</v>
      </c>
      <c r="L1248">
        <v>0.1349404673871652</v>
      </c>
      <c r="M1248" t="s">
        <v>23</v>
      </c>
      <c r="N1248">
        <v>0</v>
      </c>
      <c r="O1248">
        <v>0</v>
      </c>
      <c r="P1248" t="s">
        <v>34</v>
      </c>
      <c r="Q1248" t="s">
        <v>33</v>
      </c>
      <c r="R1248" t="s">
        <v>38</v>
      </c>
      <c r="S1248" t="s">
        <v>37</v>
      </c>
      <c r="T1248" t="s">
        <v>40</v>
      </c>
      <c r="U1248">
        <f t="shared" si="19"/>
        <v>1</v>
      </c>
    </row>
    <row r="1249" spans="1:21" x14ac:dyDescent="0.2">
      <c r="A1249">
        <v>844</v>
      </c>
      <c r="B1249" t="s">
        <v>42</v>
      </c>
      <c r="C1249" t="s">
        <v>32</v>
      </c>
      <c r="D1249">
        <v>41</v>
      </c>
      <c r="E1249">
        <v>10</v>
      </c>
      <c r="F1249">
        <v>76319.64</v>
      </c>
      <c r="G1249">
        <v>1</v>
      </c>
      <c r="H1249" t="s">
        <v>22</v>
      </c>
      <c r="I1249" t="s">
        <v>22</v>
      </c>
      <c r="J1249">
        <v>141175.18</v>
      </c>
      <c r="K1249" t="s">
        <v>22</v>
      </c>
      <c r="L1249">
        <v>0.1087901763593451</v>
      </c>
      <c r="M1249" t="s">
        <v>23</v>
      </c>
      <c r="N1249">
        <v>1</v>
      </c>
      <c r="O1249">
        <v>0</v>
      </c>
      <c r="P1249" t="s">
        <v>34</v>
      </c>
      <c r="Q1249" t="s">
        <v>25</v>
      </c>
      <c r="R1249" t="s">
        <v>38</v>
      </c>
      <c r="S1249" t="s">
        <v>39</v>
      </c>
      <c r="T1249" t="s">
        <v>28</v>
      </c>
      <c r="U1249">
        <f t="shared" si="19"/>
        <v>0</v>
      </c>
    </row>
    <row r="1250" spans="1:21" x14ac:dyDescent="0.2">
      <c r="A1250">
        <v>450</v>
      </c>
      <c r="B1250" t="s">
        <v>42</v>
      </c>
      <c r="C1250" t="s">
        <v>21</v>
      </c>
      <c r="D1250">
        <v>29</v>
      </c>
      <c r="E1250">
        <v>7</v>
      </c>
      <c r="F1250">
        <v>117199.8</v>
      </c>
      <c r="G1250">
        <v>1</v>
      </c>
      <c r="H1250" t="s">
        <v>22</v>
      </c>
      <c r="I1250" t="s">
        <v>22</v>
      </c>
      <c r="J1250">
        <v>43480.63</v>
      </c>
      <c r="K1250" t="s">
        <v>23</v>
      </c>
      <c r="L1250">
        <v>4.0890222433309642E-2</v>
      </c>
      <c r="M1250" t="s">
        <v>23</v>
      </c>
      <c r="N1250">
        <v>0</v>
      </c>
      <c r="O1250">
        <v>0</v>
      </c>
      <c r="P1250" t="s">
        <v>34</v>
      </c>
      <c r="Q1250" t="s">
        <v>36</v>
      </c>
      <c r="R1250" t="s">
        <v>26</v>
      </c>
      <c r="S1250" t="s">
        <v>45</v>
      </c>
      <c r="T1250" t="s">
        <v>35</v>
      </c>
      <c r="U1250">
        <f t="shared" si="19"/>
        <v>1</v>
      </c>
    </row>
    <row r="1251" spans="1:21" x14ac:dyDescent="0.2">
      <c r="A1251">
        <v>738</v>
      </c>
      <c r="B1251" t="s">
        <v>41</v>
      </c>
      <c r="C1251" t="s">
        <v>32</v>
      </c>
      <c r="D1251">
        <v>57</v>
      </c>
      <c r="E1251">
        <v>9</v>
      </c>
      <c r="F1251">
        <v>148384.64000000001</v>
      </c>
      <c r="G1251">
        <v>1</v>
      </c>
      <c r="H1251" t="s">
        <v>23</v>
      </c>
      <c r="I1251" t="s">
        <v>23</v>
      </c>
      <c r="J1251">
        <v>155047.10999999999</v>
      </c>
      <c r="K1251" t="s">
        <v>22</v>
      </c>
      <c r="L1251">
        <v>0.78226890346579647</v>
      </c>
      <c r="M1251" t="s">
        <v>22</v>
      </c>
      <c r="N1251">
        <v>1</v>
      </c>
      <c r="O1251">
        <v>1</v>
      </c>
      <c r="P1251" t="s">
        <v>43</v>
      </c>
      <c r="Q1251" t="s">
        <v>44</v>
      </c>
      <c r="R1251" t="s">
        <v>26</v>
      </c>
      <c r="S1251" t="s">
        <v>37</v>
      </c>
      <c r="T1251" t="s">
        <v>31</v>
      </c>
      <c r="U1251">
        <f t="shared" si="19"/>
        <v>1</v>
      </c>
    </row>
    <row r="1252" spans="1:21" x14ac:dyDescent="0.2">
      <c r="A1252">
        <v>735</v>
      </c>
      <c r="B1252" t="s">
        <v>42</v>
      </c>
      <c r="C1252" t="s">
        <v>21</v>
      </c>
      <c r="D1252">
        <v>50</v>
      </c>
      <c r="E1252">
        <v>2</v>
      </c>
      <c r="F1252">
        <v>0</v>
      </c>
      <c r="G1252">
        <v>2</v>
      </c>
      <c r="H1252" t="s">
        <v>23</v>
      </c>
      <c r="I1252" t="s">
        <v>22</v>
      </c>
      <c r="J1252">
        <v>147075.69</v>
      </c>
      <c r="K1252" t="s">
        <v>23</v>
      </c>
      <c r="L1252">
        <v>0.11744731997278191</v>
      </c>
      <c r="M1252" t="s">
        <v>23</v>
      </c>
      <c r="N1252">
        <v>0</v>
      </c>
      <c r="O1252">
        <v>0</v>
      </c>
      <c r="P1252" t="s">
        <v>34</v>
      </c>
      <c r="Q1252" t="s">
        <v>25</v>
      </c>
      <c r="R1252" t="s">
        <v>29</v>
      </c>
      <c r="S1252" t="s">
        <v>37</v>
      </c>
      <c r="T1252" t="s">
        <v>28</v>
      </c>
      <c r="U1252">
        <f t="shared" si="19"/>
        <v>1</v>
      </c>
    </row>
    <row r="1253" spans="1:21" x14ac:dyDescent="0.2">
      <c r="A1253">
        <v>536</v>
      </c>
      <c r="B1253" t="s">
        <v>41</v>
      </c>
      <c r="C1253" t="s">
        <v>32</v>
      </c>
      <c r="D1253">
        <v>35</v>
      </c>
      <c r="E1253">
        <v>4</v>
      </c>
      <c r="F1253">
        <v>121520.36</v>
      </c>
      <c r="G1253">
        <v>1</v>
      </c>
      <c r="H1253" t="s">
        <v>23</v>
      </c>
      <c r="I1253" t="s">
        <v>23</v>
      </c>
      <c r="J1253">
        <v>77178.42</v>
      </c>
      <c r="K1253" t="s">
        <v>23</v>
      </c>
      <c r="L1253">
        <v>0.44440220264399038</v>
      </c>
      <c r="M1253" t="s">
        <v>23</v>
      </c>
      <c r="N1253">
        <v>0</v>
      </c>
      <c r="O1253">
        <v>0</v>
      </c>
      <c r="P1253" t="s">
        <v>24</v>
      </c>
      <c r="Q1253" t="s">
        <v>33</v>
      </c>
      <c r="R1253" t="s">
        <v>26</v>
      </c>
      <c r="S1253" t="s">
        <v>30</v>
      </c>
      <c r="T1253" t="s">
        <v>40</v>
      </c>
      <c r="U1253">
        <f t="shared" si="19"/>
        <v>1</v>
      </c>
    </row>
    <row r="1254" spans="1:21" x14ac:dyDescent="0.2">
      <c r="A1254">
        <v>730</v>
      </c>
      <c r="B1254" t="s">
        <v>20</v>
      </c>
      <c r="C1254" t="s">
        <v>32</v>
      </c>
      <c r="D1254">
        <v>43</v>
      </c>
      <c r="E1254">
        <v>1</v>
      </c>
      <c r="F1254">
        <v>103960.38</v>
      </c>
      <c r="G1254">
        <v>1</v>
      </c>
      <c r="H1254" t="s">
        <v>22</v>
      </c>
      <c r="I1254" t="s">
        <v>22</v>
      </c>
      <c r="J1254">
        <v>193650.16</v>
      </c>
      <c r="K1254" t="s">
        <v>23</v>
      </c>
      <c r="L1254">
        <v>0.17382801809315601</v>
      </c>
      <c r="M1254" t="s">
        <v>23</v>
      </c>
      <c r="N1254">
        <v>0</v>
      </c>
      <c r="O1254">
        <v>0</v>
      </c>
      <c r="P1254" t="s">
        <v>34</v>
      </c>
      <c r="Q1254" t="s">
        <v>25</v>
      </c>
      <c r="R1254" t="s">
        <v>26</v>
      </c>
      <c r="S1254" t="s">
        <v>37</v>
      </c>
      <c r="T1254" t="s">
        <v>31</v>
      </c>
      <c r="U1254">
        <f t="shared" si="19"/>
        <v>1</v>
      </c>
    </row>
    <row r="1255" spans="1:21" x14ac:dyDescent="0.2">
      <c r="A1255">
        <v>627</v>
      </c>
      <c r="B1255" t="s">
        <v>20</v>
      </c>
      <c r="C1255" t="s">
        <v>32</v>
      </c>
      <c r="D1255">
        <v>55</v>
      </c>
      <c r="E1255">
        <v>6</v>
      </c>
      <c r="F1255">
        <v>0</v>
      </c>
      <c r="G1255">
        <v>1</v>
      </c>
      <c r="H1255" t="s">
        <v>23</v>
      </c>
      <c r="I1255" t="s">
        <v>23</v>
      </c>
      <c r="J1255">
        <v>91943.94</v>
      </c>
      <c r="K1255" t="s">
        <v>22</v>
      </c>
      <c r="L1255">
        <v>0.52430257021221505</v>
      </c>
      <c r="M1255" t="s">
        <v>22</v>
      </c>
      <c r="N1255">
        <v>1</v>
      </c>
      <c r="O1255">
        <v>1</v>
      </c>
      <c r="P1255" t="s">
        <v>43</v>
      </c>
      <c r="Q1255" t="s">
        <v>44</v>
      </c>
      <c r="R1255" t="s">
        <v>29</v>
      </c>
      <c r="S1255" t="s">
        <v>27</v>
      </c>
      <c r="T1255" t="s">
        <v>40</v>
      </c>
      <c r="U1255">
        <f t="shared" si="19"/>
        <v>1</v>
      </c>
    </row>
    <row r="1256" spans="1:21" x14ac:dyDescent="0.2">
      <c r="A1256">
        <v>647</v>
      </c>
      <c r="B1256" t="s">
        <v>42</v>
      </c>
      <c r="C1256" t="s">
        <v>21</v>
      </c>
      <c r="D1256">
        <v>43</v>
      </c>
      <c r="E1256">
        <v>9</v>
      </c>
      <c r="F1256">
        <v>0</v>
      </c>
      <c r="G1256">
        <v>2</v>
      </c>
      <c r="H1256" t="s">
        <v>22</v>
      </c>
      <c r="I1256" t="s">
        <v>22</v>
      </c>
      <c r="J1256">
        <v>78488.39</v>
      </c>
      <c r="K1256" t="s">
        <v>23</v>
      </c>
      <c r="L1256">
        <v>6.39865654388109E-2</v>
      </c>
      <c r="M1256" t="s">
        <v>23</v>
      </c>
      <c r="N1256">
        <v>0</v>
      </c>
      <c r="O1256">
        <v>0</v>
      </c>
      <c r="P1256" t="s">
        <v>34</v>
      </c>
      <c r="Q1256" t="s">
        <v>25</v>
      </c>
      <c r="R1256" t="s">
        <v>29</v>
      </c>
      <c r="S1256" t="s">
        <v>27</v>
      </c>
      <c r="T1256" t="s">
        <v>40</v>
      </c>
      <c r="U1256">
        <f t="shared" si="19"/>
        <v>1</v>
      </c>
    </row>
    <row r="1257" spans="1:21" x14ac:dyDescent="0.2">
      <c r="A1257">
        <v>416</v>
      </c>
      <c r="B1257" t="s">
        <v>41</v>
      </c>
      <c r="C1257" t="s">
        <v>32</v>
      </c>
      <c r="D1257">
        <v>25</v>
      </c>
      <c r="E1257">
        <v>0</v>
      </c>
      <c r="F1257">
        <v>97738.97</v>
      </c>
      <c r="G1257">
        <v>2</v>
      </c>
      <c r="H1257" t="s">
        <v>22</v>
      </c>
      <c r="I1257" t="s">
        <v>22</v>
      </c>
      <c r="J1257">
        <v>160523.32999999999</v>
      </c>
      <c r="K1257" t="s">
        <v>23</v>
      </c>
      <c r="L1257">
        <v>0.1148922860394672</v>
      </c>
      <c r="M1257" t="s">
        <v>23</v>
      </c>
      <c r="N1257">
        <v>0</v>
      </c>
      <c r="O1257">
        <v>0</v>
      </c>
      <c r="P1257" t="s">
        <v>34</v>
      </c>
      <c r="Q1257" t="s">
        <v>36</v>
      </c>
      <c r="R1257" t="s">
        <v>38</v>
      </c>
      <c r="S1257" t="s">
        <v>45</v>
      </c>
      <c r="T1257" t="s">
        <v>31</v>
      </c>
      <c r="U1257">
        <f t="shared" si="19"/>
        <v>1</v>
      </c>
    </row>
    <row r="1258" spans="1:21" x14ac:dyDescent="0.2">
      <c r="A1258">
        <v>678</v>
      </c>
      <c r="B1258" t="s">
        <v>20</v>
      </c>
      <c r="C1258" t="s">
        <v>32</v>
      </c>
      <c r="D1258">
        <v>40</v>
      </c>
      <c r="E1258">
        <v>4</v>
      </c>
      <c r="F1258">
        <v>113794.22</v>
      </c>
      <c r="G1258">
        <v>1</v>
      </c>
      <c r="H1258" t="s">
        <v>22</v>
      </c>
      <c r="I1258" t="s">
        <v>23</v>
      </c>
      <c r="J1258">
        <v>16618.759999999998</v>
      </c>
      <c r="K1258" t="s">
        <v>23</v>
      </c>
      <c r="L1258">
        <v>0.31264793199609392</v>
      </c>
      <c r="M1258" t="s">
        <v>23</v>
      </c>
      <c r="N1258">
        <v>0</v>
      </c>
      <c r="O1258">
        <v>0</v>
      </c>
      <c r="P1258" t="s">
        <v>24</v>
      </c>
      <c r="Q1258" t="s">
        <v>33</v>
      </c>
      <c r="R1258" t="s">
        <v>26</v>
      </c>
      <c r="S1258" t="s">
        <v>27</v>
      </c>
      <c r="T1258" t="s">
        <v>35</v>
      </c>
      <c r="U1258">
        <f t="shared" si="19"/>
        <v>1</v>
      </c>
    </row>
    <row r="1259" spans="1:21" x14ac:dyDescent="0.2">
      <c r="A1259">
        <v>743</v>
      </c>
      <c r="B1259" t="s">
        <v>20</v>
      </c>
      <c r="C1259" t="s">
        <v>32</v>
      </c>
      <c r="D1259">
        <v>48</v>
      </c>
      <c r="E1259">
        <v>5</v>
      </c>
      <c r="F1259">
        <v>118207.69</v>
      </c>
      <c r="G1259">
        <v>2</v>
      </c>
      <c r="H1259" t="s">
        <v>23</v>
      </c>
      <c r="I1259" t="s">
        <v>23</v>
      </c>
      <c r="J1259">
        <v>186489.14</v>
      </c>
      <c r="K1259" t="s">
        <v>22</v>
      </c>
      <c r="L1259">
        <v>0.44385451981040608</v>
      </c>
      <c r="M1259" t="s">
        <v>23</v>
      </c>
      <c r="N1259">
        <v>1</v>
      </c>
      <c r="O1259">
        <v>0</v>
      </c>
      <c r="P1259" t="s">
        <v>24</v>
      </c>
      <c r="Q1259" t="s">
        <v>25</v>
      </c>
      <c r="R1259" t="s">
        <v>26</v>
      </c>
      <c r="S1259" t="s">
        <v>37</v>
      </c>
      <c r="T1259" t="s">
        <v>31</v>
      </c>
      <c r="U1259">
        <f t="shared" si="19"/>
        <v>0</v>
      </c>
    </row>
    <row r="1260" spans="1:21" x14ac:dyDescent="0.2">
      <c r="A1260">
        <v>683</v>
      </c>
      <c r="B1260" t="s">
        <v>41</v>
      </c>
      <c r="C1260" t="s">
        <v>21</v>
      </c>
      <c r="D1260">
        <v>73</v>
      </c>
      <c r="E1260">
        <v>9</v>
      </c>
      <c r="F1260">
        <v>124730.26</v>
      </c>
      <c r="G1260">
        <v>1</v>
      </c>
      <c r="H1260" t="s">
        <v>22</v>
      </c>
      <c r="I1260" t="s">
        <v>22</v>
      </c>
      <c r="J1260">
        <v>51999.5</v>
      </c>
      <c r="K1260" t="s">
        <v>23</v>
      </c>
      <c r="L1260">
        <v>0.67092963990825127</v>
      </c>
      <c r="M1260" t="s">
        <v>22</v>
      </c>
      <c r="N1260">
        <v>0</v>
      </c>
      <c r="O1260">
        <v>1</v>
      </c>
      <c r="P1260" t="s">
        <v>43</v>
      </c>
      <c r="Q1260" t="s">
        <v>46</v>
      </c>
      <c r="R1260" t="s">
        <v>26</v>
      </c>
      <c r="S1260" t="s">
        <v>27</v>
      </c>
      <c r="T1260" t="s">
        <v>40</v>
      </c>
      <c r="U1260">
        <f t="shared" si="19"/>
        <v>0</v>
      </c>
    </row>
    <row r="1261" spans="1:21" x14ac:dyDescent="0.2">
      <c r="A1261">
        <v>663</v>
      </c>
      <c r="B1261" t="s">
        <v>20</v>
      </c>
      <c r="C1261" t="s">
        <v>21</v>
      </c>
      <c r="D1261">
        <v>52</v>
      </c>
      <c r="E1261">
        <v>0</v>
      </c>
      <c r="F1261">
        <v>136298.65</v>
      </c>
      <c r="G1261">
        <v>1</v>
      </c>
      <c r="H1261" t="s">
        <v>22</v>
      </c>
      <c r="I1261" t="s">
        <v>23</v>
      </c>
      <c r="J1261">
        <v>144593.29999999999</v>
      </c>
      <c r="K1261" t="s">
        <v>22</v>
      </c>
      <c r="L1261">
        <v>0.44327939207213612</v>
      </c>
      <c r="M1261" t="s">
        <v>23</v>
      </c>
      <c r="N1261">
        <v>1</v>
      </c>
      <c r="O1261">
        <v>0</v>
      </c>
      <c r="P1261" t="s">
        <v>24</v>
      </c>
      <c r="Q1261" t="s">
        <v>44</v>
      </c>
      <c r="R1261" t="s">
        <v>26</v>
      </c>
      <c r="S1261" t="s">
        <v>27</v>
      </c>
      <c r="T1261" t="s">
        <v>28</v>
      </c>
      <c r="U1261">
        <f t="shared" si="19"/>
        <v>0</v>
      </c>
    </row>
    <row r="1262" spans="1:21" x14ac:dyDescent="0.2">
      <c r="A1262">
        <v>503</v>
      </c>
      <c r="B1262" t="s">
        <v>42</v>
      </c>
      <c r="C1262" t="s">
        <v>21</v>
      </c>
      <c r="D1262">
        <v>38</v>
      </c>
      <c r="E1262">
        <v>1</v>
      </c>
      <c r="F1262">
        <v>0</v>
      </c>
      <c r="G1262">
        <v>2</v>
      </c>
      <c r="H1262" t="s">
        <v>22</v>
      </c>
      <c r="I1262" t="s">
        <v>22</v>
      </c>
      <c r="J1262">
        <v>95153.24</v>
      </c>
      <c r="K1262" t="s">
        <v>23</v>
      </c>
      <c r="L1262">
        <v>5.8107200620203282E-2</v>
      </c>
      <c r="M1262" t="s">
        <v>23</v>
      </c>
      <c r="N1262">
        <v>0</v>
      </c>
      <c r="O1262">
        <v>0</v>
      </c>
      <c r="P1262" t="s">
        <v>34</v>
      </c>
      <c r="Q1262" t="s">
        <v>33</v>
      </c>
      <c r="R1262" t="s">
        <v>29</v>
      </c>
      <c r="S1262" t="s">
        <v>30</v>
      </c>
      <c r="T1262" t="s">
        <v>40</v>
      </c>
      <c r="U1262">
        <f t="shared" si="19"/>
        <v>1</v>
      </c>
    </row>
    <row r="1263" spans="1:21" x14ac:dyDescent="0.2">
      <c r="A1263">
        <v>692</v>
      </c>
      <c r="B1263" t="s">
        <v>42</v>
      </c>
      <c r="C1263" t="s">
        <v>21</v>
      </c>
      <c r="D1263">
        <v>33</v>
      </c>
      <c r="E1263">
        <v>9</v>
      </c>
      <c r="F1263">
        <v>0</v>
      </c>
      <c r="G1263">
        <v>1</v>
      </c>
      <c r="H1263" t="s">
        <v>22</v>
      </c>
      <c r="I1263" t="s">
        <v>23</v>
      </c>
      <c r="J1263">
        <v>113505.93</v>
      </c>
      <c r="K1263" t="s">
        <v>22</v>
      </c>
      <c r="L1263">
        <v>9.6130908721970901E-2</v>
      </c>
      <c r="M1263" t="s">
        <v>23</v>
      </c>
      <c r="N1263">
        <v>1</v>
      </c>
      <c r="O1263">
        <v>0</v>
      </c>
      <c r="P1263" t="s">
        <v>34</v>
      </c>
      <c r="Q1263" t="s">
        <v>33</v>
      </c>
      <c r="R1263" t="s">
        <v>29</v>
      </c>
      <c r="S1263" t="s">
        <v>27</v>
      </c>
      <c r="T1263" t="s">
        <v>28</v>
      </c>
      <c r="U1263">
        <f t="shared" si="19"/>
        <v>0</v>
      </c>
    </row>
    <row r="1264" spans="1:21" x14ac:dyDescent="0.2">
      <c r="A1264">
        <v>679</v>
      </c>
      <c r="B1264" t="s">
        <v>42</v>
      </c>
      <c r="C1264" t="s">
        <v>21</v>
      </c>
      <c r="D1264">
        <v>37</v>
      </c>
      <c r="E1264">
        <v>7</v>
      </c>
      <c r="F1264">
        <v>74260.03</v>
      </c>
      <c r="G1264">
        <v>1</v>
      </c>
      <c r="H1264" t="s">
        <v>22</v>
      </c>
      <c r="I1264" t="s">
        <v>23</v>
      </c>
      <c r="J1264">
        <v>194617.98</v>
      </c>
      <c r="K1264" t="s">
        <v>23</v>
      </c>
      <c r="L1264">
        <v>0.1599528484090838</v>
      </c>
      <c r="M1264" t="s">
        <v>23</v>
      </c>
      <c r="N1264">
        <v>0</v>
      </c>
      <c r="O1264">
        <v>0</v>
      </c>
      <c r="P1264" t="s">
        <v>34</v>
      </c>
      <c r="Q1264" t="s">
        <v>33</v>
      </c>
      <c r="R1264" t="s">
        <v>38</v>
      </c>
      <c r="S1264" t="s">
        <v>27</v>
      </c>
      <c r="T1264" t="s">
        <v>31</v>
      </c>
      <c r="U1264">
        <f t="shared" si="19"/>
        <v>1</v>
      </c>
    </row>
    <row r="1265" spans="1:21" x14ac:dyDescent="0.2">
      <c r="A1265">
        <v>594</v>
      </c>
      <c r="B1265" t="s">
        <v>42</v>
      </c>
      <c r="C1265" t="s">
        <v>21</v>
      </c>
      <c r="D1265">
        <v>36</v>
      </c>
      <c r="E1265">
        <v>6</v>
      </c>
      <c r="F1265">
        <v>153880.15</v>
      </c>
      <c r="G1265">
        <v>1</v>
      </c>
      <c r="H1265" t="s">
        <v>23</v>
      </c>
      <c r="I1265" t="s">
        <v>23</v>
      </c>
      <c r="J1265">
        <v>135431.72</v>
      </c>
      <c r="K1265" t="s">
        <v>23</v>
      </c>
      <c r="L1265">
        <v>0.1902360034898487</v>
      </c>
      <c r="M1265" t="s">
        <v>23</v>
      </c>
      <c r="N1265">
        <v>0</v>
      </c>
      <c r="O1265">
        <v>0</v>
      </c>
      <c r="P1265" t="s">
        <v>34</v>
      </c>
      <c r="Q1265" t="s">
        <v>33</v>
      </c>
      <c r="R1265" t="s">
        <v>47</v>
      </c>
      <c r="S1265" t="s">
        <v>30</v>
      </c>
      <c r="T1265" t="s">
        <v>28</v>
      </c>
      <c r="U1265">
        <f t="shared" si="19"/>
        <v>1</v>
      </c>
    </row>
    <row r="1266" spans="1:21" x14ac:dyDescent="0.2">
      <c r="A1266">
        <v>611</v>
      </c>
      <c r="B1266" t="s">
        <v>20</v>
      </c>
      <c r="C1266" t="s">
        <v>32</v>
      </c>
      <c r="D1266">
        <v>28</v>
      </c>
      <c r="E1266">
        <v>3</v>
      </c>
      <c r="F1266">
        <v>96381.68</v>
      </c>
      <c r="G1266">
        <v>2</v>
      </c>
      <c r="H1266" t="s">
        <v>22</v>
      </c>
      <c r="I1266" t="s">
        <v>23</v>
      </c>
      <c r="J1266">
        <v>181419.29</v>
      </c>
      <c r="K1266" t="s">
        <v>23</v>
      </c>
      <c r="L1266">
        <v>0.15895127845322141</v>
      </c>
      <c r="M1266" t="s">
        <v>23</v>
      </c>
      <c r="N1266">
        <v>0</v>
      </c>
      <c r="O1266">
        <v>0</v>
      </c>
      <c r="P1266" t="s">
        <v>34</v>
      </c>
      <c r="Q1266" t="s">
        <v>36</v>
      </c>
      <c r="R1266" t="s">
        <v>38</v>
      </c>
      <c r="S1266" t="s">
        <v>27</v>
      </c>
      <c r="T1266" t="s">
        <v>31</v>
      </c>
      <c r="U1266">
        <f t="shared" si="19"/>
        <v>1</v>
      </c>
    </row>
    <row r="1267" spans="1:21" x14ac:dyDescent="0.2">
      <c r="A1267">
        <v>741</v>
      </c>
      <c r="B1267" t="s">
        <v>41</v>
      </c>
      <c r="C1267" t="s">
        <v>32</v>
      </c>
      <c r="D1267">
        <v>36</v>
      </c>
      <c r="E1267">
        <v>0</v>
      </c>
      <c r="F1267">
        <v>127675.39</v>
      </c>
      <c r="G1267">
        <v>2</v>
      </c>
      <c r="H1267" t="s">
        <v>22</v>
      </c>
      <c r="I1267" t="s">
        <v>23</v>
      </c>
      <c r="J1267">
        <v>74260.160000000003</v>
      </c>
      <c r="K1267" t="s">
        <v>23</v>
      </c>
      <c r="L1267">
        <v>0.41736437000673138</v>
      </c>
      <c r="M1267" t="s">
        <v>23</v>
      </c>
      <c r="N1267">
        <v>0</v>
      </c>
      <c r="O1267">
        <v>0</v>
      </c>
      <c r="P1267" t="s">
        <v>24</v>
      </c>
      <c r="Q1267" t="s">
        <v>33</v>
      </c>
      <c r="R1267" t="s">
        <v>26</v>
      </c>
      <c r="S1267" t="s">
        <v>37</v>
      </c>
      <c r="T1267" t="s">
        <v>40</v>
      </c>
      <c r="U1267">
        <f t="shared" si="19"/>
        <v>1</v>
      </c>
    </row>
    <row r="1268" spans="1:21" x14ac:dyDescent="0.2">
      <c r="A1268">
        <v>676</v>
      </c>
      <c r="B1268" t="s">
        <v>20</v>
      </c>
      <c r="C1268" t="s">
        <v>32</v>
      </c>
      <c r="D1268">
        <v>30</v>
      </c>
      <c r="E1268">
        <v>5</v>
      </c>
      <c r="F1268">
        <v>0</v>
      </c>
      <c r="G1268">
        <v>2</v>
      </c>
      <c r="H1268" t="s">
        <v>23</v>
      </c>
      <c r="I1268" t="s">
        <v>23</v>
      </c>
      <c r="J1268">
        <v>179066.58</v>
      </c>
      <c r="K1268" t="s">
        <v>23</v>
      </c>
      <c r="L1268">
        <v>0.13924850253209339</v>
      </c>
      <c r="M1268" t="s">
        <v>23</v>
      </c>
      <c r="N1268">
        <v>0</v>
      </c>
      <c r="O1268">
        <v>0</v>
      </c>
      <c r="P1268" t="s">
        <v>34</v>
      </c>
      <c r="Q1268" t="s">
        <v>36</v>
      </c>
      <c r="R1268" t="s">
        <v>29</v>
      </c>
      <c r="S1268" t="s">
        <v>27</v>
      </c>
      <c r="T1268" t="s">
        <v>31</v>
      </c>
      <c r="U1268">
        <f t="shared" si="19"/>
        <v>1</v>
      </c>
    </row>
    <row r="1269" spans="1:21" x14ac:dyDescent="0.2">
      <c r="A1269">
        <v>729</v>
      </c>
      <c r="B1269" t="s">
        <v>20</v>
      </c>
      <c r="C1269" t="s">
        <v>21</v>
      </c>
      <c r="D1269">
        <v>44</v>
      </c>
      <c r="E1269">
        <v>4</v>
      </c>
      <c r="F1269">
        <v>107726.93</v>
      </c>
      <c r="G1269">
        <v>2</v>
      </c>
      <c r="H1269" t="s">
        <v>22</v>
      </c>
      <c r="I1269" t="s">
        <v>23</v>
      </c>
      <c r="J1269">
        <v>153064.87</v>
      </c>
      <c r="K1269" t="s">
        <v>23</v>
      </c>
      <c r="L1269">
        <v>0.24646117501536441</v>
      </c>
      <c r="M1269" t="s">
        <v>23</v>
      </c>
      <c r="N1269">
        <v>0</v>
      </c>
      <c r="O1269">
        <v>0</v>
      </c>
      <c r="P1269" t="s">
        <v>24</v>
      </c>
      <c r="Q1269" t="s">
        <v>25</v>
      </c>
      <c r="R1269" t="s">
        <v>26</v>
      </c>
      <c r="S1269" t="s">
        <v>37</v>
      </c>
      <c r="T1269" t="s">
        <v>31</v>
      </c>
      <c r="U1269">
        <f t="shared" si="19"/>
        <v>1</v>
      </c>
    </row>
    <row r="1270" spans="1:21" x14ac:dyDescent="0.2">
      <c r="A1270">
        <v>683</v>
      </c>
      <c r="B1270" t="s">
        <v>42</v>
      </c>
      <c r="C1270" t="s">
        <v>32</v>
      </c>
      <c r="D1270">
        <v>33</v>
      </c>
      <c r="E1270">
        <v>9</v>
      </c>
      <c r="F1270">
        <v>0</v>
      </c>
      <c r="G1270">
        <v>2</v>
      </c>
      <c r="H1270" t="s">
        <v>22</v>
      </c>
      <c r="I1270" t="s">
        <v>22</v>
      </c>
      <c r="J1270">
        <v>38784.42</v>
      </c>
      <c r="K1270" t="s">
        <v>23</v>
      </c>
      <c r="L1270">
        <v>5.1049926840407697E-2</v>
      </c>
      <c r="M1270" t="s">
        <v>23</v>
      </c>
      <c r="N1270">
        <v>0</v>
      </c>
      <c r="O1270">
        <v>0</v>
      </c>
      <c r="P1270" t="s">
        <v>34</v>
      </c>
      <c r="Q1270" t="s">
        <v>33</v>
      </c>
      <c r="R1270" t="s">
        <v>29</v>
      </c>
      <c r="S1270" t="s">
        <v>27</v>
      </c>
      <c r="T1270" t="s">
        <v>35</v>
      </c>
      <c r="U1270">
        <f t="shared" si="19"/>
        <v>1</v>
      </c>
    </row>
    <row r="1271" spans="1:21" x14ac:dyDescent="0.2">
      <c r="A1271">
        <v>689</v>
      </c>
      <c r="B1271" t="s">
        <v>20</v>
      </c>
      <c r="C1271" t="s">
        <v>32</v>
      </c>
      <c r="D1271">
        <v>63</v>
      </c>
      <c r="E1271">
        <v>1</v>
      </c>
      <c r="F1271">
        <v>0</v>
      </c>
      <c r="G1271">
        <v>2</v>
      </c>
      <c r="H1271" t="s">
        <v>22</v>
      </c>
      <c r="I1271" t="s">
        <v>22</v>
      </c>
      <c r="J1271">
        <v>186526.12</v>
      </c>
      <c r="K1271" t="s">
        <v>23</v>
      </c>
      <c r="L1271">
        <v>0.39471661990216828</v>
      </c>
      <c r="M1271" t="s">
        <v>23</v>
      </c>
      <c r="N1271">
        <v>0</v>
      </c>
      <c r="O1271">
        <v>0</v>
      </c>
      <c r="P1271" t="s">
        <v>24</v>
      </c>
      <c r="Q1271" t="s">
        <v>46</v>
      </c>
      <c r="R1271" t="s">
        <v>29</v>
      </c>
      <c r="S1271" t="s">
        <v>27</v>
      </c>
      <c r="T1271" t="s">
        <v>31</v>
      </c>
      <c r="U1271">
        <f t="shared" si="19"/>
        <v>1</v>
      </c>
    </row>
    <row r="1272" spans="1:21" x14ac:dyDescent="0.2">
      <c r="A1272">
        <v>674</v>
      </c>
      <c r="B1272" t="s">
        <v>42</v>
      </c>
      <c r="C1272" t="s">
        <v>32</v>
      </c>
      <c r="D1272">
        <v>42</v>
      </c>
      <c r="E1272">
        <v>9</v>
      </c>
      <c r="F1272">
        <v>0</v>
      </c>
      <c r="G1272">
        <v>2</v>
      </c>
      <c r="H1272" t="s">
        <v>22</v>
      </c>
      <c r="I1272" t="s">
        <v>23</v>
      </c>
      <c r="J1272">
        <v>4292.72</v>
      </c>
      <c r="K1272" t="s">
        <v>23</v>
      </c>
      <c r="L1272">
        <v>0.235085718823596</v>
      </c>
      <c r="M1272" t="s">
        <v>23</v>
      </c>
      <c r="N1272">
        <v>0</v>
      </c>
      <c r="O1272">
        <v>0</v>
      </c>
      <c r="P1272" t="s">
        <v>24</v>
      </c>
      <c r="Q1272" t="s">
        <v>25</v>
      </c>
      <c r="R1272" t="s">
        <v>29</v>
      </c>
      <c r="S1272" t="s">
        <v>27</v>
      </c>
      <c r="T1272" t="s">
        <v>35</v>
      </c>
      <c r="U1272">
        <f t="shared" si="19"/>
        <v>1</v>
      </c>
    </row>
    <row r="1273" spans="1:21" x14ac:dyDescent="0.2">
      <c r="A1273">
        <v>615</v>
      </c>
      <c r="B1273" t="s">
        <v>41</v>
      </c>
      <c r="C1273" t="s">
        <v>32</v>
      </c>
      <c r="D1273">
        <v>33</v>
      </c>
      <c r="E1273">
        <v>3</v>
      </c>
      <c r="F1273">
        <v>137657.25</v>
      </c>
      <c r="G1273">
        <v>2</v>
      </c>
      <c r="H1273" t="s">
        <v>22</v>
      </c>
      <c r="I1273" t="s">
        <v>22</v>
      </c>
      <c r="J1273">
        <v>171657.57</v>
      </c>
      <c r="K1273" t="s">
        <v>23</v>
      </c>
      <c r="L1273">
        <v>0.17694030841348349</v>
      </c>
      <c r="M1273" t="s">
        <v>23</v>
      </c>
      <c r="N1273">
        <v>0</v>
      </c>
      <c r="O1273">
        <v>0</v>
      </c>
      <c r="P1273" t="s">
        <v>34</v>
      </c>
      <c r="Q1273" t="s">
        <v>33</v>
      </c>
      <c r="R1273" t="s">
        <v>26</v>
      </c>
      <c r="S1273" t="s">
        <v>27</v>
      </c>
      <c r="T1273" t="s">
        <v>31</v>
      </c>
      <c r="U1273">
        <f t="shared" si="19"/>
        <v>1</v>
      </c>
    </row>
    <row r="1274" spans="1:21" x14ac:dyDescent="0.2">
      <c r="A1274">
        <v>415</v>
      </c>
      <c r="B1274" t="s">
        <v>20</v>
      </c>
      <c r="C1274" t="s">
        <v>21</v>
      </c>
      <c r="D1274">
        <v>53</v>
      </c>
      <c r="E1274">
        <v>5</v>
      </c>
      <c r="F1274">
        <v>167259.44</v>
      </c>
      <c r="G1274">
        <v>1</v>
      </c>
      <c r="H1274" t="s">
        <v>22</v>
      </c>
      <c r="I1274" t="s">
        <v>22</v>
      </c>
      <c r="J1274">
        <v>22357.25</v>
      </c>
      <c r="K1274" t="s">
        <v>23</v>
      </c>
      <c r="L1274">
        <v>0.23882673717183101</v>
      </c>
      <c r="M1274" t="s">
        <v>23</v>
      </c>
      <c r="N1274">
        <v>0</v>
      </c>
      <c r="O1274">
        <v>0</v>
      </c>
      <c r="P1274" t="s">
        <v>24</v>
      </c>
      <c r="Q1274" t="s">
        <v>44</v>
      </c>
      <c r="R1274" t="s">
        <v>47</v>
      </c>
      <c r="S1274" t="s">
        <v>45</v>
      </c>
      <c r="T1274" t="s">
        <v>35</v>
      </c>
      <c r="U1274">
        <f t="shared" si="19"/>
        <v>1</v>
      </c>
    </row>
    <row r="1275" spans="1:21" x14ac:dyDescent="0.2">
      <c r="A1275">
        <v>700</v>
      </c>
      <c r="B1275" t="s">
        <v>42</v>
      </c>
      <c r="C1275" t="s">
        <v>21</v>
      </c>
      <c r="D1275">
        <v>26</v>
      </c>
      <c r="E1275">
        <v>4</v>
      </c>
      <c r="F1275">
        <v>119009.57</v>
      </c>
      <c r="G1275">
        <v>1</v>
      </c>
      <c r="H1275" t="s">
        <v>22</v>
      </c>
      <c r="I1275" t="s">
        <v>23</v>
      </c>
      <c r="J1275">
        <v>141926.43</v>
      </c>
      <c r="K1275" t="s">
        <v>23</v>
      </c>
      <c r="L1275">
        <v>8.7769614348643721E-2</v>
      </c>
      <c r="M1275" t="s">
        <v>23</v>
      </c>
      <c r="N1275">
        <v>0</v>
      </c>
      <c r="O1275">
        <v>0</v>
      </c>
      <c r="P1275" t="s">
        <v>34</v>
      </c>
      <c r="Q1275" t="s">
        <v>36</v>
      </c>
      <c r="R1275" t="s">
        <v>26</v>
      </c>
      <c r="S1275" t="s">
        <v>27</v>
      </c>
      <c r="T1275" t="s">
        <v>28</v>
      </c>
      <c r="U1275">
        <f t="shared" si="19"/>
        <v>1</v>
      </c>
    </row>
    <row r="1276" spans="1:21" x14ac:dyDescent="0.2">
      <c r="A1276">
        <v>619</v>
      </c>
      <c r="B1276" t="s">
        <v>20</v>
      </c>
      <c r="C1276" t="s">
        <v>32</v>
      </c>
      <c r="D1276">
        <v>31</v>
      </c>
      <c r="E1276">
        <v>3</v>
      </c>
      <c r="F1276">
        <v>141751.82</v>
      </c>
      <c r="G1276">
        <v>1</v>
      </c>
      <c r="H1276" t="s">
        <v>23</v>
      </c>
      <c r="I1276" t="s">
        <v>22</v>
      </c>
      <c r="J1276">
        <v>61531.86</v>
      </c>
      <c r="K1276" t="s">
        <v>23</v>
      </c>
      <c r="L1276">
        <v>8.6816754416056977E-2</v>
      </c>
      <c r="M1276" t="s">
        <v>23</v>
      </c>
      <c r="N1276">
        <v>0</v>
      </c>
      <c r="O1276">
        <v>0</v>
      </c>
      <c r="P1276" t="s">
        <v>34</v>
      </c>
      <c r="Q1276" t="s">
        <v>33</v>
      </c>
      <c r="R1276" t="s">
        <v>26</v>
      </c>
      <c r="S1276" t="s">
        <v>27</v>
      </c>
      <c r="T1276" t="s">
        <v>40</v>
      </c>
      <c r="U1276">
        <f t="shared" si="19"/>
        <v>1</v>
      </c>
    </row>
    <row r="1277" spans="1:21" x14ac:dyDescent="0.2">
      <c r="A1277">
        <v>693</v>
      </c>
      <c r="B1277" t="s">
        <v>41</v>
      </c>
      <c r="C1277" t="s">
        <v>21</v>
      </c>
      <c r="D1277">
        <v>45</v>
      </c>
      <c r="E1277">
        <v>2</v>
      </c>
      <c r="F1277">
        <v>116546.59</v>
      </c>
      <c r="G1277">
        <v>2</v>
      </c>
      <c r="H1277" t="s">
        <v>23</v>
      </c>
      <c r="I1277" t="s">
        <v>23</v>
      </c>
      <c r="J1277">
        <v>23140.28</v>
      </c>
      <c r="K1277" t="s">
        <v>22</v>
      </c>
      <c r="L1277">
        <v>0.43863320808968281</v>
      </c>
      <c r="M1277" t="s">
        <v>23</v>
      </c>
      <c r="N1277">
        <v>1</v>
      </c>
      <c r="O1277">
        <v>0</v>
      </c>
      <c r="P1277" t="s">
        <v>24</v>
      </c>
      <c r="Q1277" t="s">
        <v>25</v>
      </c>
      <c r="R1277" t="s">
        <v>26</v>
      </c>
      <c r="S1277" t="s">
        <v>27</v>
      </c>
      <c r="T1277" t="s">
        <v>35</v>
      </c>
      <c r="U1277">
        <f t="shared" si="19"/>
        <v>0</v>
      </c>
    </row>
    <row r="1278" spans="1:21" x14ac:dyDescent="0.2">
      <c r="A1278">
        <v>711</v>
      </c>
      <c r="B1278" t="s">
        <v>42</v>
      </c>
      <c r="C1278" t="s">
        <v>32</v>
      </c>
      <c r="D1278">
        <v>29</v>
      </c>
      <c r="E1278">
        <v>9</v>
      </c>
      <c r="F1278">
        <v>0</v>
      </c>
      <c r="G1278">
        <v>2</v>
      </c>
      <c r="H1278" t="s">
        <v>23</v>
      </c>
      <c r="I1278" t="s">
        <v>22</v>
      </c>
      <c r="J1278">
        <v>3234.8</v>
      </c>
      <c r="K1278" t="s">
        <v>23</v>
      </c>
      <c r="L1278">
        <v>3.8214184971111662E-2</v>
      </c>
      <c r="M1278" t="s">
        <v>23</v>
      </c>
      <c r="N1278">
        <v>0</v>
      </c>
      <c r="O1278">
        <v>0</v>
      </c>
      <c r="P1278" t="s">
        <v>34</v>
      </c>
      <c r="Q1278" t="s">
        <v>36</v>
      </c>
      <c r="R1278" t="s">
        <v>29</v>
      </c>
      <c r="S1278" t="s">
        <v>37</v>
      </c>
      <c r="T1278" t="s">
        <v>35</v>
      </c>
      <c r="U1278">
        <f t="shared" si="19"/>
        <v>1</v>
      </c>
    </row>
    <row r="1279" spans="1:21" x14ac:dyDescent="0.2">
      <c r="A1279">
        <v>606</v>
      </c>
      <c r="B1279" t="s">
        <v>42</v>
      </c>
      <c r="C1279" t="s">
        <v>21</v>
      </c>
      <c r="D1279">
        <v>31</v>
      </c>
      <c r="E1279">
        <v>10</v>
      </c>
      <c r="F1279">
        <v>0</v>
      </c>
      <c r="G1279">
        <v>2</v>
      </c>
      <c r="H1279" t="s">
        <v>22</v>
      </c>
      <c r="I1279" t="s">
        <v>23</v>
      </c>
      <c r="J1279">
        <v>195209.4</v>
      </c>
      <c r="K1279" t="s">
        <v>23</v>
      </c>
      <c r="L1279">
        <v>8.2632307820782416E-2</v>
      </c>
      <c r="M1279" t="s">
        <v>23</v>
      </c>
      <c r="N1279">
        <v>0</v>
      </c>
      <c r="O1279">
        <v>0</v>
      </c>
      <c r="P1279" t="s">
        <v>34</v>
      </c>
      <c r="Q1279" t="s">
        <v>33</v>
      </c>
      <c r="R1279" t="s">
        <v>29</v>
      </c>
      <c r="S1279" t="s">
        <v>27</v>
      </c>
      <c r="T1279" t="s">
        <v>31</v>
      </c>
      <c r="U1279">
        <f t="shared" si="19"/>
        <v>1</v>
      </c>
    </row>
    <row r="1280" spans="1:21" x14ac:dyDescent="0.2">
      <c r="A1280">
        <v>540</v>
      </c>
      <c r="B1280" t="s">
        <v>42</v>
      </c>
      <c r="C1280" t="s">
        <v>32</v>
      </c>
      <c r="D1280">
        <v>31</v>
      </c>
      <c r="E1280">
        <v>7</v>
      </c>
      <c r="F1280">
        <v>0</v>
      </c>
      <c r="G1280">
        <v>1</v>
      </c>
      <c r="H1280" t="s">
        <v>23</v>
      </c>
      <c r="I1280" t="s">
        <v>22</v>
      </c>
      <c r="J1280">
        <v>183051.6</v>
      </c>
      <c r="K1280" t="s">
        <v>22</v>
      </c>
      <c r="L1280">
        <v>6.2069472583071827E-2</v>
      </c>
      <c r="M1280" t="s">
        <v>23</v>
      </c>
      <c r="N1280">
        <v>1</v>
      </c>
      <c r="O1280">
        <v>0</v>
      </c>
      <c r="P1280" t="s">
        <v>34</v>
      </c>
      <c r="Q1280" t="s">
        <v>33</v>
      </c>
      <c r="R1280" t="s">
        <v>29</v>
      </c>
      <c r="S1280" t="s">
        <v>30</v>
      </c>
      <c r="T1280" t="s">
        <v>31</v>
      </c>
      <c r="U1280">
        <f t="shared" si="19"/>
        <v>0</v>
      </c>
    </row>
    <row r="1281" spans="1:21" x14ac:dyDescent="0.2">
      <c r="A1281">
        <v>619</v>
      </c>
      <c r="B1281" t="s">
        <v>41</v>
      </c>
      <c r="C1281" t="s">
        <v>21</v>
      </c>
      <c r="D1281">
        <v>41</v>
      </c>
      <c r="E1281">
        <v>3</v>
      </c>
      <c r="F1281">
        <v>147974.16</v>
      </c>
      <c r="G1281">
        <v>2</v>
      </c>
      <c r="H1281" t="s">
        <v>22</v>
      </c>
      <c r="I1281" t="s">
        <v>23</v>
      </c>
      <c r="J1281">
        <v>170518.83</v>
      </c>
      <c r="K1281" t="s">
        <v>23</v>
      </c>
      <c r="L1281">
        <v>0.40623669255831862</v>
      </c>
      <c r="M1281" t="s">
        <v>23</v>
      </c>
      <c r="N1281">
        <v>0</v>
      </c>
      <c r="O1281">
        <v>0</v>
      </c>
      <c r="P1281" t="s">
        <v>24</v>
      </c>
      <c r="Q1281" t="s">
        <v>25</v>
      </c>
      <c r="R1281" t="s">
        <v>26</v>
      </c>
      <c r="S1281" t="s">
        <v>27</v>
      </c>
      <c r="T1281" t="s">
        <v>31</v>
      </c>
      <c r="U1281">
        <f t="shared" si="19"/>
        <v>1</v>
      </c>
    </row>
    <row r="1282" spans="1:21" x14ac:dyDescent="0.2">
      <c r="A1282">
        <v>841</v>
      </c>
      <c r="B1282" t="s">
        <v>42</v>
      </c>
      <c r="C1282" t="s">
        <v>32</v>
      </c>
      <c r="D1282">
        <v>31</v>
      </c>
      <c r="E1282">
        <v>3</v>
      </c>
      <c r="F1282">
        <v>162701.65</v>
      </c>
      <c r="G1282">
        <v>2</v>
      </c>
      <c r="H1282" t="s">
        <v>22</v>
      </c>
      <c r="I1282" t="s">
        <v>22</v>
      </c>
      <c r="J1282">
        <v>126794.56</v>
      </c>
      <c r="K1282" t="s">
        <v>23</v>
      </c>
      <c r="L1282">
        <v>6.9767152175295014E-2</v>
      </c>
      <c r="M1282" t="s">
        <v>23</v>
      </c>
      <c r="N1282">
        <v>0</v>
      </c>
      <c r="O1282">
        <v>0</v>
      </c>
      <c r="P1282" t="s">
        <v>34</v>
      </c>
      <c r="Q1282" t="s">
        <v>33</v>
      </c>
      <c r="R1282" t="s">
        <v>47</v>
      </c>
      <c r="S1282" t="s">
        <v>39</v>
      </c>
      <c r="T1282" t="s">
        <v>28</v>
      </c>
      <c r="U1282">
        <f t="shared" ref="U1282:U1345" si="20">IF(K1282=M1282,1,0)</f>
        <v>1</v>
      </c>
    </row>
    <row r="1283" spans="1:21" x14ac:dyDescent="0.2">
      <c r="A1283">
        <v>595</v>
      </c>
      <c r="B1283" t="s">
        <v>41</v>
      </c>
      <c r="C1283" t="s">
        <v>32</v>
      </c>
      <c r="D1283">
        <v>44</v>
      </c>
      <c r="E1283">
        <v>4</v>
      </c>
      <c r="F1283">
        <v>96553.52</v>
      </c>
      <c r="G1283">
        <v>2</v>
      </c>
      <c r="H1283" t="s">
        <v>22</v>
      </c>
      <c r="I1283" t="s">
        <v>23</v>
      </c>
      <c r="J1283">
        <v>143952.24</v>
      </c>
      <c r="K1283" t="s">
        <v>22</v>
      </c>
      <c r="L1283">
        <v>0.55936883987591546</v>
      </c>
      <c r="M1283" t="s">
        <v>22</v>
      </c>
      <c r="N1283">
        <v>1</v>
      </c>
      <c r="O1283">
        <v>1</v>
      </c>
      <c r="P1283" t="s">
        <v>43</v>
      </c>
      <c r="Q1283" t="s">
        <v>25</v>
      </c>
      <c r="R1283" t="s">
        <v>38</v>
      </c>
      <c r="S1283" t="s">
        <v>30</v>
      </c>
      <c r="T1283" t="s">
        <v>28</v>
      </c>
      <c r="U1283">
        <f t="shared" si="20"/>
        <v>1</v>
      </c>
    </row>
    <row r="1284" spans="1:21" x14ac:dyDescent="0.2">
      <c r="A1284">
        <v>669</v>
      </c>
      <c r="B1284" t="s">
        <v>42</v>
      </c>
      <c r="C1284" t="s">
        <v>21</v>
      </c>
      <c r="D1284">
        <v>50</v>
      </c>
      <c r="E1284">
        <v>9</v>
      </c>
      <c r="F1284">
        <v>201009.64</v>
      </c>
      <c r="G1284">
        <v>1</v>
      </c>
      <c r="H1284" t="s">
        <v>22</v>
      </c>
      <c r="I1284" t="s">
        <v>23</v>
      </c>
      <c r="J1284">
        <v>158032.5</v>
      </c>
      <c r="K1284" t="s">
        <v>22</v>
      </c>
      <c r="L1284">
        <v>0.39621029612907149</v>
      </c>
      <c r="M1284" t="s">
        <v>23</v>
      </c>
      <c r="N1284">
        <v>1</v>
      </c>
      <c r="O1284">
        <v>0</v>
      </c>
      <c r="P1284" t="s">
        <v>24</v>
      </c>
      <c r="Q1284" t="s">
        <v>25</v>
      </c>
      <c r="R1284" t="s">
        <v>47</v>
      </c>
      <c r="S1284" t="s">
        <v>27</v>
      </c>
      <c r="T1284" t="s">
        <v>31</v>
      </c>
      <c r="U1284">
        <f t="shared" si="20"/>
        <v>0</v>
      </c>
    </row>
    <row r="1285" spans="1:21" x14ac:dyDescent="0.2">
      <c r="A1285">
        <v>742</v>
      </c>
      <c r="B1285" t="s">
        <v>42</v>
      </c>
      <c r="C1285" t="s">
        <v>21</v>
      </c>
      <c r="D1285">
        <v>32</v>
      </c>
      <c r="E1285">
        <v>6</v>
      </c>
      <c r="F1285">
        <v>160485.16</v>
      </c>
      <c r="G1285">
        <v>1</v>
      </c>
      <c r="H1285" t="s">
        <v>22</v>
      </c>
      <c r="I1285" t="s">
        <v>23</v>
      </c>
      <c r="J1285">
        <v>29023.03</v>
      </c>
      <c r="K1285" t="s">
        <v>23</v>
      </c>
      <c r="L1285">
        <v>0.1276896925949377</v>
      </c>
      <c r="M1285" t="s">
        <v>23</v>
      </c>
      <c r="N1285">
        <v>0</v>
      </c>
      <c r="O1285">
        <v>0</v>
      </c>
      <c r="P1285" t="s">
        <v>34</v>
      </c>
      <c r="Q1285" t="s">
        <v>33</v>
      </c>
      <c r="R1285" t="s">
        <v>47</v>
      </c>
      <c r="S1285" t="s">
        <v>37</v>
      </c>
      <c r="T1285" t="s">
        <v>35</v>
      </c>
      <c r="U1285">
        <f t="shared" si="20"/>
        <v>1</v>
      </c>
    </row>
    <row r="1286" spans="1:21" x14ac:dyDescent="0.2">
      <c r="A1286">
        <v>850</v>
      </c>
      <c r="B1286" t="s">
        <v>41</v>
      </c>
      <c r="C1286" t="s">
        <v>21</v>
      </c>
      <c r="D1286">
        <v>42</v>
      </c>
      <c r="E1286">
        <v>6</v>
      </c>
      <c r="F1286">
        <v>84445.68</v>
      </c>
      <c r="G1286">
        <v>3</v>
      </c>
      <c r="H1286" t="s">
        <v>23</v>
      </c>
      <c r="I1286" t="s">
        <v>22</v>
      </c>
      <c r="J1286">
        <v>60021.34</v>
      </c>
      <c r="K1286" t="s">
        <v>22</v>
      </c>
      <c r="L1286">
        <v>0.12869139967614959</v>
      </c>
      <c r="M1286" t="s">
        <v>23</v>
      </c>
      <c r="N1286">
        <v>1</v>
      </c>
      <c r="O1286">
        <v>0</v>
      </c>
      <c r="P1286" t="s">
        <v>34</v>
      </c>
      <c r="Q1286" t="s">
        <v>25</v>
      </c>
      <c r="R1286" t="s">
        <v>38</v>
      </c>
      <c r="S1286" t="s">
        <v>39</v>
      </c>
      <c r="T1286" t="s">
        <v>40</v>
      </c>
      <c r="U1286">
        <f t="shared" si="20"/>
        <v>0</v>
      </c>
    </row>
    <row r="1287" spans="1:21" x14ac:dyDescent="0.2">
      <c r="A1287">
        <v>738</v>
      </c>
      <c r="B1287" t="s">
        <v>41</v>
      </c>
      <c r="C1287" t="s">
        <v>32</v>
      </c>
      <c r="D1287">
        <v>40</v>
      </c>
      <c r="E1287">
        <v>1</v>
      </c>
      <c r="F1287">
        <v>115409.18</v>
      </c>
      <c r="G1287">
        <v>2</v>
      </c>
      <c r="H1287" t="s">
        <v>23</v>
      </c>
      <c r="I1287" t="s">
        <v>23</v>
      </c>
      <c r="J1287">
        <v>180456.8</v>
      </c>
      <c r="K1287" t="s">
        <v>23</v>
      </c>
      <c r="L1287">
        <v>0.50112401896159287</v>
      </c>
      <c r="M1287" t="s">
        <v>22</v>
      </c>
      <c r="N1287">
        <v>0</v>
      </c>
      <c r="O1287">
        <v>1</v>
      </c>
      <c r="P1287" t="s">
        <v>43</v>
      </c>
      <c r="Q1287" t="s">
        <v>33</v>
      </c>
      <c r="R1287" t="s">
        <v>26</v>
      </c>
      <c r="S1287" t="s">
        <v>37</v>
      </c>
      <c r="T1287" t="s">
        <v>31</v>
      </c>
      <c r="U1287">
        <f t="shared" si="20"/>
        <v>0</v>
      </c>
    </row>
    <row r="1288" spans="1:21" x14ac:dyDescent="0.2">
      <c r="A1288">
        <v>628</v>
      </c>
      <c r="B1288" t="s">
        <v>42</v>
      </c>
      <c r="C1288" t="s">
        <v>32</v>
      </c>
      <c r="D1288">
        <v>50</v>
      </c>
      <c r="E1288">
        <v>4</v>
      </c>
      <c r="F1288">
        <v>143054.56</v>
      </c>
      <c r="G1288">
        <v>1</v>
      </c>
      <c r="H1288" t="s">
        <v>23</v>
      </c>
      <c r="I1288" t="s">
        <v>22</v>
      </c>
      <c r="J1288">
        <v>109608.81</v>
      </c>
      <c r="K1288" t="s">
        <v>22</v>
      </c>
      <c r="L1288">
        <v>0.2726070085583881</v>
      </c>
      <c r="M1288" t="s">
        <v>23</v>
      </c>
      <c r="N1288">
        <v>1</v>
      </c>
      <c r="O1288">
        <v>0</v>
      </c>
      <c r="P1288" t="s">
        <v>24</v>
      </c>
      <c r="Q1288" t="s">
        <v>25</v>
      </c>
      <c r="R1288" t="s">
        <v>26</v>
      </c>
      <c r="S1288" t="s">
        <v>27</v>
      </c>
      <c r="T1288" t="s">
        <v>28</v>
      </c>
      <c r="U1288">
        <f t="shared" si="20"/>
        <v>0</v>
      </c>
    </row>
    <row r="1289" spans="1:21" x14ac:dyDescent="0.2">
      <c r="A1289">
        <v>686</v>
      </c>
      <c r="B1289" t="s">
        <v>42</v>
      </c>
      <c r="C1289" t="s">
        <v>32</v>
      </c>
      <c r="D1289">
        <v>41</v>
      </c>
      <c r="E1289">
        <v>10</v>
      </c>
      <c r="F1289">
        <v>0</v>
      </c>
      <c r="G1289">
        <v>1</v>
      </c>
      <c r="H1289" t="s">
        <v>22</v>
      </c>
      <c r="I1289" t="s">
        <v>23</v>
      </c>
      <c r="J1289">
        <v>133086.45000000001</v>
      </c>
      <c r="K1289" t="s">
        <v>23</v>
      </c>
      <c r="L1289">
        <v>0.24857354791819081</v>
      </c>
      <c r="M1289" t="s">
        <v>23</v>
      </c>
      <c r="N1289">
        <v>0</v>
      </c>
      <c r="O1289">
        <v>0</v>
      </c>
      <c r="P1289" t="s">
        <v>24</v>
      </c>
      <c r="Q1289" t="s">
        <v>25</v>
      </c>
      <c r="R1289" t="s">
        <v>29</v>
      </c>
      <c r="S1289" t="s">
        <v>27</v>
      </c>
      <c r="T1289" t="s">
        <v>28</v>
      </c>
      <c r="U1289">
        <f t="shared" si="20"/>
        <v>1</v>
      </c>
    </row>
    <row r="1290" spans="1:21" x14ac:dyDescent="0.2">
      <c r="A1290">
        <v>671</v>
      </c>
      <c r="B1290" t="s">
        <v>20</v>
      </c>
      <c r="C1290" t="s">
        <v>32</v>
      </c>
      <c r="D1290">
        <v>31</v>
      </c>
      <c r="E1290">
        <v>4</v>
      </c>
      <c r="F1290">
        <v>0</v>
      </c>
      <c r="G1290">
        <v>2</v>
      </c>
      <c r="H1290" t="s">
        <v>23</v>
      </c>
      <c r="I1290" t="s">
        <v>22</v>
      </c>
      <c r="J1290">
        <v>79270.02</v>
      </c>
      <c r="K1290" t="s">
        <v>23</v>
      </c>
      <c r="L1290">
        <v>5.3656477955721413E-2</v>
      </c>
      <c r="M1290" t="s">
        <v>23</v>
      </c>
      <c r="N1290">
        <v>0</v>
      </c>
      <c r="O1290">
        <v>0</v>
      </c>
      <c r="P1290" t="s">
        <v>34</v>
      </c>
      <c r="Q1290" t="s">
        <v>33</v>
      </c>
      <c r="R1290" t="s">
        <v>29</v>
      </c>
      <c r="S1290" t="s">
        <v>27</v>
      </c>
      <c r="T1290" t="s">
        <v>40</v>
      </c>
      <c r="U1290">
        <f t="shared" si="20"/>
        <v>1</v>
      </c>
    </row>
    <row r="1291" spans="1:21" x14ac:dyDescent="0.2">
      <c r="A1291">
        <v>651</v>
      </c>
      <c r="B1291" t="s">
        <v>41</v>
      </c>
      <c r="C1291" t="s">
        <v>32</v>
      </c>
      <c r="D1291">
        <v>35</v>
      </c>
      <c r="E1291">
        <v>1</v>
      </c>
      <c r="F1291">
        <v>163700.78</v>
      </c>
      <c r="G1291">
        <v>3</v>
      </c>
      <c r="H1291" t="s">
        <v>22</v>
      </c>
      <c r="I1291" t="s">
        <v>22</v>
      </c>
      <c r="J1291">
        <v>29583.48</v>
      </c>
      <c r="K1291" t="s">
        <v>22</v>
      </c>
      <c r="L1291">
        <v>0.18389519907722809</v>
      </c>
      <c r="M1291" t="s">
        <v>23</v>
      </c>
      <c r="N1291">
        <v>1</v>
      </c>
      <c r="O1291">
        <v>0</v>
      </c>
      <c r="P1291" t="s">
        <v>34</v>
      </c>
      <c r="Q1291" t="s">
        <v>33</v>
      </c>
      <c r="R1291" t="s">
        <v>47</v>
      </c>
      <c r="S1291" t="s">
        <v>27</v>
      </c>
      <c r="T1291" t="s">
        <v>35</v>
      </c>
      <c r="U1291">
        <f t="shared" si="20"/>
        <v>0</v>
      </c>
    </row>
    <row r="1292" spans="1:21" x14ac:dyDescent="0.2">
      <c r="A1292">
        <v>464</v>
      </c>
      <c r="B1292" t="s">
        <v>42</v>
      </c>
      <c r="C1292" t="s">
        <v>21</v>
      </c>
      <c r="D1292">
        <v>38</v>
      </c>
      <c r="E1292">
        <v>3</v>
      </c>
      <c r="F1292">
        <v>116439.65</v>
      </c>
      <c r="G1292">
        <v>1</v>
      </c>
      <c r="H1292" t="s">
        <v>22</v>
      </c>
      <c r="I1292" t="s">
        <v>23</v>
      </c>
      <c r="J1292">
        <v>75574.48</v>
      </c>
      <c r="K1292" t="s">
        <v>23</v>
      </c>
      <c r="L1292">
        <v>0.21184067029618681</v>
      </c>
      <c r="M1292" t="s">
        <v>23</v>
      </c>
      <c r="N1292">
        <v>0</v>
      </c>
      <c r="O1292">
        <v>0</v>
      </c>
      <c r="P1292" t="s">
        <v>24</v>
      </c>
      <c r="Q1292" t="s">
        <v>33</v>
      </c>
      <c r="R1292" t="s">
        <v>26</v>
      </c>
      <c r="S1292" t="s">
        <v>45</v>
      </c>
      <c r="T1292" t="s">
        <v>40</v>
      </c>
      <c r="U1292">
        <f t="shared" si="20"/>
        <v>1</v>
      </c>
    </row>
    <row r="1293" spans="1:21" x14ac:dyDescent="0.2">
      <c r="A1293">
        <v>836</v>
      </c>
      <c r="B1293" t="s">
        <v>20</v>
      </c>
      <c r="C1293" t="s">
        <v>32</v>
      </c>
      <c r="D1293">
        <v>37</v>
      </c>
      <c r="E1293">
        <v>10</v>
      </c>
      <c r="F1293">
        <v>0</v>
      </c>
      <c r="G1293">
        <v>2</v>
      </c>
      <c r="H1293" t="s">
        <v>22</v>
      </c>
      <c r="I1293" t="s">
        <v>23</v>
      </c>
      <c r="J1293">
        <v>111324.41</v>
      </c>
      <c r="K1293" t="s">
        <v>23</v>
      </c>
      <c r="L1293">
        <v>0.1703118799970807</v>
      </c>
      <c r="M1293" t="s">
        <v>23</v>
      </c>
      <c r="N1293">
        <v>0</v>
      </c>
      <c r="O1293">
        <v>0</v>
      </c>
      <c r="P1293" t="s">
        <v>34</v>
      </c>
      <c r="Q1293" t="s">
        <v>33</v>
      </c>
      <c r="R1293" t="s">
        <v>29</v>
      </c>
      <c r="S1293" t="s">
        <v>39</v>
      </c>
      <c r="T1293" t="s">
        <v>28</v>
      </c>
      <c r="U1293">
        <f t="shared" si="20"/>
        <v>1</v>
      </c>
    </row>
    <row r="1294" spans="1:21" x14ac:dyDescent="0.2">
      <c r="A1294">
        <v>518</v>
      </c>
      <c r="B1294" t="s">
        <v>42</v>
      </c>
      <c r="C1294" t="s">
        <v>32</v>
      </c>
      <c r="D1294">
        <v>45</v>
      </c>
      <c r="E1294">
        <v>8</v>
      </c>
      <c r="F1294">
        <v>0</v>
      </c>
      <c r="G1294">
        <v>2</v>
      </c>
      <c r="H1294" t="s">
        <v>22</v>
      </c>
      <c r="I1294" t="s">
        <v>22</v>
      </c>
      <c r="J1294">
        <v>36193.07</v>
      </c>
      <c r="K1294" t="s">
        <v>23</v>
      </c>
      <c r="L1294">
        <v>0.12987519115381649</v>
      </c>
      <c r="M1294" t="s">
        <v>23</v>
      </c>
      <c r="N1294">
        <v>0</v>
      </c>
      <c r="O1294">
        <v>0</v>
      </c>
      <c r="P1294" t="s">
        <v>34</v>
      </c>
      <c r="Q1294" t="s">
        <v>25</v>
      </c>
      <c r="R1294" t="s">
        <v>29</v>
      </c>
      <c r="S1294" t="s">
        <v>30</v>
      </c>
      <c r="T1294" t="s">
        <v>35</v>
      </c>
      <c r="U1294">
        <f t="shared" si="20"/>
        <v>1</v>
      </c>
    </row>
    <row r="1295" spans="1:21" x14ac:dyDescent="0.2">
      <c r="A1295">
        <v>521</v>
      </c>
      <c r="B1295" t="s">
        <v>20</v>
      </c>
      <c r="C1295" t="s">
        <v>32</v>
      </c>
      <c r="D1295">
        <v>39</v>
      </c>
      <c r="E1295">
        <v>3</v>
      </c>
      <c r="F1295">
        <v>146408.68</v>
      </c>
      <c r="G1295">
        <v>1</v>
      </c>
      <c r="H1295" t="s">
        <v>23</v>
      </c>
      <c r="I1295" t="s">
        <v>23</v>
      </c>
      <c r="J1295">
        <v>72993.67</v>
      </c>
      <c r="K1295" t="s">
        <v>23</v>
      </c>
      <c r="L1295">
        <v>0.35778402474193921</v>
      </c>
      <c r="M1295" t="s">
        <v>23</v>
      </c>
      <c r="N1295">
        <v>0</v>
      </c>
      <c r="O1295">
        <v>0</v>
      </c>
      <c r="P1295" t="s">
        <v>24</v>
      </c>
      <c r="Q1295" t="s">
        <v>33</v>
      </c>
      <c r="R1295" t="s">
        <v>26</v>
      </c>
      <c r="S1295" t="s">
        <v>30</v>
      </c>
      <c r="T1295" t="s">
        <v>40</v>
      </c>
      <c r="U1295">
        <f t="shared" si="20"/>
        <v>1</v>
      </c>
    </row>
    <row r="1296" spans="1:21" x14ac:dyDescent="0.2">
      <c r="A1296">
        <v>697</v>
      </c>
      <c r="B1296" t="s">
        <v>42</v>
      </c>
      <c r="C1296" t="s">
        <v>32</v>
      </c>
      <c r="D1296">
        <v>45</v>
      </c>
      <c r="E1296">
        <v>1</v>
      </c>
      <c r="F1296">
        <v>0</v>
      </c>
      <c r="G1296">
        <v>2</v>
      </c>
      <c r="H1296" t="s">
        <v>22</v>
      </c>
      <c r="I1296" t="s">
        <v>23</v>
      </c>
      <c r="J1296">
        <v>46807.62</v>
      </c>
      <c r="K1296" t="s">
        <v>22</v>
      </c>
      <c r="L1296">
        <v>0.31181025867758633</v>
      </c>
      <c r="M1296" t="s">
        <v>23</v>
      </c>
      <c r="N1296">
        <v>1</v>
      </c>
      <c r="O1296">
        <v>0</v>
      </c>
      <c r="P1296" t="s">
        <v>24</v>
      </c>
      <c r="Q1296" t="s">
        <v>25</v>
      </c>
      <c r="R1296" t="s">
        <v>29</v>
      </c>
      <c r="S1296" t="s">
        <v>27</v>
      </c>
      <c r="T1296" t="s">
        <v>35</v>
      </c>
      <c r="U1296">
        <f t="shared" si="20"/>
        <v>0</v>
      </c>
    </row>
    <row r="1297" spans="1:21" x14ac:dyDescent="0.2">
      <c r="A1297">
        <v>709</v>
      </c>
      <c r="B1297" t="s">
        <v>42</v>
      </c>
      <c r="C1297" t="s">
        <v>32</v>
      </c>
      <c r="D1297">
        <v>45</v>
      </c>
      <c r="E1297">
        <v>3</v>
      </c>
      <c r="F1297">
        <v>104118.5</v>
      </c>
      <c r="G1297">
        <v>1</v>
      </c>
      <c r="H1297" t="s">
        <v>23</v>
      </c>
      <c r="I1297" t="s">
        <v>22</v>
      </c>
      <c r="J1297">
        <v>174032</v>
      </c>
      <c r="K1297" t="s">
        <v>23</v>
      </c>
      <c r="L1297">
        <v>0.18960744130074481</v>
      </c>
      <c r="M1297" t="s">
        <v>23</v>
      </c>
      <c r="N1297">
        <v>0</v>
      </c>
      <c r="O1297">
        <v>0</v>
      </c>
      <c r="P1297" t="s">
        <v>34</v>
      </c>
      <c r="Q1297" t="s">
        <v>25</v>
      </c>
      <c r="R1297" t="s">
        <v>26</v>
      </c>
      <c r="S1297" t="s">
        <v>37</v>
      </c>
      <c r="T1297" t="s">
        <v>31</v>
      </c>
      <c r="U1297">
        <f t="shared" si="20"/>
        <v>1</v>
      </c>
    </row>
    <row r="1298" spans="1:21" x14ac:dyDescent="0.2">
      <c r="A1298">
        <v>433</v>
      </c>
      <c r="B1298" t="s">
        <v>20</v>
      </c>
      <c r="C1298" t="s">
        <v>21</v>
      </c>
      <c r="D1298">
        <v>27</v>
      </c>
      <c r="E1298">
        <v>2</v>
      </c>
      <c r="F1298">
        <v>0</v>
      </c>
      <c r="G1298">
        <v>2</v>
      </c>
      <c r="H1298" t="s">
        <v>22</v>
      </c>
      <c r="I1298" t="s">
        <v>22</v>
      </c>
      <c r="J1298">
        <v>153698.65</v>
      </c>
      <c r="K1298" t="s">
        <v>23</v>
      </c>
      <c r="L1298">
        <v>2.9321542167776181E-2</v>
      </c>
      <c r="M1298" t="s">
        <v>23</v>
      </c>
      <c r="N1298">
        <v>0</v>
      </c>
      <c r="O1298">
        <v>0</v>
      </c>
      <c r="P1298" t="s">
        <v>34</v>
      </c>
      <c r="Q1298" t="s">
        <v>36</v>
      </c>
      <c r="R1298" t="s">
        <v>29</v>
      </c>
      <c r="S1298" t="s">
        <v>45</v>
      </c>
      <c r="T1298" t="s">
        <v>31</v>
      </c>
      <c r="U1298">
        <f t="shared" si="20"/>
        <v>1</v>
      </c>
    </row>
    <row r="1299" spans="1:21" x14ac:dyDescent="0.2">
      <c r="A1299">
        <v>656</v>
      </c>
      <c r="B1299" t="s">
        <v>42</v>
      </c>
      <c r="C1299" t="s">
        <v>32</v>
      </c>
      <c r="D1299">
        <v>30</v>
      </c>
      <c r="E1299">
        <v>4</v>
      </c>
      <c r="F1299">
        <v>74323.199999999997</v>
      </c>
      <c r="G1299">
        <v>1</v>
      </c>
      <c r="H1299" t="s">
        <v>22</v>
      </c>
      <c r="I1299" t="s">
        <v>22</v>
      </c>
      <c r="J1299">
        <v>22929.08</v>
      </c>
      <c r="K1299" t="s">
        <v>23</v>
      </c>
      <c r="L1299">
        <v>6.0680713696758759E-2</v>
      </c>
      <c r="M1299" t="s">
        <v>23</v>
      </c>
      <c r="N1299">
        <v>0</v>
      </c>
      <c r="O1299">
        <v>0</v>
      </c>
      <c r="P1299" t="s">
        <v>34</v>
      </c>
      <c r="Q1299" t="s">
        <v>36</v>
      </c>
      <c r="R1299" t="s">
        <v>38</v>
      </c>
      <c r="S1299" t="s">
        <v>27</v>
      </c>
      <c r="T1299" t="s">
        <v>35</v>
      </c>
      <c r="U1299">
        <f t="shared" si="20"/>
        <v>1</v>
      </c>
    </row>
    <row r="1300" spans="1:21" x14ac:dyDescent="0.2">
      <c r="A1300">
        <v>525</v>
      </c>
      <c r="B1300" t="s">
        <v>20</v>
      </c>
      <c r="C1300" t="s">
        <v>32</v>
      </c>
      <c r="D1300">
        <v>30</v>
      </c>
      <c r="E1300">
        <v>5</v>
      </c>
      <c r="F1300">
        <v>0</v>
      </c>
      <c r="G1300">
        <v>2</v>
      </c>
      <c r="H1300" t="s">
        <v>23</v>
      </c>
      <c r="I1300" t="s">
        <v>22</v>
      </c>
      <c r="J1300">
        <v>149195.44</v>
      </c>
      <c r="K1300" t="s">
        <v>23</v>
      </c>
      <c r="L1300">
        <v>5.6063007996674033E-2</v>
      </c>
      <c r="M1300" t="s">
        <v>23</v>
      </c>
      <c r="N1300">
        <v>0</v>
      </c>
      <c r="O1300">
        <v>0</v>
      </c>
      <c r="P1300" t="s">
        <v>34</v>
      </c>
      <c r="Q1300" t="s">
        <v>36</v>
      </c>
      <c r="R1300" t="s">
        <v>29</v>
      </c>
      <c r="S1300" t="s">
        <v>30</v>
      </c>
      <c r="T1300" t="s">
        <v>28</v>
      </c>
      <c r="U1300">
        <f t="shared" si="20"/>
        <v>1</v>
      </c>
    </row>
    <row r="1301" spans="1:21" x14ac:dyDescent="0.2">
      <c r="A1301">
        <v>577</v>
      </c>
      <c r="B1301" t="s">
        <v>42</v>
      </c>
      <c r="C1301" t="s">
        <v>32</v>
      </c>
      <c r="D1301">
        <v>32</v>
      </c>
      <c r="E1301">
        <v>1</v>
      </c>
      <c r="F1301">
        <v>0</v>
      </c>
      <c r="G1301">
        <v>2</v>
      </c>
      <c r="H1301" t="s">
        <v>22</v>
      </c>
      <c r="I1301" t="s">
        <v>23</v>
      </c>
      <c r="J1301">
        <v>9902.39</v>
      </c>
      <c r="K1301" t="s">
        <v>23</v>
      </c>
      <c r="L1301">
        <v>0.15562481688915741</v>
      </c>
      <c r="M1301" t="s">
        <v>23</v>
      </c>
      <c r="N1301">
        <v>0</v>
      </c>
      <c r="O1301">
        <v>0</v>
      </c>
      <c r="P1301" t="s">
        <v>34</v>
      </c>
      <c r="Q1301" t="s">
        <v>33</v>
      </c>
      <c r="R1301" t="s">
        <v>29</v>
      </c>
      <c r="S1301" t="s">
        <v>30</v>
      </c>
      <c r="T1301" t="s">
        <v>35</v>
      </c>
      <c r="U1301">
        <f t="shared" si="20"/>
        <v>1</v>
      </c>
    </row>
    <row r="1302" spans="1:21" x14ac:dyDescent="0.2">
      <c r="A1302">
        <v>581</v>
      </c>
      <c r="B1302" t="s">
        <v>41</v>
      </c>
      <c r="C1302" t="s">
        <v>21</v>
      </c>
      <c r="D1302">
        <v>38</v>
      </c>
      <c r="E1302">
        <v>1</v>
      </c>
      <c r="F1302">
        <v>133105.47</v>
      </c>
      <c r="G1302">
        <v>1</v>
      </c>
      <c r="H1302" t="s">
        <v>22</v>
      </c>
      <c r="I1302" t="s">
        <v>23</v>
      </c>
      <c r="J1302">
        <v>105732.9</v>
      </c>
      <c r="K1302" t="s">
        <v>22</v>
      </c>
      <c r="L1302">
        <v>0.37594119505365647</v>
      </c>
      <c r="M1302" t="s">
        <v>23</v>
      </c>
      <c r="N1302">
        <v>1</v>
      </c>
      <c r="O1302">
        <v>0</v>
      </c>
      <c r="P1302" t="s">
        <v>24</v>
      </c>
      <c r="Q1302" t="s">
        <v>33</v>
      </c>
      <c r="R1302" t="s">
        <v>26</v>
      </c>
      <c r="S1302" t="s">
        <v>30</v>
      </c>
      <c r="T1302" t="s">
        <v>28</v>
      </c>
      <c r="U1302">
        <f t="shared" si="20"/>
        <v>0</v>
      </c>
    </row>
    <row r="1303" spans="1:21" x14ac:dyDescent="0.2">
      <c r="A1303">
        <v>685</v>
      </c>
      <c r="B1303" t="s">
        <v>20</v>
      </c>
      <c r="C1303" t="s">
        <v>21</v>
      </c>
      <c r="D1303">
        <v>38</v>
      </c>
      <c r="E1303">
        <v>4</v>
      </c>
      <c r="F1303">
        <v>0</v>
      </c>
      <c r="G1303">
        <v>2</v>
      </c>
      <c r="H1303" t="s">
        <v>22</v>
      </c>
      <c r="I1303" t="s">
        <v>22</v>
      </c>
      <c r="J1303">
        <v>35884.910000000003</v>
      </c>
      <c r="K1303" t="s">
        <v>23</v>
      </c>
      <c r="L1303">
        <v>4.8999533676979692E-2</v>
      </c>
      <c r="M1303" t="s">
        <v>23</v>
      </c>
      <c r="N1303">
        <v>0</v>
      </c>
      <c r="O1303">
        <v>0</v>
      </c>
      <c r="P1303" t="s">
        <v>34</v>
      </c>
      <c r="Q1303" t="s">
        <v>33</v>
      </c>
      <c r="R1303" t="s">
        <v>29</v>
      </c>
      <c r="S1303" t="s">
        <v>27</v>
      </c>
      <c r="T1303" t="s">
        <v>35</v>
      </c>
      <c r="U1303">
        <f t="shared" si="20"/>
        <v>1</v>
      </c>
    </row>
    <row r="1304" spans="1:21" x14ac:dyDescent="0.2">
      <c r="A1304">
        <v>647</v>
      </c>
      <c r="B1304" t="s">
        <v>41</v>
      </c>
      <c r="C1304" t="s">
        <v>21</v>
      </c>
      <c r="D1304">
        <v>35</v>
      </c>
      <c r="E1304">
        <v>3</v>
      </c>
      <c r="F1304">
        <v>192407.97</v>
      </c>
      <c r="G1304">
        <v>1</v>
      </c>
      <c r="H1304" t="s">
        <v>22</v>
      </c>
      <c r="I1304" t="s">
        <v>22</v>
      </c>
      <c r="J1304">
        <v>40145.279999999999</v>
      </c>
      <c r="K1304" t="s">
        <v>23</v>
      </c>
      <c r="L1304">
        <v>0.14345052287403251</v>
      </c>
      <c r="M1304" t="s">
        <v>23</v>
      </c>
      <c r="N1304">
        <v>0</v>
      </c>
      <c r="O1304">
        <v>0</v>
      </c>
      <c r="P1304" t="s">
        <v>34</v>
      </c>
      <c r="Q1304" t="s">
        <v>33</v>
      </c>
      <c r="R1304" t="s">
        <v>47</v>
      </c>
      <c r="S1304" t="s">
        <v>27</v>
      </c>
      <c r="T1304" t="s">
        <v>35</v>
      </c>
      <c r="U1304">
        <f t="shared" si="20"/>
        <v>1</v>
      </c>
    </row>
    <row r="1305" spans="1:21" x14ac:dyDescent="0.2">
      <c r="A1305">
        <v>785</v>
      </c>
      <c r="B1305" t="s">
        <v>41</v>
      </c>
      <c r="C1305" t="s">
        <v>32</v>
      </c>
      <c r="D1305">
        <v>38</v>
      </c>
      <c r="E1305">
        <v>9</v>
      </c>
      <c r="F1305">
        <v>107199.75</v>
      </c>
      <c r="G1305">
        <v>1</v>
      </c>
      <c r="H1305" t="s">
        <v>23</v>
      </c>
      <c r="I1305" t="s">
        <v>23</v>
      </c>
      <c r="J1305">
        <v>146398.51</v>
      </c>
      <c r="K1305" t="s">
        <v>23</v>
      </c>
      <c r="L1305">
        <v>0.43264877586569211</v>
      </c>
      <c r="M1305" t="s">
        <v>23</v>
      </c>
      <c r="N1305">
        <v>0</v>
      </c>
      <c r="O1305">
        <v>0</v>
      </c>
      <c r="P1305" t="s">
        <v>24</v>
      </c>
      <c r="Q1305" t="s">
        <v>33</v>
      </c>
      <c r="R1305" t="s">
        <v>26</v>
      </c>
      <c r="S1305" t="s">
        <v>37</v>
      </c>
      <c r="T1305" t="s">
        <v>28</v>
      </c>
      <c r="U1305">
        <f t="shared" si="20"/>
        <v>1</v>
      </c>
    </row>
    <row r="1306" spans="1:21" x14ac:dyDescent="0.2">
      <c r="A1306">
        <v>823</v>
      </c>
      <c r="B1306" t="s">
        <v>42</v>
      </c>
      <c r="C1306" t="s">
        <v>21</v>
      </c>
      <c r="D1306">
        <v>37</v>
      </c>
      <c r="E1306">
        <v>5</v>
      </c>
      <c r="F1306">
        <v>164858.18</v>
      </c>
      <c r="G1306">
        <v>1</v>
      </c>
      <c r="H1306" t="s">
        <v>22</v>
      </c>
      <c r="I1306" t="s">
        <v>22</v>
      </c>
      <c r="J1306">
        <v>173516.71</v>
      </c>
      <c r="K1306" t="s">
        <v>23</v>
      </c>
      <c r="L1306">
        <v>7.0073598428209372E-2</v>
      </c>
      <c r="M1306" t="s">
        <v>23</v>
      </c>
      <c r="N1306">
        <v>0</v>
      </c>
      <c r="O1306">
        <v>0</v>
      </c>
      <c r="P1306" t="s">
        <v>34</v>
      </c>
      <c r="Q1306" t="s">
        <v>33</v>
      </c>
      <c r="R1306" t="s">
        <v>47</v>
      </c>
      <c r="S1306" t="s">
        <v>39</v>
      </c>
      <c r="T1306" t="s">
        <v>31</v>
      </c>
      <c r="U1306">
        <f t="shared" si="20"/>
        <v>1</v>
      </c>
    </row>
    <row r="1307" spans="1:21" x14ac:dyDescent="0.2">
      <c r="A1307">
        <v>687</v>
      </c>
      <c r="B1307" t="s">
        <v>41</v>
      </c>
      <c r="C1307" t="s">
        <v>21</v>
      </c>
      <c r="D1307">
        <v>38</v>
      </c>
      <c r="E1307">
        <v>4</v>
      </c>
      <c r="F1307">
        <v>117633.28</v>
      </c>
      <c r="G1307">
        <v>1</v>
      </c>
      <c r="H1307" t="s">
        <v>23</v>
      </c>
      <c r="I1307" t="s">
        <v>22</v>
      </c>
      <c r="J1307">
        <v>88396.6</v>
      </c>
      <c r="K1307" t="s">
        <v>23</v>
      </c>
      <c r="L1307">
        <v>0.1484241768037502</v>
      </c>
      <c r="M1307" t="s">
        <v>23</v>
      </c>
      <c r="N1307">
        <v>0</v>
      </c>
      <c r="O1307">
        <v>0</v>
      </c>
      <c r="P1307" t="s">
        <v>34</v>
      </c>
      <c r="Q1307" t="s">
        <v>33</v>
      </c>
      <c r="R1307" t="s">
        <v>26</v>
      </c>
      <c r="S1307" t="s">
        <v>27</v>
      </c>
      <c r="T1307" t="s">
        <v>40</v>
      </c>
      <c r="U1307">
        <f t="shared" si="20"/>
        <v>1</v>
      </c>
    </row>
    <row r="1308" spans="1:21" x14ac:dyDescent="0.2">
      <c r="A1308">
        <v>850</v>
      </c>
      <c r="B1308" t="s">
        <v>42</v>
      </c>
      <c r="C1308" t="s">
        <v>32</v>
      </c>
      <c r="D1308">
        <v>28</v>
      </c>
      <c r="E1308">
        <v>9</v>
      </c>
      <c r="F1308">
        <v>0</v>
      </c>
      <c r="G1308">
        <v>2</v>
      </c>
      <c r="H1308" t="s">
        <v>22</v>
      </c>
      <c r="I1308" t="s">
        <v>23</v>
      </c>
      <c r="J1308">
        <v>185821.41</v>
      </c>
      <c r="K1308" t="s">
        <v>23</v>
      </c>
      <c r="L1308">
        <v>9.6563398060233105E-2</v>
      </c>
      <c r="M1308" t="s">
        <v>23</v>
      </c>
      <c r="N1308">
        <v>0</v>
      </c>
      <c r="O1308">
        <v>0</v>
      </c>
      <c r="P1308" t="s">
        <v>34</v>
      </c>
      <c r="Q1308" t="s">
        <v>36</v>
      </c>
      <c r="R1308" t="s">
        <v>29</v>
      </c>
      <c r="S1308" t="s">
        <v>39</v>
      </c>
      <c r="T1308" t="s">
        <v>31</v>
      </c>
      <c r="U1308">
        <f t="shared" si="20"/>
        <v>1</v>
      </c>
    </row>
    <row r="1309" spans="1:21" x14ac:dyDescent="0.2">
      <c r="A1309">
        <v>527</v>
      </c>
      <c r="B1309" t="s">
        <v>41</v>
      </c>
      <c r="C1309" t="s">
        <v>32</v>
      </c>
      <c r="D1309">
        <v>30</v>
      </c>
      <c r="E1309">
        <v>6</v>
      </c>
      <c r="F1309">
        <v>126663.51</v>
      </c>
      <c r="G1309">
        <v>1</v>
      </c>
      <c r="H1309" t="s">
        <v>22</v>
      </c>
      <c r="I1309" t="s">
        <v>22</v>
      </c>
      <c r="J1309">
        <v>162267.91</v>
      </c>
      <c r="K1309" t="s">
        <v>23</v>
      </c>
      <c r="L1309">
        <v>0.1560693397872599</v>
      </c>
      <c r="M1309" t="s">
        <v>23</v>
      </c>
      <c r="N1309">
        <v>0</v>
      </c>
      <c r="O1309">
        <v>0</v>
      </c>
      <c r="P1309" t="s">
        <v>34</v>
      </c>
      <c r="Q1309" t="s">
        <v>36</v>
      </c>
      <c r="R1309" t="s">
        <v>26</v>
      </c>
      <c r="S1309" t="s">
        <v>30</v>
      </c>
      <c r="T1309" t="s">
        <v>31</v>
      </c>
      <c r="U1309">
        <f t="shared" si="20"/>
        <v>1</v>
      </c>
    </row>
    <row r="1310" spans="1:21" x14ac:dyDescent="0.2">
      <c r="A1310">
        <v>576</v>
      </c>
      <c r="B1310" t="s">
        <v>41</v>
      </c>
      <c r="C1310" t="s">
        <v>32</v>
      </c>
      <c r="D1310">
        <v>71</v>
      </c>
      <c r="E1310">
        <v>6</v>
      </c>
      <c r="F1310">
        <v>140273.47</v>
      </c>
      <c r="G1310">
        <v>1</v>
      </c>
      <c r="H1310" t="s">
        <v>22</v>
      </c>
      <c r="I1310" t="s">
        <v>22</v>
      </c>
      <c r="J1310">
        <v>193135.25</v>
      </c>
      <c r="K1310" t="s">
        <v>22</v>
      </c>
      <c r="L1310">
        <v>0.79650113157896962</v>
      </c>
      <c r="M1310" t="s">
        <v>22</v>
      </c>
      <c r="N1310">
        <v>1</v>
      </c>
      <c r="O1310">
        <v>1</v>
      </c>
      <c r="P1310" t="s">
        <v>43</v>
      </c>
      <c r="Q1310" t="s">
        <v>46</v>
      </c>
      <c r="R1310" t="s">
        <v>26</v>
      </c>
      <c r="S1310" t="s">
        <v>30</v>
      </c>
      <c r="T1310" t="s">
        <v>31</v>
      </c>
      <c r="U1310">
        <f t="shared" si="20"/>
        <v>1</v>
      </c>
    </row>
    <row r="1311" spans="1:21" x14ac:dyDescent="0.2">
      <c r="A1311">
        <v>525</v>
      </c>
      <c r="B1311" t="s">
        <v>20</v>
      </c>
      <c r="C1311" t="s">
        <v>32</v>
      </c>
      <c r="D1311">
        <v>60</v>
      </c>
      <c r="E1311">
        <v>7</v>
      </c>
      <c r="F1311">
        <v>0</v>
      </c>
      <c r="G1311">
        <v>2</v>
      </c>
      <c r="H1311" t="s">
        <v>23</v>
      </c>
      <c r="I1311" t="s">
        <v>22</v>
      </c>
      <c r="J1311">
        <v>168034.9</v>
      </c>
      <c r="K1311" t="s">
        <v>23</v>
      </c>
      <c r="L1311">
        <v>0.34687035299177971</v>
      </c>
      <c r="M1311" t="s">
        <v>23</v>
      </c>
      <c r="N1311">
        <v>0</v>
      </c>
      <c r="O1311">
        <v>0</v>
      </c>
      <c r="P1311" t="s">
        <v>24</v>
      </c>
      <c r="Q1311" t="s">
        <v>44</v>
      </c>
      <c r="R1311" t="s">
        <v>29</v>
      </c>
      <c r="S1311" t="s">
        <v>30</v>
      </c>
      <c r="T1311" t="s">
        <v>31</v>
      </c>
      <c r="U1311">
        <f t="shared" si="20"/>
        <v>1</v>
      </c>
    </row>
    <row r="1312" spans="1:21" x14ac:dyDescent="0.2">
      <c r="A1312">
        <v>625</v>
      </c>
      <c r="B1312" t="s">
        <v>42</v>
      </c>
      <c r="C1312" t="s">
        <v>21</v>
      </c>
      <c r="D1312">
        <v>39</v>
      </c>
      <c r="E1312">
        <v>5</v>
      </c>
      <c r="F1312">
        <v>0</v>
      </c>
      <c r="G1312">
        <v>1</v>
      </c>
      <c r="H1312" t="s">
        <v>22</v>
      </c>
      <c r="I1312" t="s">
        <v>23</v>
      </c>
      <c r="J1312">
        <v>99800.87</v>
      </c>
      <c r="K1312" t="s">
        <v>23</v>
      </c>
      <c r="L1312">
        <v>0.15720863091863571</v>
      </c>
      <c r="M1312" t="s">
        <v>23</v>
      </c>
      <c r="N1312">
        <v>0</v>
      </c>
      <c r="O1312">
        <v>0</v>
      </c>
      <c r="P1312" t="s">
        <v>34</v>
      </c>
      <c r="Q1312" t="s">
        <v>33</v>
      </c>
      <c r="R1312" t="s">
        <v>29</v>
      </c>
      <c r="S1312" t="s">
        <v>27</v>
      </c>
      <c r="T1312" t="s">
        <v>40</v>
      </c>
      <c r="U1312">
        <f t="shared" si="20"/>
        <v>1</v>
      </c>
    </row>
    <row r="1313" spans="1:21" x14ac:dyDescent="0.2">
      <c r="A1313">
        <v>539</v>
      </c>
      <c r="B1313" t="s">
        <v>20</v>
      </c>
      <c r="C1313" t="s">
        <v>21</v>
      </c>
      <c r="D1313">
        <v>28</v>
      </c>
      <c r="E1313">
        <v>5</v>
      </c>
      <c r="F1313">
        <v>0</v>
      </c>
      <c r="G1313">
        <v>2</v>
      </c>
      <c r="H1313" t="s">
        <v>22</v>
      </c>
      <c r="I1313" t="s">
        <v>23</v>
      </c>
      <c r="J1313">
        <v>48382.400000000001</v>
      </c>
      <c r="K1313" t="s">
        <v>23</v>
      </c>
      <c r="L1313">
        <v>7.3953728965747936E-2</v>
      </c>
      <c r="M1313" t="s">
        <v>23</v>
      </c>
      <c r="N1313">
        <v>0</v>
      </c>
      <c r="O1313">
        <v>0</v>
      </c>
      <c r="P1313" t="s">
        <v>34</v>
      </c>
      <c r="Q1313" t="s">
        <v>36</v>
      </c>
      <c r="R1313" t="s">
        <v>29</v>
      </c>
      <c r="S1313" t="s">
        <v>30</v>
      </c>
      <c r="T1313" t="s">
        <v>35</v>
      </c>
      <c r="U1313">
        <f t="shared" si="20"/>
        <v>1</v>
      </c>
    </row>
    <row r="1314" spans="1:21" x14ac:dyDescent="0.2">
      <c r="A1314">
        <v>696</v>
      </c>
      <c r="B1314" t="s">
        <v>20</v>
      </c>
      <c r="C1314" t="s">
        <v>32</v>
      </c>
      <c r="D1314">
        <v>30</v>
      </c>
      <c r="E1314">
        <v>0</v>
      </c>
      <c r="F1314">
        <v>0</v>
      </c>
      <c r="G1314">
        <v>2</v>
      </c>
      <c r="H1314" t="s">
        <v>22</v>
      </c>
      <c r="I1314" t="s">
        <v>22</v>
      </c>
      <c r="J1314">
        <v>9002.7999999999993</v>
      </c>
      <c r="K1314" t="s">
        <v>23</v>
      </c>
      <c r="L1314">
        <v>4.9562859600722133E-2</v>
      </c>
      <c r="M1314" t="s">
        <v>23</v>
      </c>
      <c r="N1314">
        <v>0</v>
      </c>
      <c r="O1314">
        <v>0</v>
      </c>
      <c r="P1314" t="s">
        <v>34</v>
      </c>
      <c r="Q1314" t="s">
        <v>36</v>
      </c>
      <c r="R1314" t="s">
        <v>29</v>
      </c>
      <c r="S1314" t="s">
        <v>27</v>
      </c>
      <c r="T1314" t="s">
        <v>35</v>
      </c>
      <c r="U1314">
        <f t="shared" si="20"/>
        <v>1</v>
      </c>
    </row>
    <row r="1315" spans="1:21" x14ac:dyDescent="0.2">
      <c r="A1315">
        <v>601</v>
      </c>
      <c r="B1315" t="s">
        <v>20</v>
      </c>
      <c r="C1315" t="s">
        <v>21</v>
      </c>
      <c r="D1315">
        <v>24</v>
      </c>
      <c r="E1315">
        <v>7</v>
      </c>
      <c r="F1315">
        <v>0</v>
      </c>
      <c r="G1315">
        <v>2</v>
      </c>
      <c r="H1315" t="s">
        <v>23</v>
      </c>
      <c r="I1315" t="s">
        <v>23</v>
      </c>
      <c r="J1315">
        <v>144660.42000000001</v>
      </c>
      <c r="K1315" t="s">
        <v>23</v>
      </c>
      <c r="L1315">
        <v>5.6259415371236438E-2</v>
      </c>
      <c r="M1315" t="s">
        <v>23</v>
      </c>
      <c r="N1315">
        <v>0</v>
      </c>
      <c r="O1315">
        <v>0</v>
      </c>
      <c r="P1315" t="s">
        <v>34</v>
      </c>
      <c r="Q1315" t="s">
        <v>36</v>
      </c>
      <c r="R1315" t="s">
        <v>29</v>
      </c>
      <c r="S1315" t="s">
        <v>27</v>
      </c>
      <c r="T1315" t="s">
        <v>28</v>
      </c>
      <c r="U1315">
        <f t="shared" si="20"/>
        <v>1</v>
      </c>
    </row>
    <row r="1316" spans="1:21" x14ac:dyDescent="0.2">
      <c r="A1316">
        <v>554</v>
      </c>
      <c r="B1316" t="s">
        <v>42</v>
      </c>
      <c r="C1316" t="s">
        <v>32</v>
      </c>
      <c r="D1316">
        <v>35</v>
      </c>
      <c r="E1316">
        <v>10</v>
      </c>
      <c r="F1316">
        <v>74988.59</v>
      </c>
      <c r="G1316">
        <v>2</v>
      </c>
      <c r="H1316" t="s">
        <v>23</v>
      </c>
      <c r="I1316" t="s">
        <v>22</v>
      </c>
      <c r="J1316">
        <v>190155.13</v>
      </c>
      <c r="K1316" t="s">
        <v>23</v>
      </c>
      <c r="L1316">
        <v>8.3647695347361106E-2</v>
      </c>
      <c r="M1316" t="s">
        <v>23</v>
      </c>
      <c r="N1316">
        <v>0</v>
      </c>
      <c r="O1316">
        <v>0</v>
      </c>
      <c r="P1316" t="s">
        <v>34</v>
      </c>
      <c r="Q1316" t="s">
        <v>33</v>
      </c>
      <c r="R1316" t="s">
        <v>38</v>
      </c>
      <c r="S1316" t="s">
        <v>30</v>
      </c>
      <c r="T1316" t="s">
        <v>31</v>
      </c>
      <c r="U1316">
        <f t="shared" si="20"/>
        <v>1</v>
      </c>
    </row>
    <row r="1317" spans="1:21" x14ac:dyDescent="0.2">
      <c r="A1317">
        <v>774</v>
      </c>
      <c r="B1317" t="s">
        <v>42</v>
      </c>
      <c r="C1317" t="s">
        <v>32</v>
      </c>
      <c r="D1317">
        <v>47</v>
      </c>
      <c r="E1317">
        <v>6</v>
      </c>
      <c r="F1317">
        <v>94722.880000000005</v>
      </c>
      <c r="G1317">
        <v>1</v>
      </c>
      <c r="H1317" t="s">
        <v>23</v>
      </c>
      <c r="I1317" t="s">
        <v>22</v>
      </c>
      <c r="J1317">
        <v>61450.96</v>
      </c>
      <c r="K1317" t="s">
        <v>23</v>
      </c>
      <c r="L1317">
        <v>0.18298118924259391</v>
      </c>
      <c r="M1317" t="s">
        <v>23</v>
      </c>
      <c r="N1317">
        <v>0</v>
      </c>
      <c r="O1317">
        <v>0</v>
      </c>
      <c r="P1317" t="s">
        <v>34</v>
      </c>
      <c r="Q1317" t="s">
        <v>25</v>
      </c>
      <c r="R1317" t="s">
        <v>38</v>
      </c>
      <c r="S1317" t="s">
        <v>37</v>
      </c>
      <c r="T1317" t="s">
        <v>40</v>
      </c>
      <c r="U1317">
        <f t="shared" si="20"/>
        <v>1</v>
      </c>
    </row>
    <row r="1318" spans="1:21" x14ac:dyDescent="0.2">
      <c r="A1318">
        <v>792</v>
      </c>
      <c r="B1318" t="s">
        <v>42</v>
      </c>
      <c r="C1318" t="s">
        <v>21</v>
      </c>
      <c r="D1318">
        <v>31</v>
      </c>
      <c r="E1318">
        <v>6</v>
      </c>
      <c r="F1318">
        <v>71269.89</v>
      </c>
      <c r="G1318">
        <v>2</v>
      </c>
      <c r="H1318" t="s">
        <v>23</v>
      </c>
      <c r="I1318" t="s">
        <v>22</v>
      </c>
      <c r="J1318">
        <v>125912.77</v>
      </c>
      <c r="K1318" t="s">
        <v>23</v>
      </c>
      <c r="L1318">
        <v>3.3296638533023087E-2</v>
      </c>
      <c r="M1318" t="s">
        <v>23</v>
      </c>
      <c r="N1318">
        <v>0</v>
      </c>
      <c r="O1318">
        <v>0</v>
      </c>
      <c r="P1318" t="s">
        <v>34</v>
      </c>
      <c r="Q1318" t="s">
        <v>33</v>
      </c>
      <c r="R1318" t="s">
        <v>38</v>
      </c>
      <c r="S1318" t="s">
        <v>37</v>
      </c>
      <c r="T1318" t="s">
        <v>28</v>
      </c>
      <c r="U1318">
        <f t="shared" si="20"/>
        <v>1</v>
      </c>
    </row>
    <row r="1319" spans="1:21" x14ac:dyDescent="0.2">
      <c r="A1319">
        <v>748</v>
      </c>
      <c r="B1319" t="s">
        <v>42</v>
      </c>
      <c r="C1319" t="s">
        <v>32</v>
      </c>
      <c r="D1319">
        <v>41</v>
      </c>
      <c r="E1319">
        <v>2</v>
      </c>
      <c r="F1319">
        <v>91621.69</v>
      </c>
      <c r="G1319">
        <v>1</v>
      </c>
      <c r="H1319" t="s">
        <v>22</v>
      </c>
      <c r="I1319" t="s">
        <v>22</v>
      </c>
      <c r="J1319">
        <v>71139.31</v>
      </c>
      <c r="K1319" t="s">
        <v>23</v>
      </c>
      <c r="L1319">
        <v>0.13262829403922821</v>
      </c>
      <c r="M1319" t="s">
        <v>23</v>
      </c>
      <c r="N1319">
        <v>0</v>
      </c>
      <c r="O1319">
        <v>0</v>
      </c>
      <c r="P1319" t="s">
        <v>34</v>
      </c>
      <c r="Q1319" t="s">
        <v>25</v>
      </c>
      <c r="R1319" t="s">
        <v>38</v>
      </c>
      <c r="S1319" t="s">
        <v>37</v>
      </c>
      <c r="T1319" t="s">
        <v>40</v>
      </c>
      <c r="U1319">
        <f t="shared" si="20"/>
        <v>1</v>
      </c>
    </row>
    <row r="1320" spans="1:21" x14ac:dyDescent="0.2">
      <c r="A1320">
        <v>661</v>
      </c>
      <c r="B1320" t="s">
        <v>42</v>
      </c>
      <c r="C1320" t="s">
        <v>21</v>
      </c>
      <c r="D1320">
        <v>26</v>
      </c>
      <c r="E1320">
        <v>8</v>
      </c>
      <c r="F1320">
        <v>0</v>
      </c>
      <c r="G1320">
        <v>2</v>
      </c>
      <c r="H1320" t="s">
        <v>23</v>
      </c>
      <c r="I1320" t="s">
        <v>23</v>
      </c>
      <c r="J1320">
        <v>196875.87</v>
      </c>
      <c r="K1320" t="s">
        <v>23</v>
      </c>
      <c r="L1320">
        <v>6.0515627254081092E-2</v>
      </c>
      <c r="M1320" t="s">
        <v>23</v>
      </c>
      <c r="N1320">
        <v>0</v>
      </c>
      <c r="O1320">
        <v>0</v>
      </c>
      <c r="P1320" t="s">
        <v>34</v>
      </c>
      <c r="Q1320" t="s">
        <v>36</v>
      </c>
      <c r="R1320" t="s">
        <v>29</v>
      </c>
      <c r="S1320" t="s">
        <v>27</v>
      </c>
      <c r="T1320" t="s">
        <v>31</v>
      </c>
      <c r="U1320">
        <f t="shared" si="20"/>
        <v>1</v>
      </c>
    </row>
    <row r="1321" spans="1:21" x14ac:dyDescent="0.2">
      <c r="A1321">
        <v>647</v>
      </c>
      <c r="B1321" t="s">
        <v>42</v>
      </c>
      <c r="C1321" t="s">
        <v>21</v>
      </c>
      <c r="D1321">
        <v>32</v>
      </c>
      <c r="E1321">
        <v>5</v>
      </c>
      <c r="F1321">
        <v>97041.16</v>
      </c>
      <c r="G1321">
        <v>1</v>
      </c>
      <c r="H1321" t="s">
        <v>22</v>
      </c>
      <c r="I1321" t="s">
        <v>22</v>
      </c>
      <c r="J1321">
        <v>23132.73</v>
      </c>
      <c r="K1321" t="s">
        <v>23</v>
      </c>
      <c r="L1321">
        <v>4.3372893484029541E-2</v>
      </c>
      <c r="M1321" t="s">
        <v>23</v>
      </c>
      <c r="N1321">
        <v>0</v>
      </c>
      <c r="O1321">
        <v>0</v>
      </c>
      <c r="P1321" t="s">
        <v>34</v>
      </c>
      <c r="Q1321" t="s">
        <v>33</v>
      </c>
      <c r="R1321" t="s">
        <v>38</v>
      </c>
      <c r="S1321" t="s">
        <v>27</v>
      </c>
      <c r="T1321" t="s">
        <v>35</v>
      </c>
      <c r="U1321">
        <f t="shared" si="20"/>
        <v>1</v>
      </c>
    </row>
    <row r="1322" spans="1:21" x14ac:dyDescent="0.2">
      <c r="A1322">
        <v>575</v>
      </c>
      <c r="B1322" t="s">
        <v>42</v>
      </c>
      <c r="C1322" t="s">
        <v>21</v>
      </c>
      <c r="D1322">
        <v>24</v>
      </c>
      <c r="E1322">
        <v>2</v>
      </c>
      <c r="F1322">
        <v>0</v>
      </c>
      <c r="G1322">
        <v>2</v>
      </c>
      <c r="H1322" t="s">
        <v>22</v>
      </c>
      <c r="I1322" t="s">
        <v>22</v>
      </c>
      <c r="J1322">
        <v>119927.81</v>
      </c>
      <c r="K1322" t="s">
        <v>23</v>
      </c>
      <c r="L1322">
        <v>2.0286983653236671E-2</v>
      </c>
      <c r="M1322" t="s">
        <v>23</v>
      </c>
      <c r="N1322">
        <v>0</v>
      </c>
      <c r="O1322">
        <v>0</v>
      </c>
      <c r="P1322" t="s">
        <v>34</v>
      </c>
      <c r="Q1322" t="s">
        <v>36</v>
      </c>
      <c r="R1322" t="s">
        <v>29</v>
      </c>
      <c r="S1322" t="s">
        <v>30</v>
      </c>
      <c r="T1322" t="s">
        <v>28</v>
      </c>
      <c r="U1322">
        <f t="shared" si="20"/>
        <v>1</v>
      </c>
    </row>
    <row r="1323" spans="1:21" x14ac:dyDescent="0.2">
      <c r="A1323">
        <v>850</v>
      </c>
      <c r="B1323" t="s">
        <v>42</v>
      </c>
      <c r="C1323" t="s">
        <v>21</v>
      </c>
      <c r="D1323">
        <v>36</v>
      </c>
      <c r="E1323">
        <v>3</v>
      </c>
      <c r="F1323">
        <v>0</v>
      </c>
      <c r="G1323">
        <v>2</v>
      </c>
      <c r="H1323" t="s">
        <v>22</v>
      </c>
      <c r="I1323" t="s">
        <v>23</v>
      </c>
      <c r="J1323">
        <v>195033.07</v>
      </c>
      <c r="K1323" t="s">
        <v>23</v>
      </c>
      <c r="L1323">
        <v>0.11228066232884749</v>
      </c>
      <c r="M1323" t="s">
        <v>23</v>
      </c>
      <c r="N1323">
        <v>0</v>
      </c>
      <c r="O1323">
        <v>0</v>
      </c>
      <c r="P1323" t="s">
        <v>34</v>
      </c>
      <c r="Q1323" t="s">
        <v>33</v>
      </c>
      <c r="R1323" t="s">
        <v>29</v>
      </c>
      <c r="S1323" t="s">
        <v>39</v>
      </c>
      <c r="T1323" t="s">
        <v>31</v>
      </c>
      <c r="U1323">
        <f t="shared" si="20"/>
        <v>1</v>
      </c>
    </row>
    <row r="1324" spans="1:21" x14ac:dyDescent="0.2">
      <c r="A1324">
        <v>589</v>
      </c>
      <c r="B1324" t="s">
        <v>42</v>
      </c>
      <c r="C1324" t="s">
        <v>32</v>
      </c>
      <c r="D1324">
        <v>37</v>
      </c>
      <c r="E1324">
        <v>6</v>
      </c>
      <c r="F1324">
        <v>138497.84</v>
      </c>
      <c r="G1324">
        <v>1</v>
      </c>
      <c r="H1324" t="s">
        <v>23</v>
      </c>
      <c r="I1324" t="s">
        <v>22</v>
      </c>
      <c r="J1324">
        <v>18988.580000000002</v>
      </c>
      <c r="K1324" t="s">
        <v>23</v>
      </c>
      <c r="L1324">
        <v>0.117281337156819</v>
      </c>
      <c r="M1324" t="s">
        <v>23</v>
      </c>
      <c r="N1324">
        <v>0</v>
      </c>
      <c r="O1324">
        <v>0</v>
      </c>
      <c r="P1324" t="s">
        <v>34</v>
      </c>
      <c r="Q1324" t="s">
        <v>33</v>
      </c>
      <c r="R1324" t="s">
        <v>26</v>
      </c>
      <c r="S1324" t="s">
        <v>30</v>
      </c>
      <c r="T1324" t="s">
        <v>35</v>
      </c>
      <c r="U1324">
        <f t="shared" si="20"/>
        <v>1</v>
      </c>
    </row>
    <row r="1325" spans="1:21" x14ac:dyDescent="0.2">
      <c r="A1325">
        <v>605</v>
      </c>
      <c r="B1325" t="s">
        <v>20</v>
      </c>
      <c r="C1325" t="s">
        <v>21</v>
      </c>
      <c r="D1325">
        <v>47</v>
      </c>
      <c r="E1325">
        <v>7</v>
      </c>
      <c r="F1325">
        <v>142643.54</v>
      </c>
      <c r="G1325">
        <v>1</v>
      </c>
      <c r="H1325" t="s">
        <v>22</v>
      </c>
      <c r="I1325" t="s">
        <v>23</v>
      </c>
      <c r="J1325">
        <v>189310.27</v>
      </c>
      <c r="K1325" t="s">
        <v>23</v>
      </c>
      <c r="L1325">
        <v>0.34192542591815578</v>
      </c>
      <c r="M1325" t="s">
        <v>23</v>
      </c>
      <c r="N1325">
        <v>0</v>
      </c>
      <c r="O1325">
        <v>0</v>
      </c>
      <c r="P1325" t="s">
        <v>24</v>
      </c>
      <c r="Q1325" t="s">
        <v>25</v>
      </c>
      <c r="R1325" t="s">
        <v>26</v>
      </c>
      <c r="S1325" t="s">
        <v>27</v>
      </c>
      <c r="T1325" t="s">
        <v>31</v>
      </c>
      <c r="U1325">
        <f t="shared" si="20"/>
        <v>1</v>
      </c>
    </row>
    <row r="1326" spans="1:21" x14ac:dyDescent="0.2">
      <c r="A1326">
        <v>827</v>
      </c>
      <c r="B1326" t="s">
        <v>42</v>
      </c>
      <c r="C1326" t="s">
        <v>21</v>
      </c>
      <c r="D1326">
        <v>38</v>
      </c>
      <c r="E1326">
        <v>5</v>
      </c>
      <c r="F1326">
        <v>0</v>
      </c>
      <c r="G1326">
        <v>2</v>
      </c>
      <c r="H1326" t="s">
        <v>23</v>
      </c>
      <c r="I1326" t="s">
        <v>23</v>
      </c>
      <c r="J1326">
        <v>103305.01</v>
      </c>
      <c r="K1326" t="s">
        <v>23</v>
      </c>
      <c r="L1326">
        <v>0.1232048071150427</v>
      </c>
      <c r="M1326" t="s">
        <v>23</v>
      </c>
      <c r="N1326">
        <v>0</v>
      </c>
      <c r="O1326">
        <v>0</v>
      </c>
      <c r="P1326" t="s">
        <v>34</v>
      </c>
      <c r="Q1326" t="s">
        <v>33</v>
      </c>
      <c r="R1326" t="s">
        <v>29</v>
      </c>
      <c r="S1326" t="s">
        <v>39</v>
      </c>
      <c r="T1326" t="s">
        <v>28</v>
      </c>
      <c r="U1326">
        <f t="shared" si="20"/>
        <v>1</v>
      </c>
    </row>
    <row r="1327" spans="1:21" x14ac:dyDescent="0.2">
      <c r="A1327">
        <v>703</v>
      </c>
      <c r="B1327" t="s">
        <v>42</v>
      </c>
      <c r="C1327" t="s">
        <v>32</v>
      </c>
      <c r="D1327">
        <v>42</v>
      </c>
      <c r="E1327">
        <v>7</v>
      </c>
      <c r="F1327">
        <v>0</v>
      </c>
      <c r="G1327">
        <v>2</v>
      </c>
      <c r="H1327" t="s">
        <v>23</v>
      </c>
      <c r="I1327" t="s">
        <v>22</v>
      </c>
      <c r="J1327">
        <v>72500.679999999993</v>
      </c>
      <c r="K1327" t="s">
        <v>23</v>
      </c>
      <c r="L1327">
        <v>0.1015784747596476</v>
      </c>
      <c r="M1327" t="s">
        <v>23</v>
      </c>
      <c r="N1327">
        <v>0</v>
      </c>
      <c r="O1327">
        <v>0</v>
      </c>
      <c r="P1327" t="s">
        <v>34</v>
      </c>
      <c r="Q1327" t="s">
        <v>25</v>
      </c>
      <c r="R1327" t="s">
        <v>29</v>
      </c>
      <c r="S1327" t="s">
        <v>37</v>
      </c>
      <c r="T1327" t="s">
        <v>40</v>
      </c>
      <c r="U1327">
        <f t="shared" si="20"/>
        <v>1</v>
      </c>
    </row>
    <row r="1328" spans="1:21" x14ac:dyDescent="0.2">
      <c r="A1328">
        <v>827</v>
      </c>
      <c r="B1328" t="s">
        <v>20</v>
      </c>
      <c r="C1328" t="s">
        <v>32</v>
      </c>
      <c r="D1328">
        <v>35</v>
      </c>
      <c r="E1328">
        <v>0</v>
      </c>
      <c r="F1328">
        <v>0</v>
      </c>
      <c r="G1328">
        <v>2</v>
      </c>
      <c r="H1328" t="s">
        <v>23</v>
      </c>
      <c r="I1328" t="s">
        <v>22</v>
      </c>
      <c r="J1328">
        <v>184514.01</v>
      </c>
      <c r="K1328" t="s">
        <v>23</v>
      </c>
      <c r="L1328">
        <v>7.283050550983558E-2</v>
      </c>
      <c r="M1328" t="s">
        <v>23</v>
      </c>
      <c r="N1328">
        <v>0</v>
      </c>
      <c r="O1328">
        <v>0</v>
      </c>
      <c r="P1328" t="s">
        <v>34</v>
      </c>
      <c r="Q1328" t="s">
        <v>33</v>
      </c>
      <c r="R1328" t="s">
        <v>29</v>
      </c>
      <c r="S1328" t="s">
        <v>39</v>
      </c>
      <c r="T1328" t="s">
        <v>31</v>
      </c>
      <c r="U1328">
        <f t="shared" si="20"/>
        <v>1</v>
      </c>
    </row>
    <row r="1329" spans="1:21" x14ac:dyDescent="0.2">
      <c r="A1329">
        <v>654</v>
      </c>
      <c r="B1329" t="s">
        <v>42</v>
      </c>
      <c r="C1329" t="s">
        <v>21</v>
      </c>
      <c r="D1329">
        <v>36</v>
      </c>
      <c r="E1329">
        <v>2</v>
      </c>
      <c r="F1329">
        <v>112262.84</v>
      </c>
      <c r="G1329">
        <v>1</v>
      </c>
      <c r="H1329" t="s">
        <v>22</v>
      </c>
      <c r="I1329" t="s">
        <v>23</v>
      </c>
      <c r="J1329">
        <v>12873.39</v>
      </c>
      <c r="K1329" t="s">
        <v>23</v>
      </c>
      <c r="L1329">
        <v>0.1652722698987257</v>
      </c>
      <c r="M1329" t="s">
        <v>23</v>
      </c>
      <c r="N1329">
        <v>0</v>
      </c>
      <c r="O1329">
        <v>0</v>
      </c>
      <c r="P1329" t="s">
        <v>34</v>
      </c>
      <c r="Q1329" t="s">
        <v>33</v>
      </c>
      <c r="R1329" t="s">
        <v>26</v>
      </c>
      <c r="S1329" t="s">
        <v>27</v>
      </c>
      <c r="T1329" t="s">
        <v>35</v>
      </c>
      <c r="U1329">
        <f t="shared" si="20"/>
        <v>1</v>
      </c>
    </row>
    <row r="1330" spans="1:21" x14ac:dyDescent="0.2">
      <c r="A1330">
        <v>654</v>
      </c>
      <c r="B1330" t="s">
        <v>20</v>
      </c>
      <c r="C1330" t="s">
        <v>32</v>
      </c>
      <c r="D1330">
        <v>36</v>
      </c>
      <c r="E1330">
        <v>5</v>
      </c>
      <c r="F1330">
        <v>0</v>
      </c>
      <c r="G1330">
        <v>2</v>
      </c>
      <c r="H1330" t="s">
        <v>23</v>
      </c>
      <c r="I1330" t="s">
        <v>23</v>
      </c>
      <c r="J1330">
        <v>157238.04999999999</v>
      </c>
      <c r="K1330" t="s">
        <v>23</v>
      </c>
      <c r="L1330">
        <v>0.20188277883215461</v>
      </c>
      <c r="M1330" t="s">
        <v>23</v>
      </c>
      <c r="N1330">
        <v>0</v>
      </c>
      <c r="O1330">
        <v>0</v>
      </c>
      <c r="P1330" t="s">
        <v>24</v>
      </c>
      <c r="Q1330" t="s">
        <v>33</v>
      </c>
      <c r="R1330" t="s">
        <v>29</v>
      </c>
      <c r="S1330" t="s">
        <v>27</v>
      </c>
      <c r="T1330" t="s">
        <v>31</v>
      </c>
      <c r="U1330">
        <f t="shared" si="20"/>
        <v>1</v>
      </c>
    </row>
    <row r="1331" spans="1:21" x14ac:dyDescent="0.2">
      <c r="A1331">
        <v>633</v>
      </c>
      <c r="B1331" t="s">
        <v>42</v>
      </c>
      <c r="C1331" t="s">
        <v>32</v>
      </c>
      <c r="D1331">
        <v>60</v>
      </c>
      <c r="E1331">
        <v>8</v>
      </c>
      <c r="F1331">
        <v>69365.25</v>
      </c>
      <c r="G1331">
        <v>1</v>
      </c>
      <c r="H1331" t="s">
        <v>22</v>
      </c>
      <c r="I1331" t="s">
        <v>22</v>
      </c>
      <c r="J1331">
        <v>10288.24</v>
      </c>
      <c r="K1331" t="s">
        <v>23</v>
      </c>
      <c r="L1331">
        <v>0.35368387287093839</v>
      </c>
      <c r="M1331" t="s">
        <v>23</v>
      </c>
      <c r="N1331">
        <v>0</v>
      </c>
      <c r="O1331">
        <v>0</v>
      </c>
      <c r="P1331" t="s">
        <v>24</v>
      </c>
      <c r="Q1331" t="s">
        <v>44</v>
      </c>
      <c r="R1331" t="s">
        <v>38</v>
      </c>
      <c r="S1331" t="s">
        <v>27</v>
      </c>
      <c r="T1331" t="s">
        <v>35</v>
      </c>
      <c r="U1331">
        <f t="shared" si="20"/>
        <v>1</v>
      </c>
    </row>
    <row r="1332" spans="1:21" x14ac:dyDescent="0.2">
      <c r="A1332">
        <v>454</v>
      </c>
      <c r="B1332" t="s">
        <v>20</v>
      </c>
      <c r="C1332" t="s">
        <v>32</v>
      </c>
      <c r="D1332">
        <v>48</v>
      </c>
      <c r="E1332">
        <v>5</v>
      </c>
      <c r="F1332">
        <v>144837.79</v>
      </c>
      <c r="G1332">
        <v>1</v>
      </c>
      <c r="H1332" t="s">
        <v>22</v>
      </c>
      <c r="I1332" t="s">
        <v>22</v>
      </c>
      <c r="J1332">
        <v>93151.77</v>
      </c>
      <c r="K1332" t="s">
        <v>23</v>
      </c>
      <c r="L1332">
        <v>0.26364273482566059</v>
      </c>
      <c r="M1332" t="s">
        <v>23</v>
      </c>
      <c r="N1332">
        <v>0</v>
      </c>
      <c r="O1332">
        <v>0</v>
      </c>
      <c r="P1332" t="s">
        <v>24</v>
      </c>
      <c r="Q1332" t="s">
        <v>25</v>
      </c>
      <c r="R1332" t="s">
        <v>26</v>
      </c>
      <c r="S1332" t="s">
        <v>45</v>
      </c>
      <c r="T1332" t="s">
        <v>40</v>
      </c>
      <c r="U1332">
        <f t="shared" si="20"/>
        <v>1</v>
      </c>
    </row>
    <row r="1333" spans="1:21" x14ac:dyDescent="0.2">
      <c r="A1333">
        <v>637</v>
      </c>
      <c r="B1333" t="s">
        <v>42</v>
      </c>
      <c r="C1333" t="s">
        <v>21</v>
      </c>
      <c r="D1333">
        <v>27</v>
      </c>
      <c r="E1333">
        <v>9</v>
      </c>
      <c r="F1333">
        <v>128940.24</v>
      </c>
      <c r="G1333">
        <v>1</v>
      </c>
      <c r="H1333" t="s">
        <v>22</v>
      </c>
      <c r="I1333" t="s">
        <v>23</v>
      </c>
      <c r="J1333">
        <v>46786.92</v>
      </c>
      <c r="K1333" t="s">
        <v>23</v>
      </c>
      <c r="L1333">
        <v>8.7066077498654096E-2</v>
      </c>
      <c r="M1333" t="s">
        <v>23</v>
      </c>
      <c r="N1333">
        <v>0</v>
      </c>
      <c r="O1333">
        <v>0</v>
      </c>
      <c r="P1333" t="s">
        <v>34</v>
      </c>
      <c r="Q1333" t="s">
        <v>36</v>
      </c>
      <c r="R1333" t="s">
        <v>26</v>
      </c>
      <c r="S1333" t="s">
        <v>27</v>
      </c>
      <c r="T1333" t="s">
        <v>35</v>
      </c>
      <c r="U1333">
        <f t="shared" si="20"/>
        <v>1</v>
      </c>
    </row>
    <row r="1334" spans="1:21" x14ac:dyDescent="0.2">
      <c r="A1334">
        <v>725</v>
      </c>
      <c r="B1334" t="s">
        <v>42</v>
      </c>
      <c r="C1334" t="s">
        <v>32</v>
      </c>
      <c r="D1334">
        <v>31</v>
      </c>
      <c r="E1334">
        <v>6</v>
      </c>
      <c r="F1334">
        <v>0</v>
      </c>
      <c r="G1334">
        <v>1</v>
      </c>
      <c r="H1334" t="s">
        <v>23</v>
      </c>
      <c r="I1334" t="s">
        <v>23</v>
      </c>
      <c r="J1334">
        <v>61326.43</v>
      </c>
      <c r="K1334" t="s">
        <v>23</v>
      </c>
      <c r="L1334">
        <v>0.14161389734657021</v>
      </c>
      <c r="M1334" t="s">
        <v>23</v>
      </c>
      <c r="N1334">
        <v>0</v>
      </c>
      <c r="O1334">
        <v>0</v>
      </c>
      <c r="P1334" t="s">
        <v>34</v>
      </c>
      <c r="Q1334" t="s">
        <v>33</v>
      </c>
      <c r="R1334" t="s">
        <v>29</v>
      </c>
      <c r="S1334" t="s">
        <v>37</v>
      </c>
      <c r="T1334" t="s">
        <v>40</v>
      </c>
      <c r="U1334">
        <f t="shared" si="20"/>
        <v>1</v>
      </c>
    </row>
    <row r="1335" spans="1:21" x14ac:dyDescent="0.2">
      <c r="A1335">
        <v>787</v>
      </c>
      <c r="B1335" t="s">
        <v>20</v>
      </c>
      <c r="C1335" t="s">
        <v>21</v>
      </c>
      <c r="D1335">
        <v>39</v>
      </c>
      <c r="E1335">
        <v>10</v>
      </c>
      <c r="F1335">
        <v>108935.39</v>
      </c>
      <c r="G1335">
        <v>1</v>
      </c>
      <c r="H1335" t="s">
        <v>22</v>
      </c>
      <c r="I1335" t="s">
        <v>22</v>
      </c>
      <c r="J1335">
        <v>101168.3</v>
      </c>
      <c r="K1335" t="s">
        <v>23</v>
      </c>
      <c r="L1335">
        <v>6.5462063890523475E-2</v>
      </c>
      <c r="M1335" t="s">
        <v>23</v>
      </c>
      <c r="N1335">
        <v>0</v>
      </c>
      <c r="O1335">
        <v>0</v>
      </c>
      <c r="P1335" t="s">
        <v>34</v>
      </c>
      <c r="Q1335" t="s">
        <v>33</v>
      </c>
      <c r="R1335" t="s">
        <v>26</v>
      </c>
      <c r="S1335" t="s">
        <v>37</v>
      </c>
      <c r="T1335" t="s">
        <v>28</v>
      </c>
      <c r="U1335">
        <f t="shared" si="20"/>
        <v>1</v>
      </c>
    </row>
    <row r="1336" spans="1:21" x14ac:dyDescent="0.2">
      <c r="A1336">
        <v>436</v>
      </c>
      <c r="B1336" t="s">
        <v>41</v>
      </c>
      <c r="C1336" t="s">
        <v>21</v>
      </c>
      <c r="D1336">
        <v>45</v>
      </c>
      <c r="E1336">
        <v>3</v>
      </c>
      <c r="F1336">
        <v>104339.11</v>
      </c>
      <c r="G1336">
        <v>2</v>
      </c>
      <c r="H1336" t="s">
        <v>22</v>
      </c>
      <c r="I1336" t="s">
        <v>22</v>
      </c>
      <c r="J1336">
        <v>183540.22</v>
      </c>
      <c r="K1336" t="s">
        <v>22</v>
      </c>
      <c r="L1336">
        <v>0.24002345774758471</v>
      </c>
      <c r="M1336" t="s">
        <v>23</v>
      </c>
      <c r="N1336">
        <v>1</v>
      </c>
      <c r="O1336">
        <v>0</v>
      </c>
      <c r="P1336" t="s">
        <v>24</v>
      </c>
      <c r="Q1336" t="s">
        <v>25</v>
      </c>
      <c r="R1336" t="s">
        <v>26</v>
      </c>
      <c r="S1336" t="s">
        <v>45</v>
      </c>
      <c r="T1336" t="s">
        <v>31</v>
      </c>
      <c r="U1336">
        <f t="shared" si="20"/>
        <v>0</v>
      </c>
    </row>
    <row r="1337" spans="1:21" x14ac:dyDescent="0.2">
      <c r="A1337">
        <v>578</v>
      </c>
      <c r="B1337" t="s">
        <v>42</v>
      </c>
      <c r="C1337" t="s">
        <v>21</v>
      </c>
      <c r="D1337">
        <v>39</v>
      </c>
      <c r="E1337">
        <v>2</v>
      </c>
      <c r="F1337">
        <v>0</v>
      </c>
      <c r="G1337">
        <v>2</v>
      </c>
      <c r="H1337" t="s">
        <v>22</v>
      </c>
      <c r="I1337" t="s">
        <v>23</v>
      </c>
      <c r="J1337">
        <v>70563.899999999994</v>
      </c>
      <c r="K1337" t="s">
        <v>23</v>
      </c>
      <c r="L1337">
        <v>0.15352575441846161</v>
      </c>
      <c r="M1337" t="s">
        <v>23</v>
      </c>
      <c r="N1337">
        <v>0</v>
      </c>
      <c r="O1337">
        <v>0</v>
      </c>
      <c r="P1337" t="s">
        <v>34</v>
      </c>
      <c r="Q1337" t="s">
        <v>33</v>
      </c>
      <c r="R1337" t="s">
        <v>29</v>
      </c>
      <c r="S1337" t="s">
        <v>30</v>
      </c>
      <c r="T1337" t="s">
        <v>40</v>
      </c>
      <c r="U1337">
        <f t="shared" si="20"/>
        <v>1</v>
      </c>
    </row>
    <row r="1338" spans="1:21" x14ac:dyDescent="0.2">
      <c r="A1338">
        <v>599</v>
      </c>
      <c r="B1338" t="s">
        <v>42</v>
      </c>
      <c r="C1338" t="s">
        <v>32</v>
      </c>
      <c r="D1338">
        <v>43</v>
      </c>
      <c r="E1338">
        <v>4</v>
      </c>
      <c r="F1338">
        <v>0</v>
      </c>
      <c r="G1338">
        <v>1</v>
      </c>
      <c r="H1338" t="s">
        <v>22</v>
      </c>
      <c r="I1338" t="s">
        <v>23</v>
      </c>
      <c r="J1338">
        <v>170347.1</v>
      </c>
      <c r="K1338" t="s">
        <v>23</v>
      </c>
      <c r="L1338">
        <v>0.31898438285559888</v>
      </c>
      <c r="M1338" t="s">
        <v>23</v>
      </c>
      <c r="N1338">
        <v>0</v>
      </c>
      <c r="O1338">
        <v>0</v>
      </c>
      <c r="P1338" t="s">
        <v>24</v>
      </c>
      <c r="Q1338" t="s">
        <v>25</v>
      </c>
      <c r="R1338" t="s">
        <v>29</v>
      </c>
      <c r="S1338" t="s">
        <v>30</v>
      </c>
      <c r="T1338" t="s">
        <v>31</v>
      </c>
      <c r="U1338">
        <f t="shared" si="20"/>
        <v>1</v>
      </c>
    </row>
    <row r="1339" spans="1:21" x14ac:dyDescent="0.2">
      <c r="A1339">
        <v>825</v>
      </c>
      <c r="B1339" t="s">
        <v>42</v>
      </c>
      <c r="C1339" t="s">
        <v>32</v>
      </c>
      <c r="D1339">
        <v>36</v>
      </c>
      <c r="E1339">
        <v>3</v>
      </c>
      <c r="F1339">
        <v>146053.66</v>
      </c>
      <c r="G1339">
        <v>1</v>
      </c>
      <c r="H1339" t="s">
        <v>22</v>
      </c>
      <c r="I1339" t="s">
        <v>22</v>
      </c>
      <c r="J1339">
        <v>138344.70000000001</v>
      </c>
      <c r="K1339" t="s">
        <v>23</v>
      </c>
      <c r="L1339">
        <v>0.1050525955149987</v>
      </c>
      <c r="M1339" t="s">
        <v>23</v>
      </c>
      <c r="N1339">
        <v>0</v>
      </c>
      <c r="O1339">
        <v>0</v>
      </c>
      <c r="P1339" t="s">
        <v>34</v>
      </c>
      <c r="Q1339" t="s">
        <v>33</v>
      </c>
      <c r="R1339" t="s">
        <v>26</v>
      </c>
      <c r="S1339" t="s">
        <v>39</v>
      </c>
      <c r="T1339" t="s">
        <v>28</v>
      </c>
      <c r="U1339">
        <f t="shared" si="20"/>
        <v>1</v>
      </c>
    </row>
    <row r="1340" spans="1:21" x14ac:dyDescent="0.2">
      <c r="A1340">
        <v>515</v>
      </c>
      <c r="B1340" t="s">
        <v>20</v>
      </c>
      <c r="C1340" t="s">
        <v>21</v>
      </c>
      <c r="D1340">
        <v>29</v>
      </c>
      <c r="E1340">
        <v>4</v>
      </c>
      <c r="F1340">
        <v>151012.54999999999</v>
      </c>
      <c r="G1340">
        <v>2</v>
      </c>
      <c r="H1340" t="s">
        <v>22</v>
      </c>
      <c r="I1340" t="s">
        <v>23</v>
      </c>
      <c r="J1340">
        <v>9770.9699999999993</v>
      </c>
      <c r="K1340" t="s">
        <v>23</v>
      </c>
      <c r="L1340">
        <v>0.1143257580580772</v>
      </c>
      <c r="M1340" t="s">
        <v>23</v>
      </c>
      <c r="N1340">
        <v>0</v>
      </c>
      <c r="O1340">
        <v>0</v>
      </c>
      <c r="P1340" t="s">
        <v>34</v>
      </c>
      <c r="Q1340" t="s">
        <v>36</v>
      </c>
      <c r="R1340" t="s">
        <v>47</v>
      </c>
      <c r="S1340" t="s">
        <v>30</v>
      </c>
      <c r="T1340" t="s">
        <v>35</v>
      </c>
      <c r="U1340">
        <f t="shared" si="20"/>
        <v>1</v>
      </c>
    </row>
    <row r="1341" spans="1:21" x14ac:dyDescent="0.2">
      <c r="A1341">
        <v>663</v>
      </c>
      <c r="B1341" t="s">
        <v>20</v>
      </c>
      <c r="C1341" t="s">
        <v>32</v>
      </c>
      <c r="D1341">
        <v>58</v>
      </c>
      <c r="E1341">
        <v>5</v>
      </c>
      <c r="F1341">
        <v>216109.88</v>
      </c>
      <c r="G1341">
        <v>1</v>
      </c>
      <c r="H1341" t="s">
        <v>23</v>
      </c>
      <c r="I1341" t="s">
        <v>22</v>
      </c>
      <c r="J1341">
        <v>74176.710000000006</v>
      </c>
      <c r="K1341" t="s">
        <v>22</v>
      </c>
      <c r="L1341">
        <v>0.44384655097052927</v>
      </c>
      <c r="M1341" t="s">
        <v>23</v>
      </c>
      <c r="N1341">
        <v>1</v>
      </c>
      <c r="O1341">
        <v>0</v>
      </c>
      <c r="P1341" t="s">
        <v>24</v>
      </c>
      <c r="Q1341" t="s">
        <v>44</v>
      </c>
      <c r="R1341" t="s">
        <v>47</v>
      </c>
      <c r="S1341" t="s">
        <v>27</v>
      </c>
      <c r="T1341" t="s">
        <v>40</v>
      </c>
      <c r="U1341">
        <f t="shared" si="20"/>
        <v>0</v>
      </c>
    </row>
    <row r="1342" spans="1:21" x14ac:dyDescent="0.2">
      <c r="A1342">
        <v>444</v>
      </c>
      <c r="B1342" t="s">
        <v>42</v>
      </c>
      <c r="C1342" t="s">
        <v>21</v>
      </c>
      <c r="D1342">
        <v>34</v>
      </c>
      <c r="E1342">
        <v>2</v>
      </c>
      <c r="F1342">
        <v>144318.97</v>
      </c>
      <c r="G1342">
        <v>1</v>
      </c>
      <c r="H1342" t="s">
        <v>22</v>
      </c>
      <c r="I1342" t="s">
        <v>23</v>
      </c>
      <c r="J1342">
        <v>112668.06</v>
      </c>
      <c r="K1342" t="s">
        <v>23</v>
      </c>
      <c r="L1342">
        <v>0.18494548924339349</v>
      </c>
      <c r="M1342" t="s">
        <v>23</v>
      </c>
      <c r="N1342">
        <v>0</v>
      </c>
      <c r="O1342">
        <v>0</v>
      </c>
      <c r="P1342" t="s">
        <v>34</v>
      </c>
      <c r="Q1342" t="s">
        <v>33</v>
      </c>
      <c r="R1342" t="s">
        <v>26</v>
      </c>
      <c r="S1342" t="s">
        <v>45</v>
      </c>
      <c r="T1342" t="s">
        <v>28</v>
      </c>
      <c r="U1342">
        <f t="shared" si="20"/>
        <v>1</v>
      </c>
    </row>
    <row r="1343" spans="1:21" x14ac:dyDescent="0.2">
      <c r="A1343">
        <v>650</v>
      </c>
      <c r="B1343" t="s">
        <v>42</v>
      </c>
      <c r="C1343" t="s">
        <v>32</v>
      </c>
      <c r="D1343">
        <v>39</v>
      </c>
      <c r="E1343">
        <v>4</v>
      </c>
      <c r="F1343">
        <v>0</v>
      </c>
      <c r="G1343">
        <v>2</v>
      </c>
      <c r="H1343" t="s">
        <v>23</v>
      </c>
      <c r="I1343" t="s">
        <v>23</v>
      </c>
      <c r="J1343">
        <v>186275.7</v>
      </c>
      <c r="K1343" t="s">
        <v>23</v>
      </c>
      <c r="L1343">
        <v>0.24008568803222591</v>
      </c>
      <c r="M1343" t="s">
        <v>23</v>
      </c>
      <c r="N1343">
        <v>0</v>
      </c>
      <c r="O1343">
        <v>0</v>
      </c>
      <c r="P1343" t="s">
        <v>24</v>
      </c>
      <c r="Q1343" t="s">
        <v>33</v>
      </c>
      <c r="R1343" t="s">
        <v>29</v>
      </c>
      <c r="S1343" t="s">
        <v>27</v>
      </c>
      <c r="T1343" t="s">
        <v>31</v>
      </c>
      <c r="U1343">
        <f t="shared" si="20"/>
        <v>1</v>
      </c>
    </row>
    <row r="1344" spans="1:21" x14ac:dyDescent="0.2">
      <c r="A1344">
        <v>699</v>
      </c>
      <c r="B1344" t="s">
        <v>41</v>
      </c>
      <c r="C1344" t="s">
        <v>32</v>
      </c>
      <c r="D1344">
        <v>51</v>
      </c>
      <c r="E1344">
        <v>2</v>
      </c>
      <c r="F1344">
        <v>92246.14</v>
      </c>
      <c r="G1344">
        <v>2</v>
      </c>
      <c r="H1344" t="s">
        <v>23</v>
      </c>
      <c r="I1344" t="s">
        <v>22</v>
      </c>
      <c r="J1344">
        <v>91346.03</v>
      </c>
      <c r="K1344" t="s">
        <v>23</v>
      </c>
      <c r="L1344">
        <v>0.40754537763426441</v>
      </c>
      <c r="M1344" t="s">
        <v>23</v>
      </c>
      <c r="N1344">
        <v>0</v>
      </c>
      <c r="O1344">
        <v>0</v>
      </c>
      <c r="P1344" t="s">
        <v>24</v>
      </c>
      <c r="Q1344" t="s">
        <v>44</v>
      </c>
      <c r="R1344" t="s">
        <v>38</v>
      </c>
      <c r="S1344" t="s">
        <v>27</v>
      </c>
      <c r="T1344" t="s">
        <v>40</v>
      </c>
      <c r="U1344">
        <f t="shared" si="20"/>
        <v>1</v>
      </c>
    </row>
    <row r="1345" spans="1:21" x14ac:dyDescent="0.2">
      <c r="A1345">
        <v>555</v>
      </c>
      <c r="B1345" t="s">
        <v>41</v>
      </c>
      <c r="C1345" t="s">
        <v>32</v>
      </c>
      <c r="D1345">
        <v>51</v>
      </c>
      <c r="E1345">
        <v>9</v>
      </c>
      <c r="F1345">
        <v>138214.5</v>
      </c>
      <c r="G1345">
        <v>1</v>
      </c>
      <c r="H1345" t="s">
        <v>22</v>
      </c>
      <c r="I1345" t="s">
        <v>23</v>
      </c>
      <c r="J1345">
        <v>198715.27</v>
      </c>
      <c r="K1345" t="s">
        <v>22</v>
      </c>
      <c r="L1345">
        <v>0.71657454899888884</v>
      </c>
      <c r="M1345" t="s">
        <v>22</v>
      </c>
      <c r="N1345">
        <v>1</v>
      </c>
      <c r="O1345">
        <v>1</v>
      </c>
      <c r="P1345" t="s">
        <v>43</v>
      </c>
      <c r="Q1345" t="s">
        <v>44</v>
      </c>
      <c r="R1345" t="s">
        <v>26</v>
      </c>
      <c r="S1345" t="s">
        <v>30</v>
      </c>
      <c r="T1345" t="s">
        <v>31</v>
      </c>
      <c r="U1345">
        <f t="shared" si="20"/>
        <v>1</v>
      </c>
    </row>
    <row r="1346" spans="1:21" x14ac:dyDescent="0.2">
      <c r="A1346">
        <v>684</v>
      </c>
      <c r="B1346" t="s">
        <v>20</v>
      </c>
      <c r="C1346" t="s">
        <v>32</v>
      </c>
      <c r="D1346">
        <v>24</v>
      </c>
      <c r="E1346">
        <v>9</v>
      </c>
      <c r="F1346">
        <v>79263.899999999994</v>
      </c>
      <c r="G1346">
        <v>1</v>
      </c>
      <c r="H1346" t="s">
        <v>23</v>
      </c>
      <c r="I1346" t="s">
        <v>22</v>
      </c>
      <c r="J1346">
        <v>196574.48</v>
      </c>
      <c r="K1346" t="s">
        <v>23</v>
      </c>
      <c r="L1346">
        <v>4.2240421838544803E-2</v>
      </c>
      <c r="M1346" t="s">
        <v>23</v>
      </c>
      <c r="N1346">
        <v>0</v>
      </c>
      <c r="O1346">
        <v>0</v>
      </c>
      <c r="P1346" t="s">
        <v>34</v>
      </c>
      <c r="Q1346" t="s">
        <v>36</v>
      </c>
      <c r="R1346" t="s">
        <v>38</v>
      </c>
      <c r="S1346" t="s">
        <v>27</v>
      </c>
      <c r="T1346" t="s">
        <v>31</v>
      </c>
      <c r="U1346">
        <f t="shared" ref="U1346:U1409" si="21">IF(K1346=M1346,1,0)</f>
        <v>1</v>
      </c>
    </row>
    <row r="1347" spans="1:21" x14ac:dyDescent="0.2">
      <c r="A1347">
        <v>812</v>
      </c>
      <c r="B1347" t="s">
        <v>20</v>
      </c>
      <c r="C1347" t="s">
        <v>21</v>
      </c>
      <c r="D1347">
        <v>38</v>
      </c>
      <c r="E1347">
        <v>3</v>
      </c>
      <c r="F1347">
        <v>127117.8</v>
      </c>
      <c r="G1347">
        <v>2</v>
      </c>
      <c r="H1347" t="s">
        <v>22</v>
      </c>
      <c r="I1347" t="s">
        <v>22</v>
      </c>
      <c r="J1347">
        <v>174822.74</v>
      </c>
      <c r="K1347" t="s">
        <v>23</v>
      </c>
      <c r="L1347">
        <v>6.7443044419323875E-2</v>
      </c>
      <c r="M1347" t="s">
        <v>23</v>
      </c>
      <c r="N1347">
        <v>0</v>
      </c>
      <c r="O1347">
        <v>0</v>
      </c>
      <c r="P1347" t="s">
        <v>34</v>
      </c>
      <c r="Q1347" t="s">
        <v>33</v>
      </c>
      <c r="R1347" t="s">
        <v>26</v>
      </c>
      <c r="S1347" t="s">
        <v>39</v>
      </c>
      <c r="T1347" t="s">
        <v>31</v>
      </c>
      <c r="U1347">
        <f t="shared" si="21"/>
        <v>1</v>
      </c>
    </row>
    <row r="1348" spans="1:21" x14ac:dyDescent="0.2">
      <c r="A1348">
        <v>473</v>
      </c>
      <c r="B1348" t="s">
        <v>42</v>
      </c>
      <c r="C1348" t="s">
        <v>32</v>
      </c>
      <c r="D1348">
        <v>39</v>
      </c>
      <c r="E1348">
        <v>9</v>
      </c>
      <c r="F1348">
        <v>117103.26</v>
      </c>
      <c r="G1348">
        <v>2</v>
      </c>
      <c r="H1348" t="s">
        <v>22</v>
      </c>
      <c r="I1348" t="s">
        <v>22</v>
      </c>
      <c r="J1348">
        <v>85937.52</v>
      </c>
      <c r="K1348" t="s">
        <v>22</v>
      </c>
      <c r="L1348">
        <v>0.1188551078672881</v>
      </c>
      <c r="M1348" t="s">
        <v>23</v>
      </c>
      <c r="N1348">
        <v>1</v>
      </c>
      <c r="O1348">
        <v>0</v>
      </c>
      <c r="P1348" t="s">
        <v>34</v>
      </c>
      <c r="Q1348" t="s">
        <v>33</v>
      </c>
      <c r="R1348" t="s">
        <v>26</v>
      </c>
      <c r="S1348" t="s">
        <v>45</v>
      </c>
      <c r="T1348" t="s">
        <v>40</v>
      </c>
      <c r="U1348">
        <f t="shared" si="21"/>
        <v>0</v>
      </c>
    </row>
    <row r="1349" spans="1:21" x14ac:dyDescent="0.2">
      <c r="A1349">
        <v>717</v>
      </c>
      <c r="B1349" t="s">
        <v>20</v>
      </c>
      <c r="C1349" t="s">
        <v>21</v>
      </c>
      <c r="D1349">
        <v>36</v>
      </c>
      <c r="E1349">
        <v>2</v>
      </c>
      <c r="F1349">
        <v>102989.83</v>
      </c>
      <c r="G1349">
        <v>2</v>
      </c>
      <c r="H1349" t="s">
        <v>23</v>
      </c>
      <c r="I1349" t="s">
        <v>22</v>
      </c>
      <c r="J1349">
        <v>49185.57</v>
      </c>
      <c r="K1349" t="s">
        <v>23</v>
      </c>
      <c r="L1349">
        <v>5.7884084301985932E-2</v>
      </c>
      <c r="M1349" t="s">
        <v>23</v>
      </c>
      <c r="N1349">
        <v>0</v>
      </c>
      <c r="O1349">
        <v>0</v>
      </c>
      <c r="P1349" t="s">
        <v>34</v>
      </c>
      <c r="Q1349" t="s">
        <v>33</v>
      </c>
      <c r="R1349" t="s">
        <v>26</v>
      </c>
      <c r="S1349" t="s">
        <v>37</v>
      </c>
      <c r="T1349" t="s">
        <v>35</v>
      </c>
      <c r="U1349">
        <f t="shared" si="21"/>
        <v>1</v>
      </c>
    </row>
    <row r="1350" spans="1:21" x14ac:dyDescent="0.2">
      <c r="A1350">
        <v>638</v>
      </c>
      <c r="B1350" t="s">
        <v>41</v>
      </c>
      <c r="C1350" t="s">
        <v>32</v>
      </c>
      <c r="D1350">
        <v>33</v>
      </c>
      <c r="E1350">
        <v>5</v>
      </c>
      <c r="F1350">
        <v>129335.65</v>
      </c>
      <c r="G1350">
        <v>1</v>
      </c>
      <c r="H1350" t="s">
        <v>22</v>
      </c>
      <c r="I1350" t="s">
        <v>22</v>
      </c>
      <c r="J1350">
        <v>56585.2</v>
      </c>
      <c r="K1350" t="s">
        <v>22</v>
      </c>
      <c r="L1350">
        <v>0.17149736211957239</v>
      </c>
      <c r="M1350" t="s">
        <v>23</v>
      </c>
      <c r="N1350">
        <v>1</v>
      </c>
      <c r="O1350">
        <v>0</v>
      </c>
      <c r="P1350" t="s">
        <v>34</v>
      </c>
      <c r="Q1350" t="s">
        <v>33</v>
      </c>
      <c r="R1350" t="s">
        <v>26</v>
      </c>
      <c r="S1350" t="s">
        <v>27</v>
      </c>
      <c r="T1350" t="s">
        <v>40</v>
      </c>
      <c r="U1350">
        <f t="shared" si="21"/>
        <v>0</v>
      </c>
    </row>
    <row r="1351" spans="1:21" x14ac:dyDescent="0.2">
      <c r="A1351">
        <v>728</v>
      </c>
      <c r="B1351" t="s">
        <v>41</v>
      </c>
      <c r="C1351" t="s">
        <v>32</v>
      </c>
      <c r="D1351">
        <v>32</v>
      </c>
      <c r="E1351">
        <v>9</v>
      </c>
      <c r="F1351">
        <v>127772.1</v>
      </c>
      <c r="G1351">
        <v>2</v>
      </c>
      <c r="H1351" t="s">
        <v>22</v>
      </c>
      <c r="I1351" t="s">
        <v>22</v>
      </c>
      <c r="J1351">
        <v>152643.48000000001</v>
      </c>
      <c r="K1351" t="s">
        <v>23</v>
      </c>
      <c r="L1351">
        <v>0.13652857689308751</v>
      </c>
      <c r="M1351" t="s">
        <v>23</v>
      </c>
      <c r="N1351">
        <v>0</v>
      </c>
      <c r="O1351">
        <v>0</v>
      </c>
      <c r="P1351" t="s">
        <v>34</v>
      </c>
      <c r="Q1351" t="s">
        <v>33</v>
      </c>
      <c r="R1351" t="s">
        <v>26</v>
      </c>
      <c r="S1351" t="s">
        <v>37</v>
      </c>
      <c r="T1351" t="s">
        <v>31</v>
      </c>
      <c r="U1351">
        <f t="shared" si="21"/>
        <v>1</v>
      </c>
    </row>
    <row r="1352" spans="1:21" x14ac:dyDescent="0.2">
      <c r="A1352">
        <v>825</v>
      </c>
      <c r="B1352" t="s">
        <v>41</v>
      </c>
      <c r="C1352" t="s">
        <v>21</v>
      </c>
      <c r="D1352">
        <v>37</v>
      </c>
      <c r="E1352">
        <v>6</v>
      </c>
      <c r="F1352">
        <v>118050.79</v>
      </c>
      <c r="G1352">
        <v>1</v>
      </c>
      <c r="H1352" t="s">
        <v>23</v>
      </c>
      <c r="I1352" t="s">
        <v>22</v>
      </c>
      <c r="J1352">
        <v>52301.15</v>
      </c>
      <c r="K1352" t="s">
        <v>23</v>
      </c>
      <c r="L1352">
        <v>0.1218275668235651</v>
      </c>
      <c r="M1352" t="s">
        <v>23</v>
      </c>
      <c r="N1352">
        <v>0</v>
      </c>
      <c r="O1352">
        <v>0</v>
      </c>
      <c r="P1352" t="s">
        <v>34</v>
      </c>
      <c r="Q1352" t="s">
        <v>33</v>
      </c>
      <c r="R1352" t="s">
        <v>26</v>
      </c>
      <c r="S1352" t="s">
        <v>39</v>
      </c>
      <c r="T1352" t="s">
        <v>40</v>
      </c>
      <c r="U1352">
        <f t="shared" si="21"/>
        <v>1</v>
      </c>
    </row>
    <row r="1353" spans="1:21" x14ac:dyDescent="0.2">
      <c r="A1353">
        <v>487</v>
      </c>
      <c r="B1353" t="s">
        <v>20</v>
      </c>
      <c r="C1353" t="s">
        <v>32</v>
      </c>
      <c r="D1353">
        <v>40</v>
      </c>
      <c r="E1353">
        <v>6</v>
      </c>
      <c r="F1353">
        <v>136093.74</v>
      </c>
      <c r="G1353">
        <v>1</v>
      </c>
      <c r="H1353" t="s">
        <v>23</v>
      </c>
      <c r="I1353" t="s">
        <v>22</v>
      </c>
      <c r="J1353">
        <v>193408.43</v>
      </c>
      <c r="K1353" t="s">
        <v>23</v>
      </c>
      <c r="L1353">
        <v>0.16853329317711191</v>
      </c>
      <c r="M1353" t="s">
        <v>23</v>
      </c>
      <c r="N1353">
        <v>0</v>
      </c>
      <c r="O1353">
        <v>0</v>
      </c>
      <c r="P1353" t="s">
        <v>34</v>
      </c>
      <c r="Q1353" t="s">
        <v>33</v>
      </c>
      <c r="R1353" t="s">
        <v>26</v>
      </c>
      <c r="S1353" t="s">
        <v>45</v>
      </c>
      <c r="T1353" t="s">
        <v>31</v>
      </c>
      <c r="U1353">
        <f t="shared" si="21"/>
        <v>1</v>
      </c>
    </row>
    <row r="1354" spans="1:21" x14ac:dyDescent="0.2">
      <c r="A1354">
        <v>693</v>
      </c>
      <c r="B1354" t="s">
        <v>41</v>
      </c>
      <c r="C1354" t="s">
        <v>21</v>
      </c>
      <c r="D1354">
        <v>46</v>
      </c>
      <c r="E1354">
        <v>2</v>
      </c>
      <c r="F1354">
        <v>104763.41</v>
      </c>
      <c r="G1354">
        <v>1</v>
      </c>
      <c r="H1354" t="s">
        <v>22</v>
      </c>
      <c r="I1354" t="s">
        <v>22</v>
      </c>
      <c r="J1354">
        <v>62368.33</v>
      </c>
      <c r="K1354" t="s">
        <v>23</v>
      </c>
      <c r="L1354">
        <v>0.2315144101413576</v>
      </c>
      <c r="M1354" t="s">
        <v>23</v>
      </c>
      <c r="N1354">
        <v>0</v>
      </c>
      <c r="O1354">
        <v>0</v>
      </c>
      <c r="P1354" t="s">
        <v>24</v>
      </c>
      <c r="Q1354" t="s">
        <v>25</v>
      </c>
      <c r="R1354" t="s">
        <v>26</v>
      </c>
      <c r="S1354" t="s">
        <v>27</v>
      </c>
      <c r="T1354" t="s">
        <v>40</v>
      </c>
      <c r="U1354">
        <f t="shared" si="21"/>
        <v>1</v>
      </c>
    </row>
    <row r="1355" spans="1:21" x14ac:dyDescent="0.2">
      <c r="A1355">
        <v>692</v>
      </c>
      <c r="B1355" t="s">
        <v>42</v>
      </c>
      <c r="C1355" t="s">
        <v>32</v>
      </c>
      <c r="D1355">
        <v>30</v>
      </c>
      <c r="E1355">
        <v>7</v>
      </c>
      <c r="F1355">
        <v>0</v>
      </c>
      <c r="G1355">
        <v>2</v>
      </c>
      <c r="H1355" t="s">
        <v>22</v>
      </c>
      <c r="I1355" t="s">
        <v>22</v>
      </c>
      <c r="J1355">
        <v>18826.34</v>
      </c>
      <c r="K1355" t="s">
        <v>23</v>
      </c>
      <c r="L1355">
        <v>4.2194576745440589E-2</v>
      </c>
      <c r="M1355" t="s">
        <v>23</v>
      </c>
      <c r="N1355">
        <v>0</v>
      </c>
      <c r="O1355">
        <v>0</v>
      </c>
      <c r="P1355" t="s">
        <v>34</v>
      </c>
      <c r="Q1355" t="s">
        <v>36</v>
      </c>
      <c r="R1355" t="s">
        <v>29</v>
      </c>
      <c r="S1355" t="s">
        <v>27</v>
      </c>
      <c r="T1355" t="s">
        <v>35</v>
      </c>
      <c r="U1355">
        <f t="shared" si="21"/>
        <v>1</v>
      </c>
    </row>
    <row r="1356" spans="1:21" x14ac:dyDescent="0.2">
      <c r="A1356">
        <v>614</v>
      </c>
      <c r="B1356" t="s">
        <v>42</v>
      </c>
      <c r="C1356" t="s">
        <v>32</v>
      </c>
      <c r="D1356">
        <v>35</v>
      </c>
      <c r="E1356">
        <v>1</v>
      </c>
      <c r="F1356">
        <v>0</v>
      </c>
      <c r="G1356">
        <v>2</v>
      </c>
      <c r="H1356" t="s">
        <v>22</v>
      </c>
      <c r="I1356" t="s">
        <v>22</v>
      </c>
      <c r="J1356">
        <v>3342.62</v>
      </c>
      <c r="K1356" t="s">
        <v>23</v>
      </c>
      <c r="L1356">
        <v>6.9893779851574703E-2</v>
      </c>
      <c r="M1356" t="s">
        <v>23</v>
      </c>
      <c r="N1356">
        <v>0</v>
      </c>
      <c r="O1356">
        <v>0</v>
      </c>
      <c r="P1356" t="s">
        <v>34</v>
      </c>
      <c r="Q1356" t="s">
        <v>33</v>
      </c>
      <c r="R1356" t="s">
        <v>29</v>
      </c>
      <c r="S1356" t="s">
        <v>27</v>
      </c>
      <c r="T1356" t="s">
        <v>35</v>
      </c>
      <c r="U1356">
        <f t="shared" si="21"/>
        <v>1</v>
      </c>
    </row>
    <row r="1357" spans="1:21" x14ac:dyDescent="0.2">
      <c r="A1357">
        <v>709</v>
      </c>
      <c r="B1357" t="s">
        <v>41</v>
      </c>
      <c r="C1357" t="s">
        <v>21</v>
      </c>
      <c r="D1357">
        <v>30</v>
      </c>
      <c r="E1357">
        <v>9</v>
      </c>
      <c r="F1357">
        <v>115479.48</v>
      </c>
      <c r="G1357">
        <v>2</v>
      </c>
      <c r="H1357" t="s">
        <v>22</v>
      </c>
      <c r="I1357" t="s">
        <v>22</v>
      </c>
      <c r="J1357">
        <v>134732.99</v>
      </c>
      <c r="K1357" t="s">
        <v>23</v>
      </c>
      <c r="L1357">
        <v>7.1186003955739569E-2</v>
      </c>
      <c r="M1357" t="s">
        <v>23</v>
      </c>
      <c r="N1357">
        <v>0</v>
      </c>
      <c r="O1357">
        <v>0</v>
      </c>
      <c r="P1357" t="s">
        <v>34</v>
      </c>
      <c r="Q1357" t="s">
        <v>36</v>
      </c>
      <c r="R1357" t="s">
        <v>26</v>
      </c>
      <c r="S1357" t="s">
        <v>37</v>
      </c>
      <c r="T1357" t="s">
        <v>28</v>
      </c>
      <c r="U1357">
        <f t="shared" si="21"/>
        <v>1</v>
      </c>
    </row>
    <row r="1358" spans="1:21" x14ac:dyDescent="0.2">
      <c r="A1358">
        <v>546</v>
      </c>
      <c r="B1358" t="s">
        <v>41</v>
      </c>
      <c r="C1358" t="s">
        <v>32</v>
      </c>
      <c r="D1358">
        <v>42</v>
      </c>
      <c r="E1358">
        <v>9</v>
      </c>
      <c r="F1358">
        <v>86351.85</v>
      </c>
      <c r="G1358">
        <v>2</v>
      </c>
      <c r="H1358" t="s">
        <v>22</v>
      </c>
      <c r="I1358" t="s">
        <v>23</v>
      </c>
      <c r="J1358">
        <v>57380.13</v>
      </c>
      <c r="K1358" t="s">
        <v>23</v>
      </c>
      <c r="L1358">
        <v>0.48768361008117328</v>
      </c>
      <c r="M1358" t="s">
        <v>23</v>
      </c>
      <c r="N1358">
        <v>0</v>
      </c>
      <c r="O1358">
        <v>0</v>
      </c>
      <c r="P1358" t="s">
        <v>24</v>
      </c>
      <c r="Q1358" t="s">
        <v>25</v>
      </c>
      <c r="R1358" t="s">
        <v>38</v>
      </c>
      <c r="S1358" t="s">
        <v>30</v>
      </c>
      <c r="T1358" t="s">
        <v>40</v>
      </c>
      <c r="U1358">
        <f t="shared" si="21"/>
        <v>1</v>
      </c>
    </row>
    <row r="1359" spans="1:21" x14ac:dyDescent="0.2">
      <c r="A1359">
        <v>779</v>
      </c>
      <c r="B1359" t="s">
        <v>42</v>
      </c>
      <c r="C1359" t="s">
        <v>32</v>
      </c>
      <c r="D1359">
        <v>42</v>
      </c>
      <c r="E1359">
        <v>5</v>
      </c>
      <c r="F1359">
        <v>0</v>
      </c>
      <c r="G1359">
        <v>2</v>
      </c>
      <c r="H1359" t="s">
        <v>23</v>
      </c>
      <c r="I1359" t="s">
        <v>23</v>
      </c>
      <c r="J1359">
        <v>25951.91</v>
      </c>
      <c r="K1359" t="s">
        <v>23</v>
      </c>
      <c r="L1359">
        <v>0.2443410339789725</v>
      </c>
      <c r="M1359" t="s">
        <v>23</v>
      </c>
      <c r="N1359">
        <v>0</v>
      </c>
      <c r="O1359">
        <v>0</v>
      </c>
      <c r="P1359" t="s">
        <v>24</v>
      </c>
      <c r="Q1359" t="s">
        <v>25</v>
      </c>
      <c r="R1359" t="s">
        <v>29</v>
      </c>
      <c r="S1359" t="s">
        <v>37</v>
      </c>
      <c r="T1359" t="s">
        <v>35</v>
      </c>
      <c r="U1359">
        <f t="shared" si="21"/>
        <v>1</v>
      </c>
    </row>
    <row r="1360" spans="1:21" x14ac:dyDescent="0.2">
      <c r="A1360">
        <v>664</v>
      </c>
      <c r="B1360" t="s">
        <v>42</v>
      </c>
      <c r="C1360" t="s">
        <v>21</v>
      </c>
      <c r="D1360">
        <v>40</v>
      </c>
      <c r="E1360">
        <v>9</v>
      </c>
      <c r="F1360">
        <v>0</v>
      </c>
      <c r="G1360">
        <v>2</v>
      </c>
      <c r="H1360" t="s">
        <v>22</v>
      </c>
      <c r="I1360" t="s">
        <v>23</v>
      </c>
      <c r="J1360">
        <v>194767.3</v>
      </c>
      <c r="K1360" t="s">
        <v>23</v>
      </c>
      <c r="L1360">
        <v>0.1465670529077156</v>
      </c>
      <c r="M1360" t="s">
        <v>23</v>
      </c>
      <c r="N1360">
        <v>0</v>
      </c>
      <c r="O1360">
        <v>0</v>
      </c>
      <c r="P1360" t="s">
        <v>34</v>
      </c>
      <c r="Q1360" t="s">
        <v>33</v>
      </c>
      <c r="R1360" t="s">
        <v>29</v>
      </c>
      <c r="S1360" t="s">
        <v>27</v>
      </c>
      <c r="T1360" t="s">
        <v>31</v>
      </c>
      <c r="U1360">
        <f t="shared" si="21"/>
        <v>1</v>
      </c>
    </row>
    <row r="1361" spans="1:21" x14ac:dyDescent="0.2">
      <c r="A1361">
        <v>714</v>
      </c>
      <c r="B1361" t="s">
        <v>41</v>
      </c>
      <c r="C1361" t="s">
        <v>21</v>
      </c>
      <c r="D1361">
        <v>26</v>
      </c>
      <c r="E1361">
        <v>3</v>
      </c>
      <c r="F1361">
        <v>119545.48</v>
      </c>
      <c r="G1361">
        <v>2</v>
      </c>
      <c r="H1361" t="s">
        <v>22</v>
      </c>
      <c r="I1361" t="s">
        <v>23</v>
      </c>
      <c r="J1361">
        <v>65482.94</v>
      </c>
      <c r="K1361" t="s">
        <v>23</v>
      </c>
      <c r="L1361">
        <v>0.15608398306306179</v>
      </c>
      <c r="M1361" t="s">
        <v>23</v>
      </c>
      <c r="N1361">
        <v>0</v>
      </c>
      <c r="O1361">
        <v>0</v>
      </c>
      <c r="P1361" t="s">
        <v>34</v>
      </c>
      <c r="Q1361" t="s">
        <v>36</v>
      </c>
      <c r="R1361" t="s">
        <v>26</v>
      </c>
      <c r="S1361" t="s">
        <v>37</v>
      </c>
      <c r="T1361" t="s">
        <v>40</v>
      </c>
      <c r="U1361">
        <f t="shared" si="21"/>
        <v>1</v>
      </c>
    </row>
    <row r="1362" spans="1:21" x14ac:dyDescent="0.2">
      <c r="A1362">
        <v>614</v>
      </c>
      <c r="B1362" t="s">
        <v>42</v>
      </c>
      <c r="C1362" t="s">
        <v>21</v>
      </c>
      <c r="D1362">
        <v>36</v>
      </c>
      <c r="E1362">
        <v>1</v>
      </c>
      <c r="F1362">
        <v>118311.76</v>
      </c>
      <c r="G1362">
        <v>1</v>
      </c>
      <c r="H1362" t="s">
        <v>22</v>
      </c>
      <c r="I1362" t="s">
        <v>23</v>
      </c>
      <c r="J1362">
        <v>146134.68</v>
      </c>
      <c r="K1362" t="s">
        <v>23</v>
      </c>
      <c r="L1362">
        <v>0.1851561786310032</v>
      </c>
      <c r="M1362" t="s">
        <v>23</v>
      </c>
      <c r="N1362">
        <v>0</v>
      </c>
      <c r="O1362">
        <v>0</v>
      </c>
      <c r="P1362" t="s">
        <v>34</v>
      </c>
      <c r="Q1362" t="s">
        <v>33</v>
      </c>
      <c r="R1362" t="s">
        <v>26</v>
      </c>
      <c r="S1362" t="s">
        <v>27</v>
      </c>
      <c r="T1362" t="s">
        <v>28</v>
      </c>
      <c r="U1362">
        <f t="shared" si="21"/>
        <v>1</v>
      </c>
    </row>
    <row r="1363" spans="1:21" x14ac:dyDescent="0.2">
      <c r="A1363">
        <v>740</v>
      </c>
      <c r="B1363" t="s">
        <v>42</v>
      </c>
      <c r="C1363" t="s">
        <v>21</v>
      </c>
      <c r="D1363">
        <v>33</v>
      </c>
      <c r="E1363">
        <v>1</v>
      </c>
      <c r="F1363">
        <v>129574.98</v>
      </c>
      <c r="G1363">
        <v>1</v>
      </c>
      <c r="H1363" t="s">
        <v>22</v>
      </c>
      <c r="I1363" t="s">
        <v>22</v>
      </c>
      <c r="J1363">
        <v>123300.38</v>
      </c>
      <c r="K1363" t="s">
        <v>23</v>
      </c>
      <c r="L1363">
        <v>5.3938697858447973E-2</v>
      </c>
      <c r="M1363" t="s">
        <v>23</v>
      </c>
      <c r="N1363">
        <v>0</v>
      </c>
      <c r="O1363">
        <v>0</v>
      </c>
      <c r="P1363" t="s">
        <v>34</v>
      </c>
      <c r="Q1363" t="s">
        <v>33</v>
      </c>
      <c r="R1363" t="s">
        <v>26</v>
      </c>
      <c r="S1363" t="s">
        <v>37</v>
      </c>
      <c r="T1363" t="s">
        <v>28</v>
      </c>
      <c r="U1363">
        <f t="shared" si="21"/>
        <v>1</v>
      </c>
    </row>
    <row r="1364" spans="1:21" x14ac:dyDescent="0.2">
      <c r="A1364">
        <v>622</v>
      </c>
      <c r="B1364" t="s">
        <v>42</v>
      </c>
      <c r="C1364" t="s">
        <v>21</v>
      </c>
      <c r="D1364">
        <v>41</v>
      </c>
      <c r="E1364">
        <v>2</v>
      </c>
      <c r="F1364">
        <v>127087.06</v>
      </c>
      <c r="G1364">
        <v>1</v>
      </c>
      <c r="H1364" t="s">
        <v>22</v>
      </c>
      <c r="I1364" t="s">
        <v>23</v>
      </c>
      <c r="J1364">
        <v>102402.91</v>
      </c>
      <c r="K1364" t="s">
        <v>22</v>
      </c>
      <c r="L1364">
        <v>0.24252595160577889</v>
      </c>
      <c r="M1364" t="s">
        <v>23</v>
      </c>
      <c r="N1364">
        <v>1</v>
      </c>
      <c r="O1364">
        <v>0</v>
      </c>
      <c r="P1364" t="s">
        <v>24</v>
      </c>
      <c r="Q1364" t="s">
        <v>25</v>
      </c>
      <c r="R1364" t="s">
        <v>26</v>
      </c>
      <c r="S1364" t="s">
        <v>27</v>
      </c>
      <c r="T1364" t="s">
        <v>28</v>
      </c>
      <c r="U1364">
        <f t="shared" si="21"/>
        <v>0</v>
      </c>
    </row>
    <row r="1365" spans="1:21" x14ac:dyDescent="0.2">
      <c r="A1365">
        <v>850</v>
      </c>
      <c r="B1365" t="s">
        <v>42</v>
      </c>
      <c r="C1365" t="s">
        <v>32</v>
      </c>
      <c r="D1365">
        <v>27</v>
      </c>
      <c r="E1365">
        <v>7</v>
      </c>
      <c r="F1365">
        <v>43658.33</v>
      </c>
      <c r="G1365">
        <v>2</v>
      </c>
      <c r="H1365" t="s">
        <v>22</v>
      </c>
      <c r="I1365" t="s">
        <v>22</v>
      </c>
      <c r="J1365">
        <v>3025.49</v>
      </c>
      <c r="K1365" t="s">
        <v>23</v>
      </c>
      <c r="L1365">
        <v>3.3914592785639068E-2</v>
      </c>
      <c r="M1365" t="s">
        <v>23</v>
      </c>
      <c r="N1365">
        <v>0</v>
      </c>
      <c r="O1365">
        <v>0</v>
      </c>
      <c r="P1365" t="s">
        <v>34</v>
      </c>
      <c r="Q1365" t="s">
        <v>36</v>
      </c>
      <c r="R1365" t="s">
        <v>48</v>
      </c>
      <c r="S1365" t="s">
        <v>39</v>
      </c>
      <c r="T1365" t="s">
        <v>35</v>
      </c>
      <c r="U1365">
        <f t="shared" si="21"/>
        <v>1</v>
      </c>
    </row>
    <row r="1366" spans="1:21" x14ac:dyDescent="0.2">
      <c r="A1366">
        <v>570</v>
      </c>
      <c r="B1366" t="s">
        <v>42</v>
      </c>
      <c r="C1366" t="s">
        <v>21</v>
      </c>
      <c r="D1366">
        <v>23</v>
      </c>
      <c r="E1366">
        <v>2</v>
      </c>
      <c r="F1366">
        <v>0</v>
      </c>
      <c r="G1366">
        <v>1</v>
      </c>
      <c r="H1366" t="s">
        <v>23</v>
      </c>
      <c r="I1366" t="s">
        <v>23</v>
      </c>
      <c r="J1366">
        <v>198830.98</v>
      </c>
      <c r="K1366" t="s">
        <v>23</v>
      </c>
      <c r="L1366">
        <v>6.4285520678378769E-2</v>
      </c>
      <c r="M1366" t="s">
        <v>23</v>
      </c>
      <c r="N1366">
        <v>0</v>
      </c>
      <c r="O1366">
        <v>0</v>
      </c>
      <c r="P1366" t="s">
        <v>34</v>
      </c>
      <c r="Q1366" t="s">
        <v>36</v>
      </c>
      <c r="R1366" t="s">
        <v>29</v>
      </c>
      <c r="S1366" t="s">
        <v>30</v>
      </c>
      <c r="T1366" t="s">
        <v>31</v>
      </c>
      <c r="U1366">
        <f t="shared" si="21"/>
        <v>1</v>
      </c>
    </row>
    <row r="1367" spans="1:21" x14ac:dyDescent="0.2">
      <c r="A1367">
        <v>698</v>
      </c>
      <c r="B1367" t="s">
        <v>42</v>
      </c>
      <c r="C1367" t="s">
        <v>32</v>
      </c>
      <c r="D1367">
        <v>27</v>
      </c>
      <c r="E1367">
        <v>1</v>
      </c>
      <c r="F1367">
        <v>94920.71</v>
      </c>
      <c r="G1367">
        <v>1</v>
      </c>
      <c r="H1367" t="s">
        <v>22</v>
      </c>
      <c r="I1367" t="s">
        <v>22</v>
      </c>
      <c r="J1367">
        <v>40339.9</v>
      </c>
      <c r="K1367" t="s">
        <v>23</v>
      </c>
      <c r="L1367">
        <v>5.3753308726898902E-2</v>
      </c>
      <c r="M1367" t="s">
        <v>23</v>
      </c>
      <c r="N1367">
        <v>0</v>
      </c>
      <c r="O1367">
        <v>0</v>
      </c>
      <c r="P1367" t="s">
        <v>34</v>
      </c>
      <c r="Q1367" t="s">
        <v>36</v>
      </c>
      <c r="R1367" t="s">
        <v>38</v>
      </c>
      <c r="S1367" t="s">
        <v>27</v>
      </c>
      <c r="T1367" t="s">
        <v>35</v>
      </c>
      <c r="U1367">
        <f t="shared" si="21"/>
        <v>1</v>
      </c>
    </row>
    <row r="1368" spans="1:21" x14ac:dyDescent="0.2">
      <c r="A1368">
        <v>690</v>
      </c>
      <c r="B1368" t="s">
        <v>20</v>
      </c>
      <c r="C1368" t="s">
        <v>21</v>
      </c>
      <c r="D1368">
        <v>26</v>
      </c>
      <c r="E1368">
        <v>8</v>
      </c>
      <c r="F1368">
        <v>116318.23</v>
      </c>
      <c r="G1368">
        <v>1</v>
      </c>
      <c r="H1368" t="s">
        <v>22</v>
      </c>
      <c r="I1368" t="s">
        <v>22</v>
      </c>
      <c r="J1368">
        <v>83253.05</v>
      </c>
      <c r="K1368" t="s">
        <v>23</v>
      </c>
      <c r="L1368">
        <v>2.9180231156285111E-2</v>
      </c>
      <c r="M1368" t="s">
        <v>23</v>
      </c>
      <c r="N1368">
        <v>0</v>
      </c>
      <c r="O1368">
        <v>0</v>
      </c>
      <c r="P1368" t="s">
        <v>34</v>
      </c>
      <c r="Q1368" t="s">
        <v>36</v>
      </c>
      <c r="R1368" t="s">
        <v>26</v>
      </c>
      <c r="S1368" t="s">
        <v>27</v>
      </c>
      <c r="T1368" t="s">
        <v>40</v>
      </c>
      <c r="U1368">
        <f t="shared" si="21"/>
        <v>1</v>
      </c>
    </row>
    <row r="1369" spans="1:21" x14ac:dyDescent="0.2">
      <c r="A1369">
        <v>610</v>
      </c>
      <c r="B1369" t="s">
        <v>41</v>
      </c>
      <c r="C1369" t="s">
        <v>21</v>
      </c>
      <c r="D1369">
        <v>49</v>
      </c>
      <c r="E1369">
        <v>6</v>
      </c>
      <c r="F1369">
        <v>113882.33</v>
      </c>
      <c r="G1369">
        <v>1</v>
      </c>
      <c r="H1369" t="s">
        <v>22</v>
      </c>
      <c r="I1369" t="s">
        <v>23</v>
      </c>
      <c r="J1369">
        <v>195813.81</v>
      </c>
      <c r="K1369" t="s">
        <v>22</v>
      </c>
      <c r="L1369">
        <v>0.54702858390060805</v>
      </c>
      <c r="M1369" t="s">
        <v>22</v>
      </c>
      <c r="N1369">
        <v>1</v>
      </c>
      <c r="O1369">
        <v>1</v>
      </c>
      <c r="P1369" t="s">
        <v>43</v>
      </c>
      <c r="Q1369" t="s">
        <v>25</v>
      </c>
      <c r="R1369" t="s">
        <v>26</v>
      </c>
      <c r="S1369" t="s">
        <v>27</v>
      </c>
      <c r="T1369" t="s">
        <v>31</v>
      </c>
      <c r="U1369">
        <f t="shared" si="21"/>
        <v>1</v>
      </c>
    </row>
    <row r="1370" spans="1:21" x14ac:dyDescent="0.2">
      <c r="A1370">
        <v>575</v>
      </c>
      <c r="B1370" t="s">
        <v>20</v>
      </c>
      <c r="C1370" t="s">
        <v>21</v>
      </c>
      <c r="D1370">
        <v>41</v>
      </c>
      <c r="E1370">
        <v>2</v>
      </c>
      <c r="F1370">
        <v>100062.39</v>
      </c>
      <c r="G1370">
        <v>1</v>
      </c>
      <c r="H1370" t="s">
        <v>23</v>
      </c>
      <c r="I1370" t="s">
        <v>23</v>
      </c>
      <c r="J1370">
        <v>126307.25</v>
      </c>
      <c r="K1370" t="s">
        <v>23</v>
      </c>
      <c r="L1370">
        <v>0.25117188163136223</v>
      </c>
      <c r="M1370" t="s">
        <v>23</v>
      </c>
      <c r="N1370">
        <v>0</v>
      </c>
      <c r="O1370">
        <v>0</v>
      </c>
      <c r="P1370" t="s">
        <v>24</v>
      </c>
      <c r="Q1370" t="s">
        <v>25</v>
      </c>
      <c r="R1370" t="s">
        <v>26</v>
      </c>
      <c r="S1370" t="s">
        <v>30</v>
      </c>
      <c r="T1370" t="s">
        <v>28</v>
      </c>
      <c r="U1370">
        <f t="shared" si="21"/>
        <v>1</v>
      </c>
    </row>
    <row r="1371" spans="1:21" x14ac:dyDescent="0.2">
      <c r="A1371">
        <v>457</v>
      </c>
      <c r="B1371" t="s">
        <v>20</v>
      </c>
      <c r="C1371" t="s">
        <v>21</v>
      </c>
      <c r="D1371">
        <v>44</v>
      </c>
      <c r="E1371">
        <v>7</v>
      </c>
      <c r="F1371">
        <v>0</v>
      </c>
      <c r="G1371">
        <v>2</v>
      </c>
      <c r="H1371" t="s">
        <v>23</v>
      </c>
      <c r="I1371" t="s">
        <v>23</v>
      </c>
      <c r="J1371">
        <v>185992.36</v>
      </c>
      <c r="K1371" t="s">
        <v>23</v>
      </c>
      <c r="L1371">
        <v>0.22843025017640589</v>
      </c>
      <c r="M1371" t="s">
        <v>23</v>
      </c>
      <c r="N1371">
        <v>0</v>
      </c>
      <c r="O1371">
        <v>0</v>
      </c>
      <c r="P1371" t="s">
        <v>24</v>
      </c>
      <c r="Q1371" t="s">
        <v>25</v>
      </c>
      <c r="R1371" t="s">
        <v>29</v>
      </c>
      <c r="S1371" t="s">
        <v>45</v>
      </c>
      <c r="T1371" t="s">
        <v>31</v>
      </c>
      <c r="U1371">
        <f t="shared" si="21"/>
        <v>1</v>
      </c>
    </row>
    <row r="1372" spans="1:21" x14ac:dyDescent="0.2">
      <c r="A1372">
        <v>687</v>
      </c>
      <c r="B1372" t="s">
        <v>42</v>
      </c>
      <c r="C1372" t="s">
        <v>32</v>
      </c>
      <c r="D1372">
        <v>35</v>
      </c>
      <c r="E1372">
        <v>1</v>
      </c>
      <c r="F1372">
        <v>110752.15</v>
      </c>
      <c r="G1372">
        <v>2</v>
      </c>
      <c r="H1372" t="s">
        <v>22</v>
      </c>
      <c r="I1372" t="s">
        <v>22</v>
      </c>
      <c r="J1372">
        <v>47921.22</v>
      </c>
      <c r="K1372" t="s">
        <v>23</v>
      </c>
      <c r="L1372">
        <v>8.8921496526104593E-2</v>
      </c>
      <c r="M1372" t="s">
        <v>23</v>
      </c>
      <c r="N1372">
        <v>0</v>
      </c>
      <c r="O1372">
        <v>0</v>
      </c>
      <c r="P1372" t="s">
        <v>34</v>
      </c>
      <c r="Q1372" t="s">
        <v>33</v>
      </c>
      <c r="R1372" t="s">
        <v>26</v>
      </c>
      <c r="S1372" t="s">
        <v>27</v>
      </c>
      <c r="T1372" t="s">
        <v>35</v>
      </c>
      <c r="U1372">
        <f t="shared" si="21"/>
        <v>1</v>
      </c>
    </row>
    <row r="1373" spans="1:21" x14ac:dyDescent="0.2">
      <c r="A1373">
        <v>544</v>
      </c>
      <c r="B1373" t="s">
        <v>42</v>
      </c>
      <c r="C1373" t="s">
        <v>21</v>
      </c>
      <c r="D1373">
        <v>48</v>
      </c>
      <c r="E1373">
        <v>10</v>
      </c>
      <c r="F1373">
        <v>78314.63</v>
      </c>
      <c r="G1373">
        <v>3</v>
      </c>
      <c r="H1373" t="s">
        <v>22</v>
      </c>
      <c r="I1373" t="s">
        <v>22</v>
      </c>
      <c r="J1373">
        <v>103713.93</v>
      </c>
      <c r="K1373" t="s">
        <v>22</v>
      </c>
      <c r="L1373">
        <v>0.1045189986860879</v>
      </c>
      <c r="M1373" t="s">
        <v>23</v>
      </c>
      <c r="N1373">
        <v>1</v>
      </c>
      <c r="O1373">
        <v>0</v>
      </c>
      <c r="P1373" t="s">
        <v>34</v>
      </c>
      <c r="Q1373" t="s">
        <v>25</v>
      </c>
      <c r="R1373" t="s">
        <v>38</v>
      </c>
      <c r="S1373" t="s">
        <v>30</v>
      </c>
      <c r="T1373" t="s">
        <v>28</v>
      </c>
      <c r="U1373">
        <f t="shared" si="21"/>
        <v>0</v>
      </c>
    </row>
    <row r="1374" spans="1:21" x14ac:dyDescent="0.2">
      <c r="A1374">
        <v>658</v>
      </c>
      <c r="B1374" t="s">
        <v>41</v>
      </c>
      <c r="C1374" t="s">
        <v>21</v>
      </c>
      <c r="D1374">
        <v>31</v>
      </c>
      <c r="E1374">
        <v>2</v>
      </c>
      <c r="F1374">
        <v>77082.649999999994</v>
      </c>
      <c r="G1374">
        <v>2</v>
      </c>
      <c r="H1374" t="s">
        <v>23</v>
      </c>
      <c r="I1374" t="s">
        <v>23</v>
      </c>
      <c r="J1374">
        <v>13482.28</v>
      </c>
      <c r="K1374" t="s">
        <v>23</v>
      </c>
      <c r="L1374">
        <v>0.2032557005104455</v>
      </c>
      <c r="M1374" t="s">
        <v>23</v>
      </c>
      <c r="N1374">
        <v>0</v>
      </c>
      <c r="O1374">
        <v>0</v>
      </c>
      <c r="P1374" t="s">
        <v>24</v>
      </c>
      <c r="Q1374" t="s">
        <v>33</v>
      </c>
      <c r="R1374" t="s">
        <v>38</v>
      </c>
      <c r="S1374" t="s">
        <v>27</v>
      </c>
      <c r="T1374" t="s">
        <v>35</v>
      </c>
      <c r="U1374">
        <f t="shared" si="21"/>
        <v>1</v>
      </c>
    </row>
    <row r="1375" spans="1:21" x14ac:dyDescent="0.2">
      <c r="A1375">
        <v>679</v>
      </c>
      <c r="B1375" t="s">
        <v>20</v>
      </c>
      <c r="C1375" t="s">
        <v>32</v>
      </c>
      <c r="D1375">
        <v>39</v>
      </c>
      <c r="E1375">
        <v>7</v>
      </c>
      <c r="F1375">
        <v>91187.9</v>
      </c>
      <c r="G1375">
        <v>1</v>
      </c>
      <c r="H1375" t="s">
        <v>23</v>
      </c>
      <c r="I1375" t="s">
        <v>22</v>
      </c>
      <c r="J1375">
        <v>6075.36</v>
      </c>
      <c r="K1375" t="s">
        <v>23</v>
      </c>
      <c r="L1375">
        <v>0.1146641207245202</v>
      </c>
      <c r="M1375" t="s">
        <v>23</v>
      </c>
      <c r="N1375">
        <v>0</v>
      </c>
      <c r="O1375">
        <v>0</v>
      </c>
      <c r="P1375" t="s">
        <v>34</v>
      </c>
      <c r="Q1375" t="s">
        <v>33</v>
      </c>
      <c r="R1375" t="s">
        <v>38</v>
      </c>
      <c r="S1375" t="s">
        <v>27</v>
      </c>
      <c r="T1375" t="s">
        <v>35</v>
      </c>
      <c r="U1375">
        <f t="shared" si="21"/>
        <v>1</v>
      </c>
    </row>
    <row r="1376" spans="1:21" x14ac:dyDescent="0.2">
      <c r="A1376">
        <v>751</v>
      </c>
      <c r="B1376" t="s">
        <v>42</v>
      </c>
      <c r="C1376" t="s">
        <v>21</v>
      </c>
      <c r="D1376">
        <v>30</v>
      </c>
      <c r="E1376">
        <v>3</v>
      </c>
      <c r="F1376">
        <v>165257.20000000001</v>
      </c>
      <c r="G1376">
        <v>1</v>
      </c>
      <c r="H1376" t="s">
        <v>23</v>
      </c>
      <c r="I1376" t="s">
        <v>23</v>
      </c>
      <c r="J1376">
        <v>134822.04999999999</v>
      </c>
      <c r="K1376" t="s">
        <v>23</v>
      </c>
      <c r="L1376">
        <v>0.12868653071594</v>
      </c>
      <c r="M1376" t="s">
        <v>23</v>
      </c>
      <c r="N1376">
        <v>0</v>
      </c>
      <c r="O1376">
        <v>0</v>
      </c>
      <c r="P1376" t="s">
        <v>34</v>
      </c>
      <c r="Q1376" t="s">
        <v>36</v>
      </c>
      <c r="R1376" t="s">
        <v>47</v>
      </c>
      <c r="S1376" t="s">
        <v>37</v>
      </c>
      <c r="T1376" t="s">
        <v>28</v>
      </c>
      <c r="U1376">
        <f t="shared" si="21"/>
        <v>1</v>
      </c>
    </row>
    <row r="1377" spans="1:21" x14ac:dyDescent="0.2">
      <c r="A1377">
        <v>647</v>
      </c>
      <c r="B1377" t="s">
        <v>42</v>
      </c>
      <c r="C1377" t="s">
        <v>32</v>
      </c>
      <c r="D1377">
        <v>42</v>
      </c>
      <c r="E1377">
        <v>9</v>
      </c>
      <c r="F1377">
        <v>0</v>
      </c>
      <c r="G1377">
        <v>2</v>
      </c>
      <c r="H1377" t="s">
        <v>22</v>
      </c>
      <c r="I1377" t="s">
        <v>22</v>
      </c>
      <c r="J1377">
        <v>51362.82</v>
      </c>
      <c r="K1377" t="s">
        <v>23</v>
      </c>
      <c r="L1377">
        <v>9.7558395248714389E-2</v>
      </c>
      <c r="M1377" t="s">
        <v>23</v>
      </c>
      <c r="N1377">
        <v>0</v>
      </c>
      <c r="O1377">
        <v>0</v>
      </c>
      <c r="P1377" t="s">
        <v>34</v>
      </c>
      <c r="Q1377" t="s">
        <v>25</v>
      </c>
      <c r="R1377" t="s">
        <v>29</v>
      </c>
      <c r="S1377" t="s">
        <v>27</v>
      </c>
      <c r="T1377" t="s">
        <v>40</v>
      </c>
      <c r="U1377">
        <f t="shared" si="21"/>
        <v>1</v>
      </c>
    </row>
    <row r="1378" spans="1:21" x14ac:dyDescent="0.2">
      <c r="A1378">
        <v>589</v>
      </c>
      <c r="B1378" t="s">
        <v>42</v>
      </c>
      <c r="C1378" t="s">
        <v>32</v>
      </c>
      <c r="D1378">
        <v>50</v>
      </c>
      <c r="E1378">
        <v>4</v>
      </c>
      <c r="F1378">
        <v>0</v>
      </c>
      <c r="G1378">
        <v>2</v>
      </c>
      <c r="H1378" t="s">
        <v>23</v>
      </c>
      <c r="I1378" t="s">
        <v>22</v>
      </c>
      <c r="J1378">
        <v>182076.97</v>
      </c>
      <c r="K1378" t="s">
        <v>23</v>
      </c>
      <c r="L1378">
        <v>0.19968422338787961</v>
      </c>
      <c r="M1378" t="s">
        <v>23</v>
      </c>
      <c r="N1378">
        <v>0</v>
      </c>
      <c r="O1378">
        <v>0</v>
      </c>
      <c r="P1378" t="s">
        <v>34</v>
      </c>
      <c r="Q1378" t="s">
        <v>25</v>
      </c>
      <c r="R1378" t="s">
        <v>29</v>
      </c>
      <c r="S1378" t="s">
        <v>30</v>
      </c>
      <c r="T1378" t="s">
        <v>31</v>
      </c>
      <c r="U1378">
        <f t="shared" si="21"/>
        <v>1</v>
      </c>
    </row>
    <row r="1379" spans="1:21" x14ac:dyDescent="0.2">
      <c r="A1379">
        <v>715</v>
      </c>
      <c r="B1379" t="s">
        <v>20</v>
      </c>
      <c r="C1379" t="s">
        <v>21</v>
      </c>
      <c r="D1379">
        <v>31</v>
      </c>
      <c r="E1379">
        <v>7</v>
      </c>
      <c r="F1379">
        <v>0</v>
      </c>
      <c r="G1379">
        <v>1</v>
      </c>
      <c r="H1379" t="s">
        <v>22</v>
      </c>
      <c r="I1379" t="s">
        <v>22</v>
      </c>
      <c r="J1379">
        <v>149970.59</v>
      </c>
      <c r="K1379" t="s">
        <v>23</v>
      </c>
      <c r="L1379">
        <v>3.2409740749893723E-2</v>
      </c>
      <c r="M1379" t="s">
        <v>23</v>
      </c>
      <c r="N1379">
        <v>0</v>
      </c>
      <c r="O1379">
        <v>0</v>
      </c>
      <c r="P1379" t="s">
        <v>34</v>
      </c>
      <c r="Q1379" t="s">
        <v>33</v>
      </c>
      <c r="R1379" t="s">
        <v>29</v>
      </c>
      <c r="S1379" t="s">
        <v>37</v>
      </c>
      <c r="T1379" t="s">
        <v>28</v>
      </c>
      <c r="U1379">
        <f t="shared" si="21"/>
        <v>1</v>
      </c>
    </row>
    <row r="1380" spans="1:21" x14ac:dyDescent="0.2">
      <c r="A1380">
        <v>766</v>
      </c>
      <c r="B1380" t="s">
        <v>41</v>
      </c>
      <c r="C1380" t="s">
        <v>21</v>
      </c>
      <c r="D1380">
        <v>37</v>
      </c>
      <c r="E1380">
        <v>2</v>
      </c>
      <c r="F1380">
        <v>99660.13</v>
      </c>
      <c r="G1380">
        <v>2</v>
      </c>
      <c r="H1380" t="s">
        <v>23</v>
      </c>
      <c r="I1380" t="s">
        <v>22</v>
      </c>
      <c r="J1380">
        <v>147700.78</v>
      </c>
      <c r="K1380" t="s">
        <v>23</v>
      </c>
      <c r="L1380">
        <v>0.12421135761586399</v>
      </c>
      <c r="M1380" t="s">
        <v>23</v>
      </c>
      <c r="N1380">
        <v>0</v>
      </c>
      <c r="O1380">
        <v>0</v>
      </c>
      <c r="P1380" t="s">
        <v>34</v>
      </c>
      <c r="Q1380" t="s">
        <v>33</v>
      </c>
      <c r="R1380" t="s">
        <v>38</v>
      </c>
      <c r="S1380" t="s">
        <v>37</v>
      </c>
      <c r="T1380" t="s">
        <v>28</v>
      </c>
      <c r="U1380">
        <f t="shared" si="21"/>
        <v>1</v>
      </c>
    </row>
    <row r="1381" spans="1:21" x14ac:dyDescent="0.2">
      <c r="A1381">
        <v>738</v>
      </c>
      <c r="B1381" t="s">
        <v>20</v>
      </c>
      <c r="C1381" t="s">
        <v>21</v>
      </c>
      <c r="D1381">
        <v>35</v>
      </c>
      <c r="E1381">
        <v>8</v>
      </c>
      <c r="F1381">
        <v>127290.61</v>
      </c>
      <c r="G1381">
        <v>1</v>
      </c>
      <c r="H1381" t="s">
        <v>22</v>
      </c>
      <c r="I1381" t="s">
        <v>23</v>
      </c>
      <c r="J1381">
        <v>16081.62</v>
      </c>
      <c r="K1381" t="s">
        <v>23</v>
      </c>
      <c r="L1381">
        <v>0.14292335675873041</v>
      </c>
      <c r="M1381" t="s">
        <v>23</v>
      </c>
      <c r="N1381">
        <v>0</v>
      </c>
      <c r="O1381">
        <v>0</v>
      </c>
      <c r="P1381" t="s">
        <v>34</v>
      </c>
      <c r="Q1381" t="s">
        <v>33</v>
      </c>
      <c r="R1381" t="s">
        <v>26</v>
      </c>
      <c r="S1381" t="s">
        <v>37</v>
      </c>
      <c r="T1381" t="s">
        <v>35</v>
      </c>
      <c r="U1381">
        <f t="shared" si="21"/>
        <v>1</v>
      </c>
    </row>
    <row r="1382" spans="1:21" x14ac:dyDescent="0.2">
      <c r="A1382">
        <v>673</v>
      </c>
      <c r="B1382" t="s">
        <v>42</v>
      </c>
      <c r="C1382" t="s">
        <v>21</v>
      </c>
      <c r="D1382">
        <v>39</v>
      </c>
      <c r="E1382">
        <v>7</v>
      </c>
      <c r="F1382">
        <v>82255.509999999995</v>
      </c>
      <c r="G1382">
        <v>2</v>
      </c>
      <c r="H1382" t="s">
        <v>22</v>
      </c>
      <c r="I1382" t="s">
        <v>23</v>
      </c>
      <c r="J1382">
        <v>109545.56</v>
      </c>
      <c r="K1382" t="s">
        <v>23</v>
      </c>
      <c r="L1382">
        <v>0.1628841892425337</v>
      </c>
      <c r="M1382" t="s">
        <v>23</v>
      </c>
      <c r="N1382">
        <v>0</v>
      </c>
      <c r="O1382">
        <v>0</v>
      </c>
      <c r="P1382" t="s">
        <v>34</v>
      </c>
      <c r="Q1382" t="s">
        <v>33</v>
      </c>
      <c r="R1382" t="s">
        <v>38</v>
      </c>
      <c r="S1382" t="s">
        <v>27</v>
      </c>
      <c r="T1382" t="s">
        <v>28</v>
      </c>
      <c r="U1382">
        <f t="shared" si="21"/>
        <v>1</v>
      </c>
    </row>
    <row r="1383" spans="1:21" x14ac:dyDescent="0.2">
      <c r="A1383">
        <v>745</v>
      </c>
      <c r="B1383" t="s">
        <v>42</v>
      </c>
      <c r="C1383" t="s">
        <v>32</v>
      </c>
      <c r="D1383">
        <v>33</v>
      </c>
      <c r="E1383">
        <v>1</v>
      </c>
      <c r="F1383">
        <v>0</v>
      </c>
      <c r="G1383">
        <v>2</v>
      </c>
      <c r="H1383" t="s">
        <v>22</v>
      </c>
      <c r="I1383" t="s">
        <v>22</v>
      </c>
      <c r="J1383">
        <v>174431.01</v>
      </c>
      <c r="K1383" t="s">
        <v>23</v>
      </c>
      <c r="L1383">
        <v>6.1152428301477803E-2</v>
      </c>
      <c r="M1383" t="s">
        <v>23</v>
      </c>
      <c r="N1383">
        <v>0</v>
      </c>
      <c r="O1383">
        <v>0</v>
      </c>
      <c r="P1383" t="s">
        <v>34</v>
      </c>
      <c r="Q1383" t="s">
        <v>33</v>
      </c>
      <c r="R1383" t="s">
        <v>29</v>
      </c>
      <c r="S1383" t="s">
        <v>37</v>
      </c>
      <c r="T1383" t="s">
        <v>31</v>
      </c>
      <c r="U1383">
        <f t="shared" si="21"/>
        <v>1</v>
      </c>
    </row>
    <row r="1384" spans="1:21" x14ac:dyDescent="0.2">
      <c r="A1384">
        <v>576</v>
      </c>
      <c r="B1384" t="s">
        <v>42</v>
      </c>
      <c r="C1384" t="s">
        <v>32</v>
      </c>
      <c r="D1384">
        <v>55</v>
      </c>
      <c r="E1384">
        <v>6</v>
      </c>
      <c r="F1384">
        <v>44582.07</v>
      </c>
      <c r="G1384">
        <v>3</v>
      </c>
      <c r="H1384" t="s">
        <v>23</v>
      </c>
      <c r="I1384" t="s">
        <v>22</v>
      </c>
      <c r="J1384">
        <v>67539.850000000006</v>
      </c>
      <c r="K1384" t="s">
        <v>22</v>
      </c>
      <c r="L1384">
        <v>0.24954826675165509</v>
      </c>
      <c r="M1384" t="s">
        <v>23</v>
      </c>
      <c r="N1384">
        <v>1</v>
      </c>
      <c r="O1384">
        <v>0</v>
      </c>
      <c r="P1384" t="s">
        <v>24</v>
      </c>
      <c r="Q1384" t="s">
        <v>44</v>
      </c>
      <c r="R1384" t="s">
        <v>48</v>
      </c>
      <c r="S1384" t="s">
        <v>30</v>
      </c>
      <c r="T1384" t="s">
        <v>40</v>
      </c>
      <c r="U1384">
        <f t="shared" si="21"/>
        <v>0</v>
      </c>
    </row>
    <row r="1385" spans="1:21" x14ac:dyDescent="0.2">
      <c r="A1385">
        <v>595</v>
      </c>
      <c r="B1385" t="s">
        <v>42</v>
      </c>
      <c r="C1385" t="s">
        <v>21</v>
      </c>
      <c r="D1385">
        <v>52</v>
      </c>
      <c r="E1385">
        <v>9</v>
      </c>
      <c r="F1385">
        <v>0</v>
      </c>
      <c r="G1385">
        <v>1</v>
      </c>
      <c r="H1385" t="s">
        <v>22</v>
      </c>
      <c r="I1385" t="s">
        <v>22</v>
      </c>
      <c r="J1385">
        <v>106340.66</v>
      </c>
      <c r="K1385" t="s">
        <v>22</v>
      </c>
      <c r="L1385">
        <v>0.1344906028540315</v>
      </c>
      <c r="M1385" t="s">
        <v>23</v>
      </c>
      <c r="N1385">
        <v>1</v>
      </c>
      <c r="O1385">
        <v>0</v>
      </c>
      <c r="P1385" t="s">
        <v>34</v>
      </c>
      <c r="Q1385" t="s">
        <v>44</v>
      </c>
      <c r="R1385" t="s">
        <v>29</v>
      </c>
      <c r="S1385" t="s">
        <v>30</v>
      </c>
      <c r="T1385" t="s">
        <v>28</v>
      </c>
      <c r="U1385">
        <f t="shared" si="21"/>
        <v>0</v>
      </c>
    </row>
    <row r="1386" spans="1:21" x14ac:dyDescent="0.2">
      <c r="A1386">
        <v>662</v>
      </c>
      <c r="B1386" t="s">
        <v>42</v>
      </c>
      <c r="C1386" t="s">
        <v>21</v>
      </c>
      <c r="D1386">
        <v>44</v>
      </c>
      <c r="E1386">
        <v>8</v>
      </c>
      <c r="F1386">
        <v>0</v>
      </c>
      <c r="G1386">
        <v>2</v>
      </c>
      <c r="H1386" t="s">
        <v>22</v>
      </c>
      <c r="I1386" t="s">
        <v>22</v>
      </c>
      <c r="J1386">
        <v>175314.87</v>
      </c>
      <c r="K1386" t="s">
        <v>23</v>
      </c>
      <c r="L1386">
        <v>7.2736883121544499E-2</v>
      </c>
      <c r="M1386" t="s">
        <v>23</v>
      </c>
      <c r="N1386">
        <v>0</v>
      </c>
      <c r="O1386">
        <v>0</v>
      </c>
      <c r="P1386" t="s">
        <v>34</v>
      </c>
      <c r="Q1386" t="s">
        <v>25</v>
      </c>
      <c r="R1386" t="s">
        <v>29</v>
      </c>
      <c r="S1386" t="s">
        <v>27</v>
      </c>
      <c r="T1386" t="s">
        <v>31</v>
      </c>
      <c r="U1386">
        <f t="shared" si="21"/>
        <v>1</v>
      </c>
    </row>
    <row r="1387" spans="1:21" x14ac:dyDescent="0.2">
      <c r="A1387">
        <v>764</v>
      </c>
      <c r="B1387" t="s">
        <v>42</v>
      </c>
      <c r="C1387" t="s">
        <v>32</v>
      </c>
      <c r="D1387">
        <v>44</v>
      </c>
      <c r="E1387">
        <v>1</v>
      </c>
      <c r="F1387">
        <v>0</v>
      </c>
      <c r="G1387">
        <v>2</v>
      </c>
      <c r="H1387" t="s">
        <v>22</v>
      </c>
      <c r="I1387" t="s">
        <v>22</v>
      </c>
      <c r="J1387">
        <v>11467.38</v>
      </c>
      <c r="K1387" t="s">
        <v>23</v>
      </c>
      <c r="L1387">
        <v>0.1169446359449459</v>
      </c>
      <c r="M1387" t="s">
        <v>23</v>
      </c>
      <c r="N1387">
        <v>0</v>
      </c>
      <c r="O1387">
        <v>0</v>
      </c>
      <c r="P1387" t="s">
        <v>34</v>
      </c>
      <c r="Q1387" t="s">
        <v>25</v>
      </c>
      <c r="R1387" t="s">
        <v>29</v>
      </c>
      <c r="S1387" t="s">
        <v>37</v>
      </c>
      <c r="T1387" t="s">
        <v>35</v>
      </c>
      <c r="U1387">
        <f t="shared" si="21"/>
        <v>1</v>
      </c>
    </row>
    <row r="1388" spans="1:21" x14ac:dyDescent="0.2">
      <c r="A1388">
        <v>557</v>
      </c>
      <c r="B1388" t="s">
        <v>42</v>
      </c>
      <c r="C1388" t="s">
        <v>32</v>
      </c>
      <c r="D1388">
        <v>39</v>
      </c>
      <c r="E1388">
        <v>7</v>
      </c>
      <c r="F1388">
        <v>49572.73</v>
      </c>
      <c r="G1388">
        <v>1</v>
      </c>
      <c r="H1388" t="s">
        <v>22</v>
      </c>
      <c r="I1388" t="s">
        <v>23</v>
      </c>
      <c r="J1388">
        <v>115287.99</v>
      </c>
      <c r="K1388" t="s">
        <v>22</v>
      </c>
      <c r="L1388">
        <v>0.27150044208683599</v>
      </c>
      <c r="M1388" t="s">
        <v>23</v>
      </c>
      <c r="N1388">
        <v>1</v>
      </c>
      <c r="O1388">
        <v>0</v>
      </c>
      <c r="P1388" t="s">
        <v>24</v>
      </c>
      <c r="Q1388" t="s">
        <v>33</v>
      </c>
      <c r="R1388" t="s">
        <v>48</v>
      </c>
      <c r="S1388" t="s">
        <v>30</v>
      </c>
      <c r="T1388" t="s">
        <v>28</v>
      </c>
      <c r="U1388">
        <f t="shared" si="21"/>
        <v>0</v>
      </c>
    </row>
    <row r="1389" spans="1:21" x14ac:dyDescent="0.2">
      <c r="A1389">
        <v>521</v>
      </c>
      <c r="B1389" t="s">
        <v>42</v>
      </c>
      <c r="C1389" t="s">
        <v>21</v>
      </c>
      <c r="D1389">
        <v>27</v>
      </c>
      <c r="E1389">
        <v>4</v>
      </c>
      <c r="F1389">
        <v>121325.84</v>
      </c>
      <c r="G1389">
        <v>1</v>
      </c>
      <c r="H1389" t="s">
        <v>22</v>
      </c>
      <c r="I1389" t="s">
        <v>22</v>
      </c>
      <c r="J1389">
        <v>164223.70000000001</v>
      </c>
      <c r="K1389" t="s">
        <v>22</v>
      </c>
      <c r="L1389">
        <v>3.8618262194802938E-2</v>
      </c>
      <c r="M1389" t="s">
        <v>23</v>
      </c>
      <c r="N1389">
        <v>1</v>
      </c>
      <c r="O1389">
        <v>0</v>
      </c>
      <c r="P1389" t="s">
        <v>34</v>
      </c>
      <c r="Q1389" t="s">
        <v>36</v>
      </c>
      <c r="R1389" t="s">
        <v>26</v>
      </c>
      <c r="S1389" t="s">
        <v>30</v>
      </c>
      <c r="T1389" t="s">
        <v>31</v>
      </c>
      <c r="U1389">
        <f t="shared" si="21"/>
        <v>0</v>
      </c>
    </row>
    <row r="1390" spans="1:21" x14ac:dyDescent="0.2">
      <c r="A1390">
        <v>775</v>
      </c>
      <c r="B1390" t="s">
        <v>42</v>
      </c>
      <c r="C1390" t="s">
        <v>21</v>
      </c>
      <c r="D1390">
        <v>28</v>
      </c>
      <c r="E1390">
        <v>9</v>
      </c>
      <c r="F1390">
        <v>111167.7</v>
      </c>
      <c r="G1390">
        <v>1</v>
      </c>
      <c r="H1390" t="s">
        <v>22</v>
      </c>
      <c r="I1390" t="s">
        <v>23</v>
      </c>
      <c r="J1390">
        <v>149331.01</v>
      </c>
      <c r="K1390" t="s">
        <v>23</v>
      </c>
      <c r="L1390">
        <v>8.6255598007364126E-2</v>
      </c>
      <c r="M1390" t="s">
        <v>23</v>
      </c>
      <c r="N1390">
        <v>0</v>
      </c>
      <c r="O1390">
        <v>0</v>
      </c>
      <c r="P1390" t="s">
        <v>34</v>
      </c>
      <c r="Q1390" t="s">
        <v>36</v>
      </c>
      <c r="R1390" t="s">
        <v>26</v>
      </c>
      <c r="S1390" t="s">
        <v>37</v>
      </c>
      <c r="T1390" t="s">
        <v>28</v>
      </c>
      <c r="U1390">
        <f t="shared" si="21"/>
        <v>1</v>
      </c>
    </row>
    <row r="1391" spans="1:21" x14ac:dyDescent="0.2">
      <c r="A1391">
        <v>751</v>
      </c>
      <c r="B1391" t="s">
        <v>42</v>
      </c>
      <c r="C1391" t="s">
        <v>21</v>
      </c>
      <c r="D1391">
        <v>43</v>
      </c>
      <c r="E1391">
        <v>1</v>
      </c>
      <c r="F1391">
        <v>114974.24</v>
      </c>
      <c r="G1391">
        <v>1</v>
      </c>
      <c r="H1391" t="s">
        <v>22</v>
      </c>
      <c r="I1391" t="s">
        <v>23</v>
      </c>
      <c r="J1391">
        <v>125920.54</v>
      </c>
      <c r="K1391" t="s">
        <v>23</v>
      </c>
      <c r="L1391">
        <v>0.25376101203069079</v>
      </c>
      <c r="M1391" t="s">
        <v>23</v>
      </c>
      <c r="N1391">
        <v>0</v>
      </c>
      <c r="O1391">
        <v>0</v>
      </c>
      <c r="P1391" t="s">
        <v>24</v>
      </c>
      <c r="Q1391" t="s">
        <v>25</v>
      </c>
      <c r="R1391" t="s">
        <v>26</v>
      </c>
      <c r="S1391" t="s">
        <v>37</v>
      </c>
      <c r="T1391" t="s">
        <v>28</v>
      </c>
      <c r="U1391">
        <f t="shared" si="21"/>
        <v>1</v>
      </c>
    </row>
    <row r="1392" spans="1:21" x14ac:dyDescent="0.2">
      <c r="A1392">
        <v>697</v>
      </c>
      <c r="B1392" t="s">
        <v>42</v>
      </c>
      <c r="C1392" t="s">
        <v>32</v>
      </c>
      <c r="D1392">
        <v>25</v>
      </c>
      <c r="E1392">
        <v>1</v>
      </c>
      <c r="F1392">
        <v>0</v>
      </c>
      <c r="G1392">
        <v>2</v>
      </c>
      <c r="H1392" t="s">
        <v>23</v>
      </c>
      <c r="I1392" t="s">
        <v>23</v>
      </c>
      <c r="J1392">
        <v>87803.32</v>
      </c>
      <c r="K1392" t="s">
        <v>23</v>
      </c>
      <c r="L1392">
        <v>9.8288952291200202E-2</v>
      </c>
      <c r="M1392" t="s">
        <v>23</v>
      </c>
      <c r="N1392">
        <v>0</v>
      </c>
      <c r="O1392">
        <v>0</v>
      </c>
      <c r="P1392" t="s">
        <v>34</v>
      </c>
      <c r="Q1392" t="s">
        <v>36</v>
      </c>
      <c r="R1392" t="s">
        <v>29</v>
      </c>
      <c r="S1392" t="s">
        <v>27</v>
      </c>
      <c r="T1392" t="s">
        <v>40</v>
      </c>
      <c r="U1392">
        <f t="shared" si="21"/>
        <v>1</v>
      </c>
    </row>
    <row r="1393" spans="1:21" x14ac:dyDescent="0.2">
      <c r="A1393">
        <v>748</v>
      </c>
      <c r="B1393" t="s">
        <v>42</v>
      </c>
      <c r="C1393" t="s">
        <v>32</v>
      </c>
      <c r="D1393">
        <v>34</v>
      </c>
      <c r="E1393">
        <v>8</v>
      </c>
      <c r="F1393">
        <v>0</v>
      </c>
      <c r="G1393">
        <v>2</v>
      </c>
      <c r="H1393" t="s">
        <v>22</v>
      </c>
      <c r="I1393" t="s">
        <v>23</v>
      </c>
      <c r="J1393">
        <v>53584.03</v>
      </c>
      <c r="K1393" t="s">
        <v>23</v>
      </c>
      <c r="L1393">
        <v>0.1448441014056028</v>
      </c>
      <c r="M1393" t="s">
        <v>23</v>
      </c>
      <c r="N1393">
        <v>0</v>
      </c>
      <c r="O1393">
        <v>0</v>
      </c>
      <c r="P1393" t="s">
        <v>34</v>
      </c>
      <c r="Q1393" t="s">
        <v>33</v>
      </c>
      <c r="R1393" t="s">
        <v>29</v>
      </c>
      <c r="S1393" t="s">
        <v>37</v>
      </c>
      <c r="T1393" t="s">
        <v>40</v>
      </c>
      <c r="U1393">
        <f t="shared" si="21"/>
        <v>1</v>
      </c>
    </row>
    <row r="1394" spans="1:21" x14ac:dyDescent="0.2">
      <c r="A1394">
        <v>524</v>
      </c>
      <c r="B1394" t="s">
        <v>41</v>
      </c>
      <c r="C1394" t="s">
        <v>21</v>
      </c>
      <c r="D1394">
        <v>29</v>
      </c>
      <c r="E1394">
        <v>9</v>
      </c>
      <c r="F1394">
        <v>144287.6</v>
      </c>
      <c r="G1394">
        <v>2</v>
      </c>
      <c r="H1394" t="s">
        <v>22</v>
      </c>
      <c r="I1394" t="s">
        <v>23</v>
      </c>
      <c r="J1394">
        <v>32063.3</v>
      </c>
      <c r="K1394" t="s">
        <v>23</v>
      </c>
      <c r="L1394">
        <v>0.19663894744481589</v>
      </c>
      <c r="M1394" t="s">
        <v>23</v>
      </c>
      <c r="N1394">
        <v>0</v>
      </c>
      <c r="O1394">
        <v>0</v>
      </c>
      <c r="P1394" t="s">
        <v>34</v>
      </c>
      <c r="Q1394" t="s">
        <v>36</v>
      </c>
      <c r="R1394" t="s">
        <v>26</v>
      </c>
      <c r="S1394" t="s">
        <v>30</v>
      </c>
      <c r="T1394" t="s">
        <v>35</v>
      </c>
      <c r="U1394">
        <f t="shared" si="21"/>
        <v>1</v>
      </c>
    </row>
    <row r="1395" spans="1:21" x14ac:dyDescent="0.2">
      <c r="A1395">
        <v>624</v>
      </c>
      <c r="B1395" t="s">
        <v>41</v>
      </c>
      <c r="C1395" t="s">
        <v>32</v>
      </c>
      <c r="D1395">
        <v>45</v>
      </c>
      <c r="E1395">
        <v>5</v>
      </c>
      <c r="F1395">
        <v>151855.32999999999</v>
      </c>
      <c r="G1395">
        <v>1</v>
      </c>
      <c r="H1395" t="s">
        <v>22</v>
      </c>
      <c r="I1395" t="s">
        <v>23</v>
      </c>
      <c r="J1395">
        <v>68794.149999999994</v>
      </c>
      <c r="K1395" t="s">
        <v>23</v>
      </c>
      <c r="L1395">
        <v>0.61718606276766019</v>
      </c>
      <c r="M1395" t="s">
        <v>22</v>
      </c>
      <c r="N1395">
        <v>0</v>
      </c>
      <c r="O1395">
        <v>1</v>
      </c>
      <c r="P1395" t="s">
        <v>43</v>
      </c>
      <c r="Q1395" t="s">
        <v>25</v>
      </c>
      <c r="R1395" t="s">
        <v>47</v>
      </c>
      <c r="S1395" t="s">
        <v>27</v>
      </c>
      <c r="T1395" t="s">
        <v>40</v>
      </c>
      <c r="U1395">
        <f t="shared" si="21"/>
        <v>0</v>
      </c>
    </row>
    <row r="1396" spans="1:21" x14ac:dyDescent="0.2">
      <c r="A1396">
        <v>677</v>
      </c>
      <c r="B1396" t="s">
        <v>42</v>
      </c>
      <c r="C1396" t="s">
        <v>32</v>
      </c>
      <c r="D1396">
        <v>27</v>
      </c>
      <c r="E1396">
        <v>2</v>
      </c>
      <c r="F1396">
        <v>0</v>
      </c>
      <c r="G1396">
        <v>2</v>
      </c>
      <c r="H1396" t="s">
        <v>23</v>
      </c>
      <c r="I1396" t="s">
        <v>22</v>
      </c>
      <c r="J1396">
        <v>114685.92</v>
      </c>
      <c r="K1396" t="s">
        <v>23</v>
      </c>
      <c r="L1396">
        <v>4.1124234265398338E-2</v>
      </c>
      <c r="M1396" t="s">
        <v>23</v>
      </c>
      <c r="N1396">
        <v>0</v>
      </c>
      <c r="O1396">
        <v>0</v>
      </c>
      <c r="P1396" t="s">
        <v>34</v>
      </c>
      <c r="Q1396" t="s">
        <v>36</v>
      </c>
      <c r="R1396" t="s">
        <v>29</v>
      </c>
      <c r="S1396" t="s">
        <v>27</v>
      </c>
      <c r="T1396" t="s">
        <v>28</v>
      </c>
      <c r="U1396">
        <f t="shared" si="21"/>
        <v>1</v>
      </c>
    </row>
    <row r="1397" spans="1:21" x14ac:dyDescent="0.2">
      <c r="A1397">
        <v>718</v>
      </c>
      <c r="B1397" t="s">
        <v>41</v>
      </c>
      <c r="C1397" t="s">
        <v>21</v>
      </c>
      <c r="D1397">
        <v>26</v>
      </c>
      <c r="E1397">
        <v>7</v>
      </c>
      <c r="F1397">
        <v>147527.03</v>
      </c>
      <c r="G1397">
        <v>1</v>
      </c>
      <c r="H1397" t="s">
        <v>23</v>
      </c>
      <c r="I1397" t="s">
        <v>23</v>
      </c>
      <c r="J1397">
        <v>51099.56</v>
      </c>
      <c r="K1397" t="s">
        <v>23</v>
      </c>
      <c r="L1397">
        <v>0.1723191914357145</v>
      </c>
      <c r="M1397" t="s">
        <v>23</v>
      </c>
      <c r="N1397">
        <v>0</v>
      </c>
      <c r="O1397">
        <v>0</v>
      </c>
      <c r="P1397" t="s">
        <v>34</v>
      </c>
      <c r="Q1397" t="s">
        <v>36</v>
      </c>
      <c r="R1397" t="s">
        <v>26</v>
      </c>
      <c r="S1397" t="s">
        <v>37</v>
      </c>
      <c r="T1397" t="s">
        <v>40</v>
      </c>
      <c r="U1397">
        <f t="shared" si="21"/>
        <v>1</v>
      </c>
    </row>
    <row r="1398" spans="1:21" x14ac:dyDescent="0.2">
      <c r="A1398">
        <v>574</v>
      </c>
      <c r="B1398" t="s">
        <v>42</v>
      </c>
      <c r="C1398" t="s">
        <v>21</v>
      </c>
      <c r="D1398">
        <v>33</v>
      </c>
      <c r="E1398">
        <v>8</v>
      </c>
      <c r="F1398">
        <v>100267.03</v>
      </c>
      <c r="G1398">
        <v>1</v>
      </c>
      <c r="H1398" t="s">
        <v>22</v>
      </c>
      <c r="I1398" t="s">
        <v>23</v>
      </c>
      <c r="J1398">
        <v>103006.27</v>
      </c>
      <c r="K1398" t="s">
        <v>23</v>
      </c>
      <c r="L1398">
        <v>0.1317590130405801</v>
      </c>
      <c r="M1398" t="s">
        <v>23</v>
      </c>
      <c r="N1398">
        <v>0</v>
      </c>
      <c r="O1398">
        <v>0</v>
      </c>
      <c r="P1398" t="s">
        <v>34</v>
      </c>
      <c r="Q1398" t="s">
        <v>33</v>
      </c>
      <c r="R1398" t="s">
        <v>26</v>
      </c>
      <c r="S1398" t="s">
        <v>30</v>
      </c>
      <c r="T1398" t="s">
        <v>28</v>
      </c>
      <c r="U1398">
        <f t="shared" si="21"/>
        <v>1</v>
      </c>
    </row>
    <row r="1399" spans="1:21" x14ac:dyDescent="0.2">
      <c r="A1399">
        <v>615</v>
      </c>
      <c r="B1399" t="s">
        <v>20</v>
      </c>
      <c r="C1399" t="s">
        <v>21</v>
      </c>
      <c r="D1399">
        <v>41</v>
      </c>
      <c r="E1399">
        <v>4</v>
      </c>
      <c r="F1399">
        <v>0</v>
      </c>
      <c r="G1399">
        <v>1</v>
      </c>
      <c r="H1399" t="s">
        <v>23</v>
      </c>
      <c r="I1399" t="s">
        <v>22</v>
      </c>
      <c r="J1399">
        <v>149278.96</v>
      </c>
      <c r="K1399" t="s">
        <v>23</v>
      </c>
      <c r="L1399">
        <v>7.6139376902912004E-2</v>
      </c>
      <c r="M1399" t="s">
        <v>23</v>
      </c>
      <c r="N1399">
        <v>0</v>
      </c>
      <c r="O1399">
        <v>0</v>
      </c>
      <c r="P1399" t="s">
        <v>34</v>
      </c>
      <c r="Q1399" t="s">
        <v>25</v>
      </c>
      <c r="R1399" t="s">
        <v>29</v>
      </c>
      <c r="S1399" t="s">
        <v>27</v>
      </c>
      <c r="T1399" t="s">
        <v>28</v>
      </c>
      <c r="U1399">
        <f t="shared" si="21"/>
        <v>1</v>
      </c>
    </row>
    <row r="1400" spans="1:21" x14ac:dyDescent="0.2">
      <c r="A1400">
        <v>850</v>
      </c>
      <c r="B1400" t="s">
        <v>42</v>
      </c>
      <c r="C1400" t="s">
        <v>32</v>
      </c>
      <c r="D1400">
        <v>36</v>
      </c>
      <c r="E1400">
        <v>6</v>
      </c>
      <c r="F1400">
        <v>0</v>
      </c>
      <c r="G1400">
        <v>2</v>
      </c>
      <c r="H1400" t="s">
        <v>22</v>
      </c>
      <c r="I1400" t="s">
        <v>22</v>
      </c>
      <c r="J1400">
        <v>190194.95</v>
      </c>
      <c r="K1400" t="s">
        <v>23</v>
      </c>
      <c r="L1400">
        <v>6.4638818437977433E-2</v>
      </c>
      <c r="M1400" t="s">
        <v>23</v>
      </c>
      <c r="N1400">
        <v>0</v>
      </c>
      <c r="O1400">
        <v>0</v>
      </c>
      <c r="P1400" t="s">
        <v>34</v>
      </c>
      <c r="Q1400" t="s">
        <v>33</v>
      </c>
      <c r="R1400" t="s">
        <v>29</v>
      </c>
      <c r="S1400" t="s">
        <v>39</v>
      </c>
      <c r="T1400" t="s">
        <v>31</v>
      </c>
      <c r="U1400">
        <f t="shared" si="21"/>
        <v>1</v>
      </c>
    </row>
    <row r="1401" spans="1:21" x14ac:dyDescent="0.2">
      <c r="A1401">
        <v>755</v>
      </c>
      <c r="B1401" t="s">
        <v>41</v>
      </c>
      <c r="C1401" t="s">
        <v>21</v>
      </c>
      <c r="D1401">
        <v>43</v>
      </c>
      <c r="E1401">
        <v>6</v>
      </c>
      <c r="F1401">
        <v>165048.5</v>
      </c>
      <c r="G1401">
        <v>3</v>
      </c>
      <c r="H1401" t="s">
        <v>22</v>
      </c>
      <c r="I1401" t="s">
        <v>23</v>
      </c>
      <c r="J1401">
        <v>16929.41</v>
      </c>
      <c r="K1401" t="s">
        <v>22</v>
      </c>
      <c r="L1401">
        <v>0.37043167693120749</v>
      </c>
      <c r="M1401" t="s">
        <v>23</v>
      </c>
      <c r="N1401">
        <v>1</v>
      </c>
      <c r="O1401">
        <v>0</v>
      </c>
      <c r="P1401" t="s">
        <v>24</v>
      </c>
      <c r="Q1401" t="s">
        <v>25</v>
      </c>
      <c r="R1401" t="s">
        <v>47</v>
      </c>
      <c r="S1401" t="s">
        <v>37</v>
      </c>
      <c r="T1401" t="s">
        <v>35</v>
      </c>
      <c r="U1401">
        <f t="shared" si="21"/>
        <v>0</v>
      </c>
    </row>
    <row r="1402" spans="1:21" x14ac:dyDescent="0.2">
      <c r="A1402">
        <v>597</v>
      </c>
      <c r="B1402" t="s">
        <v>42</v>
      </c>
      <c r="C1402" t="s">
        <v>32</v>
      </c>
      <c r="D1402">
        <v>41</v>
      </c>
      <c r="E1402">
        <v>4</v>
      </c>
      <c r="F1402">
        <v>145809.53</v>
      </c>
      <c r="G1402">
        <v>2</v>
      </c>
      <c r="H1402" t="s">
        <v>22</v>
      </c>
      <c r="I1402" t="s">
        <v>22</v>
      </c>
      <c r="J1402">
        <v>52319.26</v>
      </c>
      <c r="K1402" t="s">
        <v>23</v>
      </c>
      <c r="L1402">
        <v>0.1434841416925991</v>
      </c>
      <c r="M1402" t="s">
        <v>23</v>
      </c>
      <c r="N1402">
        <v>0</v>
      </c>
      <c r="O1402">
        <v>0</v>
      </c>
      <c r="P1402" t="s">
        <v>34</v>
      </c>
      <c r="Q1402" t="s">
        <v>25</v>
      </c>
      <c r="R1402" t="s">
        <v>26</v>
      </c>
      <c r="S1402" t="s">
        <v>30</v>
      </c>
      <c r="T1402" t="s">
        <v>40</v>
      </c>
      <c r="U1402">
        <f t="shared" si="21"/>
        <v>1</v>
      </c>
    </row>
    <row r="1403" spans="1:21" x14ac:dyDescent="0.2">
      <c r="A1403">
        <v>580</v>
      </c>
      <c r="B1403" t="s">
        <v>41</v>
      </c>
      <c r="C1403" t="s">
        <v>21</v>
      </c>
      <c r="D1403">
        <v>76</v>
      </c>
      <c r="E1403">
        <v>2</v>
      </c>
      <c r="F1403">
        <v>130334.84</v>
      </c>
      <c r="G1403">
        <v>2</v>
      </c>
      <c r="H1403" t="s">
        <v>22</v>
      </c>
      <c r="I1403" t="s">
        <v>22</v>
      </c>
      <c r="J1403">
        <v>51672.08</v>
      </c>
      <c r="K1403" t="s">
        <v>23</v>
      </c>
      <c r="L1403">
        <v>0.74172000511108271</v>
      </c>
      <c r="M1403" t="s">
        <v>22</v>
      </c>
      <c r="N1403">
        <v>0</v>
      </c>
      <c r="O1403">
        <v>1</v>
      </c>
      <c r="P1403" t="s">
        <v>43</v>
      </c>
      <c r="Q1403" t="s">
        <v>46</v>
      </c>
      <c r="R1403" t="s">
        <v>26</v>
      </c>
      <c r="S1403" t="s">
        <v>30</v>
      </c>
      <c r="T1403" t="s">
        <v>40</v>
      </c>
      <c r="U1403">
        <f t="shared" si="21"/>
        <v>0</v>
      </c>
    </row>
    <row r="1404" spans="1:21" x14ac:dyDescent="0.2">
      <c r="A1404">
        <v>698</v>
      </c>
      <c r="B1404" t="s">
        <v>20</v>
      </c>
      <c r="C1404" t="s">
        <v>32</v>
      </c>
      <c r="D1404">
        <v>63</v>
      </c>
      <c r="E1404">
        <v>5</v>
      </c>
      <c r="F1404">
        <v>0</v>
      </c>
      <c r="G1404">
        <v>1</v>
      </c>
      <c r="H1404" t="s">
        <v>22</v>
      </c>
      <c r="I1404" t="s">
        <v>22</v>
      </c>
      <c r="J1404">
        <v>173576.71</v>
      </c>
      <c r="K1404" t="s">
        <v>23</v>
      </c>
      <c r="L1404">
        <v>0.39734393533450141</v>
      </c>
      <c r="M1404" t="s">
        <v>23</v>
      </c>
      <c r="N1404">
        <v>0</v>
      </c>
      <c r="O1404">
        <v>0</v>
      </c>
      <c r="P1404" t="s">
        <v>24</v>
      </c>
      <c r="Q1404" t="s">
        <v>46</v>
      </c>
      <c r="R1404" t="s">
        <v>29</v>
      </c>
      <c r="S1404" t="s">
        <v>27</v>
      </c>
      <c r="T1404" t="s">
        <v>31</v>
      </c>
      <c r="U1404">
        <f t="shared" si="21"/>
        <v>1</v>
      </c>
    </row>
    <row r="1405" spans="1:21" x14ac:dyDescent="0.2">
      <c r="A1405">
        <v>682</v>
      </c>
      <c r="B1405" t="s">
        <v>41</v>
      </c>
      <c r="C1405" t="s">
        <v>21</v>
      </c>
      <c r="D1405">
        <v>36</v>
      </c>
      <c r="E1405">
        <v>5</v>
      </c>
      <c r="F1405">
        <v>72373.62</v>
      </c>
      <c r="G1405">
        <v>2</v>
      </c>
      <c r="H1405" t="s">
        <v>22</v>
      </c>
      <c r="I1405" t="s">
        <v>23</v>
      </c>
      <c r="J1405">
        <v>36895.99</v>
      </c>
      <c r="K1405" t="s">
        <v>23</v>
      </c>
      <c r="L1405">
        <v>0.2491030648071744</v>
      </c>
      <c r="M1405" t="s">
        <v>23</v>
      </c>
      <c r="N1405">
        <v>0</v>
      </c>
      <c r="O1405">
        <v>0</v>
      </c>
      <c r="P1405" t="s">
        <v>24</v>
      </c>
      <c r="Q1405" t="s">
        <v>33</v>
      </c>
      <c r="R1405" t="s">
        <v>38</v>
      </c>
      <c r="S1405" t="s">
        <v>27</v>
      </c>
      <c r="T1405" t="s">
        <v>35</v>
      </c>
      <c r="U1405">
        <f t="shared" si="21"/>
        <v>1</v>
      </c>
    </row>
    <row r="1406" spans="1:21" x14ac:dyDescent="0.2">
      <c r="A1406">
        <v>742</v>
      </c>
      <c r="B1406" t="s">
        <v>42</v>
      </c>
      <c r="C1406" t="s">
        <v>32</v>
      </c>
      <c r="D1406">
        <v>25</v>
      </c>
      <c r="E1406">
        <v>4</v>
      </c>
      <c r="F1406">
        <v>132116.13</v>
      </c>
      <c r="G1406">
        <v>2</v>
      </c>
      <c r="H1406" t="s">
        <v>22</v>
      </c>
      <c r="I1406" t="s">
        <v>23</v>
      </c>
      <c r="J1406">
        <v>129933.5</v>
      </c>
      <c r="K1406" t="s">
        <v>23</v>
      </c>
      <c r="L1406">
        <v>0.122053484247756</v>
      </c>
      <c r="M1406" t="s">
        <v>23</v>
      </c>
      <c r="N1406">
        <v>0</v>
      </c>
      <c r="O1406">
        <v>0</v>
      </c>
      <c r="P1406" t="s">
        <v>34</v>
      </c>
      <c r="Q1406" t="s">
        <v>36</v>
      </c>
      <c r="R1406" t="s">
        <v>26</v>
      </c>
      <c r="S1406" t="s">
        <v>37</v>
      </c>
      <c r="T1406" t="s">
        <v>28</v>
      </c>
      <c r="U1406">
        <f t="shared" si="21"/>
        <v>1</v>
      </c>
    </row>
    <row r="1407" spans="1:21" x14ac:dyDescent="0.2">
      <c r="A1407">
        <v>733</v>
      </c>
      <c r="B1407" t="s">
        <v>42</v>
      </c>
      <c r="C1407" t="s">
        <v>21</v>
      </c>
      <c r="D1407">
        <v>36</v>
      </c>
      <c r="E1407">
        <v>5</v>
      </c>
      <c r="F1407">
        <v>0</v>
      </c>
      <c r="G1407">
        <v>2</v>
      </c>
      <c r="H1407" t="s">
        <v>22</v>
      </c>
      <c r="I1407" t="s">
        <v>22</v>
      </c>
      <c r="J1407">
        <v>109127.54</v>
      </c>
      <c r="K1407" t="s">
        <v>23</v>
      </c>
      <c r="L1407">
        <v>4.0537107274929783E-2</v>
      </c>
      <c r="M1407" t="s">
        <v>23</v>
      </c>
      <c r="N1407">
        <v>0</v>
      </c>
      <c r="O1407">
        <v>0</v>
      </c>
      <c r="P1407" t="s">
        <v>34</v>
      </c>
      <c r="Q1407" t="s">
        <v>33</v>
      </c>
      <c r="R1407" t="s">
        <v>29</v>
      </c>
      <c r="S1407" t="s">
        <v>37</v>
      </c>
      <c r="T1407" t="s">
        <v>28</v>
      </c>
      <c r="U1407">
        <f t="shared" si="21"/>
        <v>1</v>
      </c>
    </row>
    <row r="1408" spans="1:21" x14ac:dyDescent="0.2">
      <c r="A1408">
        <v>600</v>
      </c>
      <c r="B1408" t="s">
        <v>41</v>
      </c>
      <c r="C1408" t="s">
        <v>21</v>
      </c>
      <c r="D1408">
        <v>53</v>
      </c>
      <c r="E1408">
        <v>7</v>
      </c>
      <c r="F1408">
        <v>106261.63</v>
      </c>
      <c r="G1408">
        <v>1</v>
      </c>
      <c r="H1408" t="s">
        <v>22</v>
      </c>
      <c r="I1408" t="s">
        <v>23</v>
      </c>
      <c r="J1408">
        <v>93629.66</v>
      </c>
      <c r="K1408" t="s">
        <v>22</v>
      </c>
      <c r="L1408">
        <v>0.59745195740289292</v>
      </c>
      <c r="M1408" t="s">
        <v>22</v>
      </c>
      <c r="N1408">
        <v>1</v>
      </c>
      <c r="O1408">
        <v>1</v>
      </c>
      <c r="P1408" t="s">
        <v>43</v>
      </c>
      <c r="Q1408" t="s">
        <v>44</v>
      </c>
      <c r="R1408" t="s">
        <v>26</v>
      </c>
      <c r="S1408" t="s">
        <v>30</v>
      </c>
      <c r="T1408" t="s">
        <v>40</v>
      </c>
      <c r="U1408">
        <f t="shared" si="21"/>
        <v>1</v>
      </c>
    </row>
    <row r="1409" spans="1:21" x14ac:dyDescent="0.2">
      <c r="A1409">
        <v>621</v>
      </c>
      <c r="B1409" t="s">
        <v>41</v>
      </c>
      <c r="C1409" t="s">
        <v>21</v>
      </c>
      <c r="D1409">
        <v>51</v>
      </c>
      <c r="E1409">
        <v>4</v>
      </c>
      <c r="F1409">
        <v>109978.83</v>
      </c>
      <c r="G1409">
        <v>1</v>
      </c>
      <c r="H1409" t="s">
        <v>23</v>
      </c>
      <c r="I1409" t="s">
        <v>23</v>
      </c>
      <c r="J1409">
        <v>177740.58</v>
      </c>
      <c r="K1409" t="s">
        <v>22</v>
      </c>
      <c r="L1409">
        <v>0.59401864488305323</v>
      </c>
      <c r="M1409" t="s">
        <v>22</v>
      </c>
      <c r="N1409">
        <v>1</v>
      </c>
      <c r="O1409">
        <v>1</v>
      </c>
      <c r="P1409" t="s">
        <v>43</v>
      </c>
      <c r="Q1409" t="s">
        <v>44</v>
      </c>
      <c r="R1409" t="s">
        <v>26</v>
      </c>
      <c r="S1409" t="s">
        <v>27</v>
      </c>
      <c r="T1409" t="s">
        <v>31</v>
      </c>
      <c r="U1409">
        <f t="shared" si="21"/>
        <v>1</v>
      </c>
    </row>
    <row r="1410" spans="1:21" x14ac:dyDescent="0.2">
      <c r="A1410">
        <v>650</v>
      </c>
      <c r="B1410" t="s">
        <v>20</v>
      </c>
      <c r="C1410" t="s">
        <v>21</v>
      </c>
      <c r="D1410">
        <v>24</v>
      </c>
      <c r="E1410">
        <v>8</v>
      </c>
      <c r="F1410">
        <v>108881.73</v>
      </c>
      <c r="G1410">
        <v>1</v>
      </c>
      <c r="H1410" t="s">
        <v>22</v>
      </c>
      <c r="I1410" t="s">
        <v>23</v>
      </c>
      <c r="J1410">
        <v>104492.83</v>
      </c>
      <c r="K1410" t="s">
        <v>23</v>
      </c>
      <c r="L1410">
        <v>7.2934211301097437E-2</v>
      </c>
      <c r="M1410" t="s">
        <v>23</v>
      </c>
      <c r="N1410">
        <v>0</v>
      </c>
      <c r="O1410">
        <v>0</v>
      </c>
      <c r="P1410" t="s">
        <v>34</v>
      </c>
      <c r="Q1410" t="s">
        <v>36</v>
      </c>
      <c r="R1410" t="s">
        <v>26</v>
      </c>
      <c r="S1410" t="s">
        <v>27</v>
      </c>
      <c r="T1410" t="s">
        <v>28</v>
      </c>
      <c r="U1410">
        <f t="shared" ref="U1410:U1473" si="22">IF(K1410=M1410,1,0)</f>
        <v>1</v>
      </c>
    </row>
    <row r="1411" spans="1:21" x14ac:dyDescent="0.2">
      <c r="A1411">
        <v>577</v>
      </c>
      <c r="B1411" t="s">
        <v>20</v>
      </c>
      <c r="C1411" t="s">
        <v>21</v>
      </c>
      <c r="D1411">
        <v>41</v>
      </c>
      <c r="E1411">
        <v>4</v>
      </c>
      <c r="F1411">
        <v>89015.61</v>
      </c>
      <c r="G1411">
        <v>1</v>
      </c>
      <c r="H1411" t="s">
        <v>23</v>
      </c>
      <c r="I1411" t="s">
        <v>22</v>
      </c>
      <c r="J1411">
        <v>135227.23000000001</v>
      </c>
      <c r="K1411" t="s">
        <v>23</v>
      </c>
      <c r="L1411">
        <v>9.5622461819964269E-2</v>
      </c>
      <c r="M1411" t="s">
        <v>23</v>
      </c>
      <c r="N1411">
        <v>0</v>
      </c>
      <c r="O1411">
        <v>0</v>
      </c>
      <c r="P1411" t="s">
        <v>34</v>
      </c>
      <c r="Q1411" t="s">
        <v>25</v>
      </c>
      <c r="R1411" t="s">
        <v>38</v>
      </c>
      <c r="S1411" t="s">
        <v>30</v>
      </c>
      <c r="T1411" t="s">
        <v>28</v>
      </c>
      <c r="U1411">
        <f t="shared" si="22"/>
        <v>1</v>
      </c>
    </row>
    <row r="1412" spans="1:21" x14ac:dyDescent="0.2">
      <c r="A1412">
        <v>576</v>
      </c>
      <c r="B1412" t="s">
        <v>20</v>
      </c>
      <c r="C1412" t="s">
        <v>21</v>
      </c>
      <c r="D1412">
        <v>45</v>
      </c>
      <c r="E1412">
        <v>5</v>
      </c>
      <c r="F1412">
        <v>133618.01</v>
      </c>
      <c r="G1412">
        <v>1</v>
      </c>
      <c r="H1412" t="s">
        <v>23</v>
      </c>
      <c r="I1412" t="s">
        <v>23</v>
      </c>
      <c r="J1412">
        <v>135244.87</v>
      </c>
      <c r="K1412" t="s">
        <v>23</v>
      </c>
      <c r="L1412">
        <v>0.31767319654300419</v>
      </c>
      <c r="M1412" t="s">
        <v>23</v>
      </c>
      <c r="N1412">
        <v>0</v>
      </c>
      <c r="O1412">
        <v>0</v>
      </c>
      <c r="P1412" t="s">
        <v>24</v>
      </c>
      <c r="Q1412" t="s">
        <v>25</v>
      </c>
      <c r="R1412" t="s">
        <v>26</v>
      </c>
      <c r="S1412" t="s">
        <v>30</v>
      </c>
      <c r="T1412" t="s">
        <v>28</v>
      </c>
      <c r="U1412">
        <f t="shared" si="22"/>
        <v>1</v>
      </c>
    </row>
    <row r="1413" spans="1:21" x14ac:dyDescent="0.2">
      <c r="A1413">
        <v>711</v>
      </c>
      <c r="B1413" t="s">
        <v>41</v>
      </c>
      <c r="C1413" t="s">
        <v>32</v>
      </c>
      <c r="D1413">
        <v>45</v>
      </c>
      <c r="E1413">
        <v>1</v>
      </c>
      <c r="F1413">
        <v>97486.15</v>
      </c>
      <c r="G1413">
        <v>2</v>
      </c>
      <c r="H1413" t="s">
        <v>22</v>
      </c>
      <c r="I1413" t="s">
        <v>23</v>
      </c>
      <c r="J1413">
        <v>50610.62</v>
      </c>
      <c r="K1413" t="s">
        <v>23</v>
      </c>
      <c r="L1413">
        <v>0.56016763003674641</v>
      </c>
      <c r="M1413" t="s">
        <v>22</v>
      </c>
      <c r="N1413">
        <v>0</v>
      </c>
      <c r="O1413">
        <v>1</v>
      </c>
      <c r="P1413" t="s">
        <v>43</v>
      </c>
      <c r="Q1413" t="s">
        <v>25</v>
      </c>
      <c r="R1413" t="s">
        <v>38</v>
      </c>
      <c r="S1413" t="s">
        <v>37</v>
      </c>
      <c r="T1413" t="s">
        <v>40</v>
      </c>
      <c r="U1413">
        <f t="shared" si="22"/>
        <v>0</v>
      </c>
    </row>
    <row r="1414" spans="1:21" x14ac:dyDescent="0.2">
      <c r="A1414">
        <v>764</v>
      </c>
      <c r="B1414" t="s">
        <v>42</v>
      </c>
      <c r="C1414" t="s">
        <v>32</v>
      </c>
      <c r="D1414">
        <v>39</v>
      </c>
      <c r="E1414">
        <v>1</v>
      </c>
      <c r="F1414">
        <v>129068.54</v>
      </c>
      <c r="G1414">
        <v>2</v>
      </c>
      <c r="H1414" t="s">
        <v>22</v>
      </c>
      <c r="I1414" t="s">
        <v>22</v>
      </c>
      <c r="J1414">
        <v>187905.12</v>
      </c>
      <c r="K1414" t="s">
        <v>23</v>
      </c>
      <c r="L1414">
        <v>0.1236379120266035</v>
      </c>
      <c r="M1414" t="s">
        <v>23</v>
      </c>
      <c r="N1414">
        <v>0</v>
      </c>
      <c r="O1414">
        <v>0</v>
      </c>
      <c r="P1414" t="s">
        <v>34</v>
      </c>
      <c r="Q1414" t="s">
        <v>33</v>
      </c>
      <c r="R1414" t="s">
        <v>26</v>
      </c>
      <c r="S1414" t="s">
        <v>37</v>
      </c>
      <c r="T1414" t="s">
        <v>31</v>
      </c>
      <c r="U1414">
        <f t="shared" si="22"/>
        <v>1</v>
      </c>
    </row>
    <row r="1415" spans="1:21" x14ac:dyDescent="0.2">
      <c r="A1415">
        <v>527</v>
      </c>
      <c r="B1415" t="s">
        <v>20</v>
      </c>
      <c r="C1415" t="s">
        <v>32</v>
      </c>
      <c r="D1415">
        <v>46</v>
      </c>
      <c r="E1415">
        <v>10</v>
      </c>
      <c r="F1415">
        <v>131414.76</v>
      </c>
      <c r="G1415">
        <v>1</v>
      </c>
      <c r="H1415" t="s">
        <v>22</v>
      </c>
      <c r="I1415" t="s">
        <v>23</v>
      </c>
      <c r="J1415">
        <v>54947.51</v>
      </c>
      <c r="K1415" t="s">
        <v>23</v>
      </c>
      <c r="L1415">
        <v>0.42778779319485633</v>
      </c>
      <c r="M1415" t="s">
        <v>23</v>
      </c>
      <c r="N1415">
        <v>0</v>
      </c>
      <c r="O1415">
        <v>0</v>
      </c>
      <c r="P1415" t="s">
        <v>24</v>
      </c>
      <c r="Q1415" t="s">
        <v>25</v>
      </c>
      <c r="R1415" t="s">
        <v>26</v>
      </c>
      <c r="S1415" t="s">
        <v>30</v>
      </c>
      <c r="T1415" t="s">
        <v>40</v>
      </c>
      <c r="U1415">
        <f t="shared" si="22"/>
        <v>1</v>
      </c>
    </row>
    <row r="1416" spans="1:21" x14ac:dyDescent="0.2">
      <c r="A1416">
        <v>722</v>
      </c>
      <c r="B1416" t="s">
        <v>42</v>
      </c>
      <c r="C1416" t="s">
        <v>32</v>
      </c>
      <c r="D1416">
        <v>38</v>
      </c>
      <c r="E1416">
        <v>3</v>
      </c>
      <c r="F1416">
        <v>0</v>
      </c>
      <c r="G1416">
        <v>2</v>
      </c>
      <c r="H1416" t="s">
        <v>23</v>
      </c>
      <c r="I1416" t="s">
        <v>22</v>
      </c>
      <c r="J1416">
        <v>167984.72</v>
      </c>
      <c r="K1416" t="s">
        <v>23</v>
      </c>
      <c r="L1416">
        <v>8.6561366531845249E-2</v>
      </c>
      <c r="M1416" t="s">
        <v>23</v>
      </c>
      <c r="N1416">
        <v>0</v>
      </c>
      <c r="O1416">
        <v>0</v>
      </c>
      <c r="P1416" t="s">
        <v>34</v>
      </c>
      <c r="Q1416" t="s">
        <v>33</v>
      </c>
      <c r="R1416" t="s">
        <v>29</v>
      </c>
      <c r="S1416" t="s">
        <v>37</v>
      </c>
      <c r="T1416" t="s">
        <v>31</v>
      </c>
      <c r="U1416">
        <f t="shared" si="22"/>
        <v>1</v>
      </c>
    </row>
    <row r="1417" spans="1:21" x14ac:dyDescent="0.2">
      <c r="A1417">
        <v>596</v>
      </c>
      <c r="B1417" t="s">
        <v>41</v>
      </c>
      <c r="C1417" t="s">
        <v>21</v>
      </c>
      <c r="D1417">
        <v>34</v>
      </c>
      <c r="E1417">
        <v>4</v>
      </c>
      <c r="F1417">
        <v>99441.21</v>
      </c>
      <c r="G1417">
        <v>2</v>
      </c>
      <c r="H1417" t="s">
        <v>23</v>
      </c>
      <c r="I1417" t="s">
        <v>22</v>
      </c>
      <c r="J1417">
        <v>4802.2700000000004</v>
      </c>
      <c r="K1417" t="s">
        <v>23</v>
      </c>
      <c r="L1417">
        <v>0.1017878944620175</v>
      </c>
      <c r="M1417" t="s">
        <v>23</v>
      </c>
      <c r="N1417">
        <v>0</v>
      </c>
      <c r="O1417">
        <v>0</v>
      </c>
      <c r="P1417" t="s">
        <v>34</v>
      </c>
      <c r="Q1417" t="s">
        <v>33</v>
      </c>
      <c r="R1417" t="s">
        <v>38</v>
      </c>
      <c r="S1417" t="s">
        <v>30</v>
      </c>
      <c r="T1417" t="s">
        <v>35</v>
      </c>
      <c r="U1417">
        <f t="shared" si="22"/>
        <v>1</v>
      </c>
    </row>
    <row r="1418" spans="1:21" x14ac:dyDescent="0.2">
      <c r="A1418">
        <v>612</v>
      </c>
      <c r="B1418" t="s">
        <v>20</v>
      </c>
      <c r="C1418" t="s">
        <v>32</v>
      </c>
      <c r="D1418">
        <v>63</v>
      </c>
      <c r="E1418">
        <v>2</v>
      </c>
      <c r="F1418">
        <v>131629.17000000001</v>
      </c>
      <c r="G1418">
        <v>2</v>
      </c>
      <c r="H1418" t="s">
        <v>22</v>
      </c>
      <c r="I1418" t="s">
        <v>23</v>
      </c>
      <c r="J1418">
        <v>122109.58</v>
      </c>
      <c r="K1418" t="s">
        <v>22</v>
      </c>
      <c r="L1418">
        <v>0.73125022541881712</v>
      </c>
      <c r="M1418" t="s">
        <v>22</v>
      </c>
      <c r="N1418">
        <v>1</v>
      </c>
      <c r="O1418">
        <v>1</v>
      </c>
      <c r="P1418" t="s">
        <v>43</v>
      </c>
      <c r="Q1418" t="s">
        <v>46</v>
      </c>
      <c r="R1418" t="s">
        <v>26</v>
      </c>
      <c r="S1418" t="s">
        <v>27</v>
      </c>
      <c r="T1418" t="s">
        <v>28</v>
      </c>
      <c r="U1418">
        <f t="shared" si="22"/>
        <v>1</v>
      </c>
    </row>
    <row r="1419" spans="1:21" x14ac:dyDescent="0.2">
      <c r="A1419">
        <v>554</v>
      </c>
      <c r="B1419" t="s">
        <v>41</v>
      </c>
      <c r="C1419" t="s">
        <v>32</v>
      </c>
      <c r="D1419">
        <v>55</v>
      </c>
      <c r="E1419">
        <v>0</v>
      </c>
      <c r="F1419">
        <v>108477.27</v>
      </c>
      <c r="G1419">
        <v>1</v>
      </c>
      <c r="H1419" t="s">
        <v>23</v>
      </c>
      <c r="I1419" t="s">
        <v>22</v>
      </c>
      <c r="J1419">
        <v>140003</v>
      </c>
      <c r="K1419" t="s">
        <v>22</v>
      </c>
      <c r="L1419">
        <v>0.55841066278962015</v>
      </c>
      <c r="M1419" t="s">
        <v>22</v>
      </c>
      <c r="N1419">
        <v>1</v>
      </c>
      <c r="O1419">
        <v>1</v>
      </c>
      <c r="P1419" t="s">
        <v>43</v>
      </c>
      <c r="Q1419" t="s">
        <v>44</v>
      </c>
      <c r="R1419" t="s">
        <v>26</v>
      </c>
      <c r="S1419" t="s">
        <v>30</v>
      </c>
      <c r="T1419" t="s">
        <v>28</v>
      </c>
      <c r="U1419">
        <f t="shared" si="22"/>
        <v>1</v>
      </c>
    </row>
    <row r="1420" spans="1:21" x14ac:dyDescent="0.2">
      <c r="A1420">
        <v>683</v>
      </c>
      <c r="B1420" t="s">
        <v>42</v>
      </c>
      <c r="C1420" t="s">
        <v>21</v>
      </c>
      <c r="D1420">
        <v>30</v>
      </c>
      <c r="E1420">
        <v>4</v>
      </c>
      <c r="F1420">
        <v>114779.35</v>
      </c>
      <c r="G1420">
        <v>1</v>
      </c>
      <c r="H1420" t="s">
        <v>23</v>
      </c>
      <c r="I1420" t="s">
        <v>23</v>
      </c>
      <c r="J1420">
        <v>183171.47</v>
      </c>
      <c r="K1420" t="s">
        <v>23</v>
      </c>
      <c r="L1420">
        <v>0.1203510935503372</v>
      </c>
      <c r="M1420" t="s">
        <v>23</v>
      </c>
      <c r="N1420">
        <v>0</v>
      </c>
      <c r="O1420">
        <v>0</v>
      </c>
      <c r="P1420" t="s">
        <v>34</v>
      </c>
      <c r="Q1420" t="s">
        <v>36</v>
      </c>
      <c r="R1420" t="s">
        <v>26</v>
      </c>
      <c r="S1420" t="s">
        <v>27</v>
      </c>
      <c r="T1420" t="s">
        <v>31</v>
      </c>
      <c r="U1420">
        <f t="shared" si="22"/>
        <v>1</v>
      </c>
    </row>
    <row r="1421" spans="1:21" x14ac:dyDescent="0.2">
      <c r="A1421">
        <v>770</v>
      </c>
      <c r="B1421" t="s">
        <v>20</v>
      </c>
      <c r="C1421" t="s">
        <v>21</v>
      </c>
      <c r="D1421">
        <v>30</v>
      </c>
      <c r="E1421">
        <v>8</v>
      </c>
      <c r="F1421">
        <v>0</v>
      </c>
      <c r="G1421">
        <v>2</v>
      </c>
      <c r="H1421" t="s">
        <v>23</v>
      </c>
      <c r="I1421" t="s">
        <v>22</v>
      </c>
      <c r="J1421">
        <v>50839.85</v>
      </c>
      <c r="K1421" t="s">
        <v>23</v>
      </c>
      <c r="L1421">
        <v>2.5207899938841032E-2</v>
      </c>
      <c r="M1421" t="s">
        <v>23</v>
      </c>
      <c r="N1421">
        <v>0</v>
      </c>
      <c r="O1421">
        <v>0</v>
      </c>
      <c r="P1421" t="s">
        <v>34</v>
      </c>
      <c r="Q1421" t="s">
        <v>36</v>
      </c>
      <c r="R1421" t="s">
        <v>29</v>
      </c>
      <c r="S1421" t="s">
        <v>37</v>
      </c>
      <c r="T1421" t="s">
        <v>40</v>
      </c>
      <c r="U1421">
        <f t="shared" si="22"/>
        <v>1</v>
      </c>
    </row>
    <row r="1422" spans="1:21" x14ac:dyDescent="0.2">
      <c r="A1422">
        <v>680</v>
      </c>
      <c r="B1422" t="s">
        <v>42</v>
      </c>
      <c r="C1422" t="s">
        <v>21</v>
      </c>
      <c r="D1422">
        <v>37</v>
      </c>
      <c r="E1422">
        <v>4</v>
      </c>
      <c r="F1422">
        <v>0</v>
      </c>
      <c r="G1422">
        <v>2</v>
      </c>
      <c r="H1422" t="s">
        <v>22</v>
      </c>
      <c r="I1422" t="s">
        <v>23</v>
      </c>
      <c r="J1422">
        <v>61240.87</v>
      </c>
      <c r="K1422" t="s">
        <v>23</v>
      </c>
      <c r="L1422">
        <v>0.1223237628479563</v>
      </c>
      <c r="M1422" t="s">
        <v>23</v>
      </c>
      <c r="N1422">
        <v>0</v>
      </c>
      <c r="O1422">
        <v>0</v>
      </c>
      <c r="P1422" t="s">
        <v>34</v>
      </c>
      <c r="Q1422" t="s">
        <v>33</v>
      </c>
      <c r="R1422" t="s">
        <v>29</v>
      </c>
      <c r="S1422" t="s">
        <v>27</v>
      </c>
      <c r="T1422" t="s">
        <v>40</v>
      </c>
      <c r="U1422">
        <f t="shared" si="22"/>
        <v>1</v>
      </c>
    </row>
    <row r="1423" spans="1:21" x14ac:dyDescent="0.2">
      <c r="A1423">
        <v>574</v>
      </c>
      <c r="B1423" t="s">
        <v>20</v>
      </c>
      <c r="C1423" t="s">
        <v>21</v>
      </c>
      <c r="D1423">
        <v>36</v>
      </c>
      <c r="E1423">
        <v>3</v>
      </c>
      <c r="F1423">
        <v>0</v>
      </c>
      <c r="G1423">
        <v>2</v>
      </c>
      <c r="H1423" t="s">
        <v>22</v>
      </c>
      <c r="I1423" t="s">
        <v>22</v>
      </c>
      <c r="J1423">
        <v>8559.66</v>
      </c>
      <c r="K1423" t="s">
        <v>23</v>
      </c>
      <c r="L1423">
        <v>4.5985977010764179E-2</v>
      </c>
      <c r="M1423" t="s">
        <v>23</v>
      </c>
      <c r="N1423">
        <v>0</v>
      </c>
      <c r="O1423">
        <v>0</v>
      </c>
      <c r="P1423" t="s">
        <v>34</v>
      </c>
      <c r="Q1423" t="s">
        <v>33</v>
      </c>
      <c r="R1423" t="s">
        <v>29</v>
      </c>
      <c r="S1423" t="s">
        <v>30</v>
      </c>
      <c r="T1423" t="s">
        <v>35</v>
      </c>
      <c r="U1423">
        <f t="shared" si="22"/>
        <v>1</v>
      </c>
    </row>
    <row r="1424" spans="1:21" x14ac:dyDescent="0.2">
      <c r="A1424">
        <v>605</v>
      </c>
      <c r="B1424" t="s">
        <v>42</v>
      </c>
      <c r="C1424" t="s">
        <v>21</v>
      </c>
      <c r="D1424">
        <v>33</v>
      </c>
      <c r="E1424">
        <v>9</v>
      </c>
      <c r="F1424">
        <v>128152.82</v>
      </c>
      <c r="G1424">
        <v>1</v>
      </c>
      <c r="H1424" t="s">
        <v>23</v>
      </c>
      <c r="I1424" t="s">
        <v>23</v>
      </c>
      <c r="J1424">
        <v>147822.81</v>
      </c>
      <c r="K1424" t="s">
        <v>23</v>
      </c>
      <c r="L1424">
        <v>0.14219432882619759</v>
      </c>
      <c r="M1424" t="s">
        <v>23</v>
      </c>
      <c r="N1424">
        <v>0</v>
      </c>
      <c r="O1424">
        <v>0</v>
      </c>
      <c r="P1424" t="s">
        <v>34</v>
      </c>
      <c r="Q1424" t="s">
        <v>33</v>
      </c>
      <c r="R1424" t="s">
        <v>26</v>
      </c>
      <c r="S1424" t="s">
        <v>27</v>
      </c>
      <c r="T1424" t="s">
        <v>28</v>
      </c>
      <c r="U1424">
        <f t="shared" si="22"/>
        <v>1</v>
      </c>
    </row>
    <row r="1425" spans="1:21" x14ac:dyDescent="0.2">
      <c r="A1425">
        <v>780</v>
      </c>
      <c r="B1425" t="s">
        <v>41</v>
      </c>
      <c r="C1425" t="s">
        <v>21</v>
      </c>
      <c r="D1425">
        <v>34</v>
      </c>
      <c r="E1425">
        <v>5</v>
      </c>
      <c r="F1425">
        <v>94108.54</v>
      </c>
      <c r="G1425">
        <v>2</v>
      </c>
      <c r="H1425" t="s">
        <v>22</v>
      </c>
      <c r="I1425" t="s">
        <v>23</v>
      </c>
      <c r="J1425">
        <v>177235.21</v>
      </c>
      <c r="K1425" t="s">
        <v>23</v>
      </c>
      <c r="L1425">
        <v>0.2342642494533913</v>
      </c>
      <c r="M1425" t="s">
        <v>23</v>
      </c>
      <c r="N1425">
        <v>0</v>
      </c>
      <c r="O1425">
        <v>0</v>
      </c>
      <c r="P1425" t="s">
        <v>24</v>
      </c>
      <c r="Q1425" t="s">
        <v>33</v>
      </c>
      <c r="R1425" t="s">
        <v>38</v>
      </c>
      <c r="S1425" t="s">
        <v>37</v>
      </c>
      <c r="T1425" t="s">
        <v>31</v>
      </c>
      <c r="U1425">
        <f t="shared" si="22"/>
        <v>1</v>
      </c>
    </row>
    <row r="1426" spans="1:21" x14ac:dyDescent="0.2">
      <c r="A1426">
        <v>678</v>
      </c>
      <c r="B1426" t="s">
        <v>42</v>
      </c>
      <c r="C1426" t="s">
        <v>21</v>
      </c>
      <c r="D1426">
        <v>36</v>
      </c>
      <c r="E1426">
        <v>0</v>
      </c>
      <c r="F1426">
        <v>107379.68</v>
      </c>
      <c r="G1426">
        <v>1</v>
      </c>
      <c r="H1426" t="s">
        <v>22</v>
      </c>
      <c r="I1426" t="s">
        <v>22</v>
      </c>
      <c r="J1426">
        <v>84460.18</v>
      </c>
      <c r="K1426" t="s">
        <v>23</v>
      </c>
      <c r="L1426">
        <v>6.5435026486010142E-2</v>
      </c>
      <c r="M1426" t="s">
        <v>23</v>
      </c>
      <c r="N1426">
        <v>0</v>
      </c>
      <c r="O1426">
        <v>0</v>
      </c>
      <c r="P1426" t="s">
        <v>34</v>
      </c>
      <c r="Q1426" t="s">
        <v>33</v>
      </c>
      <c r="R1426" t="s">
        <v>26</v>
      </c>
      <c r="S1426" t="s">
        <v>27</v>
      </c>
      <c r="T1426" t="s">
        <v>40</v>
      </c>
      <c r="U1426">
        <f t="shared" si="22"/>
        <v>1</v>
      </c>
    </row>
    <row r="1427" spans="1:21" x14ac:dyDescent="0.2">
      <c r="A1427">
        <v>744</v>
      </c>
      <c r="B1427" t="s">
        <v>20</v>
      </c>
      <c r="C1427" t="s">
        <v>32</v>
      </c>
      <c r="D1427">
        <v>30</v>
      </c>
      <c r="E1427">
        <v>1</v>
      </c>
      <c r="F1427">
        <v>124037.28</v>
      </c>
      <c r="G1427">
        <v>1</v>
      </c>
      <c r="H1427" t="s">
        <v>22</v>
      </c>
      <c r="I1427" t="s">
        <v>22</v>
      </c>
      <c r="J1427">
        <v>142210.94</v>
      </c>
      <c r="K1427" t="s">
        <v>23</v>
      </c>
      <c r="L1427">
        <v>7.5363078640009323E-2</v>
      </c>
      <c r="M1427" t="s">
        <v>23</v>
      </c>
      <c r="N1427">
        <v>0</v>
      </c>
      <c r="O1427">
        <v>0</v>
      </c>
      <c r="P1427" t="s">
        <v>34</v>
      </c>
      <c r="Q1427" t="s">
        <v>36</v>
      </c>
      <c r="R1427" t="s">
        <v>26</v>
      </c>
      <c r="S1427" t="s">
        <v>37</v>
      </c>
      <c r="T1427" t="s">
        <v>28</v>
      </c>
      <c r="U1427">
        <f t="shared" si="22"/>
        <v>1</v>
      </c>
    </row>
    <row r="1428" spans="1:21" x14ac:dyDescent="0.2">
      <c r="A1428">
        <v>559</v>
      </c>
      <c r="B1428" t="s">
        <v>41</v>
      </c>
      <c r="C1428" t="s">
        <v>32</v>
      </c>
      <c r="D1428">
        <v>28</v>
      </c>
      <c r="E1428">
        <v>3</v>
      </c>
      <c r="F1428">
        <v>152264.81</v>
      </c>
      <c r="G1428">
        <v>1</v>
      </c>
      <c r="H1428" t="s">
        <v>23</v>
      </c>
      <c r="I1428" t="s">
        <v>23</v>
      </c>
      <c r="J1428">
        <v>64242.31</v>
      </c>
      <c r="K1428" t="s">
        <v>23</v>
      </c>
      <c r="L1428">
        <v>0.33962706037069429</v>
      </c>
      <c r="M1428" t="s">
        <v>23</v>
      </c>
      <c r="N1428">
        <v>0</v>
      </c>
      <c r="O1428">
        <v>0</v>
      </c>
      <c r="P1428" t="s">
        <v>24</v>
      </c>
      <c r="Q1428" t="s">
        <v>36</v>
      </c>
      <c r="R1428" t="s">
        <v>47</v>
      </c>
      <c r="S1428" t="s">
        <v>30</v>
      </c>
      <c r="T1428" t="s">
        <v>40</v>
      </c>
      <c r="U1428">
        <f t="shared" si="22"/>
        <v>1</v>
      </c>
    </row>
    <row r="1429" spans="1:21" x14ac:dyDescent="0.2">
      <c r="A1429">
        <v>794</v>
      </c>
      <c r="B1429" t="s">
        <v>42</v>
      </c>
      <c r="C1429" t="s">
        <v>21</v>
      </c>
      <c r="D1429">
        <v>30</v>
      </c>
      <c r="E1429">
        <v>8</v>
      </c>
      <c r="F1429">
        <v>0</v>
      </c>
      <c r="G1429">
        <v>2</v>
      </c>
      <c r="H1429" t="s">
        <v>22</v>
      </c>
      <c r="I1429" t="s">
        <v>22</v>
      </c>
      <c r="J1429">
        <v>24113.91</v>
      </c>
      <c r="K1429" t="s">
        <v>23</v>
      </c>
      <c r="L1429">
        <v>2.2814666995688081E-2</v>
      </c>
      <c r="M1429" t="s">
        <v>23</v>
      </c>
      <c r="N1429">
        <v>0</v>
      </c>
      <c r="O1429">
        <v>0</v>
      </c>
      <c r="P1429" t="s">
        <v>34</v>
      </c>
      <c r="Q1429" t="s">
        <v>36</v>
      </c>
      <c r="R1429" t="s">
        <v>29</v>
      </c>
      <c r="S1429" t="s">
        <v>37</v>
      </c>
      <c r="T1429" t="s">
        <v>35</v>
      </c>
      <c r="U1429">
        <f t="shared" si="22"/>
        <v>1</v>
      </c>
    </row>
    <row r="1430" spans="1:21" x14ac:dyDescent="0.2">
      <c r="A1430">
        <v>561</v>
      </c>
      <c r="B1430" t="s">
        <v>42</v>
      </c>
      <c r="C1430" t="s">
        <v>32</v>
      </c>
      <c r="D1430">
        <v>35</v>
      </c>
      <c r="E1430">
        <v>5</v>
      </c>
      <c r="F1430">
        <v>0</v>
      </c>
      <c r="G1430">
        <v>2</v>
      </c>
      <c r="H1430" t="s">
        <v>22</v>
      </c>
      <c r="I1430" t="s">
        <v>23</v>
      </c>
      <c r="J1430">
        <v>59981.62</v>
      </c>
      <c r="K1430" t="s">
        <v>23</v>
      </c>
      <c r="L1430">
        <v>0.18105365333175119</v>
      </c>
      <c r="M1430" t="s">
        <v>23</v>
      </c>
      <c r="N1430">
        <v>0</v>
      </c>
      <c r="O1430">
        <v>0</v>
      </c>
      <c r="P1430" t="s">
        <v>34</v>
      </c>
      <c r="Q1430" t="s">
        <v>33</v>
      </c>
      <c r="R1430" t="s">
        <v>29</v>
      </c>
      <c r="S1430" t="s">
        <v>30</v>
      </c>
      <c r="T1430" t="s">
        <v>40</v>
      </c>
      <c r="U1430">
        <f t="shared" si="22"/>
        <v>1</v>
      </c>
    </row>
    <row r="1431" spans="1:21" x14ac:dyDescent="0.2">
      <c r="A1431">
        <v>649</v>
      </c>
      <c r="B1431" t="s">
        <v>20</v>
      </c>
      <c r="C1431" t="s">
        <v>32</v>
      </c>
      <c r="D1431">
        <v>32</v>
      </c>
      <c r="E1431">
        <v>7</v>
      </c>
      <c r="F1431">
        <v>0</v>
      </c>
      <c r="G1431">
        <v>1</v>
      </c>
      <c r="H1431" t="s">
        <v>22</v>
      </c>
      <c r="I1431" t="s">
        <v>23</v>
      </c>
      <c r="J1431">
        <v>28797.32</v>
      </c>
      <c r="K1431" t="s">
        <v>23</v>
      </c>
      <c r="L1431">
        <v>0.15353806101422229</v>
      </c>
      <c r="M1431" t="s">
        <v>23</v>
      </c>
      <c r="N1431">
        <v>0</v>
      </c>
      <c r="O1431">
        <v>0</v>
      </c>
      <c r="P1431" t="s">
        <v>34</v>
      </c>
      <c r="Q1431" t="s">
        <v>33</v>
      </c>
      <c r="R1431" t="s">
        <v>29</v>
      </c>
      <c r="S1431" t="s">
        <v>27</v>
      </c>
      <c r="T1431" t="s">
        <v>35</v>
      </c>
      <c r="U1431">
        <f t="shared" si="22"/>
        <v>1</v>
      </c>
    </row>
    <row r="1432" spans="1:21" x14ac:dyDescent="0.2">
      <c r="A1432">
        <v>524</v>
      </c>
      <c r="B1432" t="s">
        <v>42</v>
      </c>
      <c r="C1432" t="s">
        <v>21</v>
      </c>
      <c r="D1432">
        <v>28</v>
      </c>
      <c r="E1432">
        <v>1</v>
      </c>
      <c r="F1432">
        <v>93577.3</v>
      </c>
      <c r="G1432">
        <v>1</v>
      </c>
      <c r="H1432" t="s">
        <v>22</v>
      </c>
      <c r="I1432" t="s">
        <v>22</v>
      </c>
      <c r="J1432">
        <v>51670.82</v>
      </c>
      <c r="K1432" t="s">
        <v>23</v>
      </c>
      <c r="L1432">
        <v>3.8484478559597309E-2</v>
      </c>
      <c r="M1432" t="s">
        <v>23</v>
      </c>
      <c r="N1432">
        <v>0</v>
      </c>
      <c r="O1432">
        <v>0</v>
      </c>
      <c r="P1432" t="s">
        <v>34</v>
      </c>
      <c r="Q1432" t="s">
        <v>36</v>
      </c>
      <c r="R1432" t="s">
        <v>38</v>
      </c>
      <c r="S1432" t="s">
        <v>30</v>
      </c>
      <c r="T1432" t="s">
        <v>40</v>
      </c>
      <c r="U1432">
        <f t="shared" si="22"/>
        <v>1</v>
      </c>
    </row>
    <row r="1433" spans="1:21" x14ac:dyDescent="0.2">
      <c r="A1433">
        <v>520</v>
      </c>
      <c r="B1433" t="s">
        <v>20</v>
      </c>
      <c r="C1433" t="s">
        <v>32</v>
      </c>
      <c r="D1433">
        <v>30</v>
      </c>
      <c r="E1433">
        <v>4</v>
      </c>
      <c r="F1433">
        <v>145222.99</v>
      </c>
      <c r="G1433">
        <v>2</v>
      </c>
      <c r="H1433" t="s">
        <v>23</v>
      </c>
      <c r="I1433" t="s">
        <v>23</v>
      </c>
      <c r="J1433">
        <v>145160.95999999999</v>
      </c>
      <c r="K1433" t="s">
        <v>23</v>
      </c>
      <c r="L1433">
        <v>0.2081130726472305</v>
      </c>
      <c r="M1433" t="s">
        <v>23</v>
      </c>
      <c r="N1433">
        <v>0</v>
      </c>
      <c r="O1433">
        <v>0</v>
      </c>
      <c r="P1433" t="s">
        <v>24</v>
      </c>
      <c r="Q1433" t="s">
        <v>36</v>
      </c>
      <c r="R1433" t="s">
        <v>26</v>
      </c>
      <c r="S1433" t="s">
        <v>30</v>
      </c>
      <c r="T1433" t="s">
        <v>28</v>
      </c>
      <c r="U1433">
        <f t="shared" si="22"/>
        <v>1</v>
      </c>
    </row>
    <row r="1434" spans="1:21" x14ac:dyDescent="0.2">
      <c r="A1434">
        <v>711</v>
      </c>
      <c r="B1434" t="s">
        <v>42</v>
      </c>
      <c r="C1434" t="s">
        <v>32</v>
      </c>
      <c r="D1434">
        <v>25</v>
      </c>
      <c r="E1434">
        <v>5</v>
      </c>
      <c r="F1434">
        <v>190066.54</v>
      </c>
      <c r="G1434">
        <v>1</v>
      </c>
      <c r="H1434" t="s">
        <v>23</v>
      </c>
      <c r="I1434" t="s">
        <v>23</v>
      </c>
      <c r="J1434">
        <v>51345.39</v>
      </c>
      <c r="K1434" t="s">
        <v>22</v>
      </c>
      <c r="L1434">
        <v>0.15066435375494419</v>
      </c>
      <c r="M1434" t="s">
        <v>23</v>
      </c>
      <c r="N1434">
        <v>1</v>
      </c>
      <c r="O1434">
        <v>0</v>
      </c>
      <c r="P1434" t="s">
        <v>34</v>
      </c>
      <c r="Q1434" t="s">
        <v>36</v>
      </c>
      <c r="R1434" t="s">
        <v>47</v>
      </c>
      <c r="S1434" t="s">
        <v>37</v>
      </c>
      <c r="T1434" t="s">
        <v>40</v>
      </c>
      <c r="U1434">
        <f t="shared" si="22"/>
        <v>0</v>
      </c>
    </row>
    <row r="1435" spans="1:21" x14ac:dyDescent="0.2">
      <c r="A1435">
        <v>718</v>
      </c>
      <c r="B1435" t="s">
        <v>20</v>
      </c>
      <c r="C1435" t="s">
        <v>21</v>
      </c>
      <c r="D1435">
        <v>40</v>
      </c>
      <c r="E1435">
        <v>9</v>
      </c>
      <c r="F1435">
        <v>0</v>
      </c>
      <c r="G1435">
        <v>2</v>
      </c>
      <c r="H1435" t="s">
        <v>23</v>
      </c>
      <c r="I1435" t="s">
        <v>23</v>
      </c>
      <c r="J1435">
        <v>121537.91</v>
      </c>
      <c r="K1435" t="s">
        <v>23</v>
      </c>
      <c r="L1435">
        <v>0.14560428366211239</v>
      </c>
      <c r="M1435" t="s">
        <v>23</v>
      </c>
      <c r="N1435">
        <v>0</v>
      </c>
      <c r="O1435">
        <v>0</v>
      </c>
      <c r="P1435" t="s">
        <v>34</v>
      </c>
      <c r="Q1435" t="s">
        <v>33</v>
      </c>
      <c r="R1435" t="s">
        <v>29</v>
      </c>
      <c r="S1435" t="s">
        <v>37</v>
      </c>
      <c r="T1435" t="s">
        <v>28</v>
      </c>
      <c r="U1435">
        <f t="shared" si="22"/>
        <v>1</v>
      </c>
    </row>
    <row r="1436" spans="1:21" x14ac:dyDescent="0.2">
      <c r="A1436">
        <v>744</v>
      </c>
      <c r="B1436" t="s">
        <v>20</v>
      </c>
      <c r="C1436" t="s">
        <v>21</v>
      </c>
      <c r="D1436">
        <v>39</v>
      </c>
      <c r="E1436">
        <v>4</v>
      </c>
      <c r="F1436">
        <v>95161.75</v>
      </c>
      <c r="G1436">
        <v>1</v>
      </c>
      <c r="H1436" t="s">
        <v>22</v>
      </c>
      <c r="I1436" t="s">
        <v>23</v>
      </c>
      <c r="J1436">
        <v>19409.77</v>
      </c>
      <c r="K1436" t="s">
        <v>23</v>
      </c>
      <c r="L1436">
        <v>0.18217829533135099</v>
      </c>
      <c r="M1436" t="s">
        <v>23</v>
      </c>
      <c r="N1436">
        <v>0</v>
      </c>
      <c r="O1436">
        <v>0</v>
      </c>
      <c r="P1436" t="s">
        <v>34</v>
      </c>
      <c r="Q1436" t="s">
        <v>33</v>
      </c>
      <c r="R1436" t="s">
        <v>38</v>
      </c>
      <c r="S1436" t="s">
        <v>37</v>
      </c>
      <c r="T1436" t="s">
        <v>35</v>
      </c>
      <c r="U1436">
        <f t="shared" si="22"/>
        <v>1</v>
      </c>
    </row>
    <row r="1437" spans="1:21" x14ac:dyDescent="0.2">
      <c r="A1437">
        <v>751</v>
      </c>
      <c r="B1437" t="s">
        <v>20</v>
      </c>
      <c r="C1437" t="s">
        <v>32</v>
      </c>
      <c r="D1437">
        <v>34</v>
      </c>
      <c r="E1437">
        <v>8</v>
      </c>
      <c r="F1437">
        <v>127095.14</v>
      </c>
      <c r="G1437">
        <v>2</v>
      </c>
      <c r="H1437" t="s">
        <v>23</v>
      </c>
      <c r="I1437" t="s">
        <v>23</v>
      </c>
      <c r="J1437">
        <v>479.54</v>
      </c>
      <c r="K1437" t="s">
        <v>23</v>
      </c>
      <c r="L1437">
        <v>0.19664890126571191</v>
      </c>
      <c r="M1437" t="s">
        <v>23</v>
      </c>
      <c r="N1437">
        <v>0</v>
      </c>
      <c r="O1437">
        <v>0</v>
      </c>
      <c r="P1437" t="s">
        <v>34</v>
      </c>
      <c r="Q1437" t="s">
        <v>33</v>
      </c>
      <c r="R1437" t="s">
        <v>26</v>
      </c>
      <c r="S1437" t="s">
        <v>37</v>
      </c>
      <c r="T1437" t="s">
        <v>35</v>
      </c>
      <c r="U1437">
        <f t="shared" si="22"/>
        <v>1</v>
      </c>
    </row>
    <row r="1438" spans="1:21" x14ac:dyDescent="0.2">
      <c r="A1438">
        <v>679</v>
      </c>
      <c r="B1438" t="s">
        <v>41</v>
      </c>
      <c r="C1438" t="s">
        <v>32</v>
      </c>
      <c r="D1438">
        <v>30</v>
      </c>
      <c r="E1438">
        <v>4</v>
      </c>
      <c r="F1438">
        <v>77949.69</v>
      </c>
      <c r="G1438">
        <v>1</v>
      </c>
      <c r="H1438" t="s">
        <v>22</v>
      </c>
      <c r="I1438" t="s">
        <v>22</v>
      </c>
      <c r="J1438">
        <v>121151.46</v>
      </c>
      <c r="K1438" t="s">
        <v>23</v>
      </c>
      <c r="L1438">
        <v>0.12980459735540231</v>
      </c>
      <c r="M1438" t="s">
        <v>23</v>
      </c>
      <c r="N1438">
        <v>0</v>
      </c>
      <c r="O1438">
        <v>0</v>
      </c>
      <c r="P1438" t="s">
        <v>34</v>
      </c>
      <c r="Q1438" t="s">
        <v>36</v>
      </c>
      <c r="R1438" t="s">
        <v>38</v>
      </c>
      <c r="S1438" t="s">
        <v>27</v>
      </c>
      <c r="T1438" t="s">
        <v>28</v>
      </c>
      <c r="U1438">
        <f t="shared" si="22"/>
        <v>1</v>
      </c>
    </row>
    <row r="1439" spans="1:21" x14ac:dyDescent="0.2">
      <c r="A1439">
        <v>600</v>
      </c>
      <c r="B1439" t="s">
        <v>42</v>
      </c>
      <c r="C1439" t="s">
        <v>32</v>
      </c>
      <c r="D1439">
        <v>32</v>
      </c>
      <c r="E1439">
        <v>7</v>
      </c>
      <c r="F1439">
        <v>98877.95</v>
      </c>
      <c r="G1439">
        <v>1</v>
      </c>
      <c r="H1439" t="s">
        <v>22</v>
      </c>
      <c r="I1439" t="s">
        <v>23</v>
      </c>
      <c r="J1439">
        <v>132973.21</v>
      </c>
      <c r="K1439" t="s">
        <v>23</v>
      </c>
      <c r="L1439">
        <v>0.19828273556647821</v>
      </c>
      <c r="M1439" t="s">
        <v>23</v>
      </c>
      <c r="N1439">
        <v>0</v>
      </c>
      <c r="O1439">
        <v>0</v>
      </c>
      <c r="P1439" t="s">
        <v>34</v>
      </c>
      <c r="Q1439" t="s">
        <v>33</v>
      </c>
      <c r="R1439" t="s">
        <v>38</v>
      </c>
      <c r="S1439" t="s">
        <v>30</v>
      </c>
      <c r="T1439" t="s">
        <v>28</v>
      </c>
      <c r="U1439">
        <f t="shared" si="22"/>
        <v>1</v>
      </c>
    </row>
    <row r="1440" spans="1:21" x14ac:dyDescent="0.2">
      <c r="A1440">
        <v>664</v>
      </c>
      <c r="B1440" t="s">
        <v>20</v>
      </c>
      <c r="C1440" t="s">
        <v>21</v>
      </c>
      <c r="D1440">
        <v>44</v>
      </c>
      <c r="E1440">
        <v>7</v>
      </c>
      <c r="F1440">
        <v>77526.66</v>
      </c>
      <c r="G1440">
        <v>3</v>
      </c>
      <c r="H1440" t="s">
        <v>23</v>
      </c>
      <c r="I1440" t="s">
        <v>23</v>
      </c>
      <c r="J1440">
        <v>57338.559999999998</v>
      </c>
      <c r="K1440" t="s">
        <v>22</v>
      </c>
      <c r="L1440">
        <v>0.2083063929588711</v>
      </c>
      <c r="M1440" t="s">
        <v>23</v>
      </c>
      <c r="N1440">
        <v>1</v>
      </c>
      <c r="O1440">
        <v>0</v>
      </c>
      <c r="P1440" t="s">
        <v>24</v>
      </c>
      <c r="Q1440" t="s">
        <v>25</v>
      </c>
      <c r="R1440" t="s">
        <v>38</v>
      </c>
      <c r="S1440" t="s">
        <v>27</v>
      </c>
      <c r="T1440" t="s">
        <v>40</v>
      </c>
      <c r="U1440">
        <f t="shared" si="22"/>
        <v>0</v>
      </c>
    </row>
    <row r="1441" spans="1:21" x14ac:dyDescent="0.2">
      <c r="A1441">
        <v>773</v>
      </c>
      <c r="B1441" t="s">
        <v>42</v>
      </c>
      <c r="C1441" t="s">
        <v>32</v>
      </c>
      <c r="D1441">
        <v>41</v>
      </c>
      <c r="E1441">
        <v>7</v>
      </c>
      <c r="F1441">
        <v>190238.93</v>
      </c>
      <c r="G1441">
        <v>1</v>
      </c>
      <c r="H1441" t="s">
        <v>22</v>
      </c>
      <c r="I1441" t="s">
        <v>22</v>
      </c>
      <c r="J1441">
        <v>57549.65</v>
      </c>
      <c r="K1441" t="s">
        <v>23</v>
      </c>
      <c r="L1441">
        <v>0.1485306678551761</v>
      </c>
      <c r="M1441" t="s">
        <v>23</v>
      </c>
      <c r="N1441">
        <v>0</v>
      </c>
      <c r="O1441">
        <v>0</v>
      </c>
      <c r="P1441" t="s">
        <v>34</v>
      </c>
      <c r="Q1441" t="s">
        <v>25</v>
      </c>
      <c r="R1441" t="s">
        <v>47</v>
      </c>
      <c r="S1441" t="s">
        <v>37</v>
      </c>
      <c r="T1441" t="s">
        <v>40</v>
      </c>
      <c r="U1441">
        <f t="shared" si="22"/>
        <v>1</v>
      </c>
    </row>
    <row r="1442" spans="1:21" x14ac:dyDescent="0.2">
      <c r="A1442">
        <v>434</v>
      </c>
      <c r="B1442" t="s">
        <v>20</v>
      </c>
      <c r="C1442" t="s">
        <v>21</v>
      </c>
      <c r="D1442">
        <v>33</v>
      </c>
      <c r="E1442">
        <v>3</v>
      </c>
      <c r="F1442">
        <v>0</v>
      </c>
      <c r="G1442">
        <v>1</v>
      </c>
      <c r="H1442" t="s">
        <v>22</v>
      </c>
      <c r="I1442" t="s">
        <v>22</v>
      </c>
      <c r="J1442">
        <v>2739.71</v>
      </c>
      <c r="K1442" t="s">
        <v>23</v>
      </c>
      <c r="L1442">
        <v>4.4914477336218762E-2</v>
      </c>
      <c r="M1442" t="s">
        <v>23</v>
      </c>
      <c r="N1442">
        <v>0</v>
      </c>
      <c r="O1442">
        <v>0</v>
      </c>
      <c r="P1442" t="s">
        <v>34</v>
      </c>
      <c r="Q1442" t="s">
        <v>33</v>
      </c>
      <c r="R1442" t="s">
        <v>29</v>
      </c>
      <c r="S1442" t="s">
        <v>45</v>
      </c>
      <c r="T1442" t="s">
        <v>35</v>
      </c>
      <c r="U1442">
        <f t="shared" si="22"/>
        <v>1</v>
      </c>
    </row>
    <row r="1443" spans="1:21" x14ac:dyDescent="0.2">
      <c r="A1443">
        <v>762</v>
      </c>
      <c r="B1443" t="s">
        <v>20</v>
      </c>
      <c r="C1443" t="s">
        <v>32</v>
      </c>
      <c r="D1443">
        <v>60</v>
      </c>
      <c r="E1443">
        <v>10</v>
      </c>
      <c r="F1443">
        <v>168920.75</v>
      </c>
      <c r="G1443">
        <v>1</v>
      </c>
      <c r="H1443" t="s">
        <v>22</v>
      </c>
      <c r="I1443" t="s">
        <v>23</v>
      </c>
      <c r="J1443">
        <v>31445.03</v>
      </c>
      <c r="K1443" t="s">
        <v>22</v>
      </c>
      <c r="L1443">
        <v>0.66069281105592648</v>
      </c>
      <c r="M1443" t="s">
        <v>22</v>
      </c>
      <c r="N1443">
        <v>1</v>
      </c>
      <c r="O1443">
        <v>1</v>
      </c>
      <c r="P1443" t="s">
        <v>43</v>
      </c>
      <c r="Q1443" t="s">
        <v>44</v>
      </c>
      <c r="R1443" t="s">
        <v>47</v>
      </c>
      <c r="S1443" t="s">
        <v>37</v>
      </c>
      <c r="T1443" t="s">
        <v>35</v>
      </c>
      <c r="U1443">
        <f t="shared" si="22"/>
        <v>1</v>
      </c>
    </row>
    <row r="1444" spans="1:21" x14ac:dyDescent="0.2">
      <c r="A1444">
        <v>653</v>
      </c>
      <c r="B1444" t="s">
        <v>42</v>
      </c>
      <c r="C1444" t="s">
        <v>32</v>
      </c>
      <c r="D1444">
        <v>74</v>
      </c>
      <c r="E1444">
        <v>0</v>
      </c>
      <c r="F1444">
        <v>121276.32</v>
      </c>
      <c r="G1444">
        <v>1</v>
      </c>
      <c r="H1444" t="s">
        <v>22</v>
      </c>
      <c r="I1444" t="s">
        <v>22</v>
      </c>
      <c r="J1444">
        <v>160348.31</v>
      </c>
      <c r="K1444" t="s">
        <v>23</v>
      </c>
      <c r="L1444">
        <v>0.68911204900094702</v>
      </c>
      <c r="M1444" t="s">
        <v>22</v>
      </c>
      <c r="N1444">
        <v>0</v>
      </c>
      <c r="O1444">
        <v>1</v>
      </c>
      <c r="P1444" t="s">
        <v>43</v>
      </c>
      <c r="Q1444" t="s">
        <v>46</v>
      </c>
      <c r="R1444" t="s">
        <v>26</v>
      </c>
      <c r="S1444" t="s">
        <v>27</v>
      </c>
      <c r="T1444" t="s">
        <v>31</v>
      </c>
      <c r="U1444">
        <f t="shared" si="22"/>
        <v>0</v>
      </c>
    </row>
    <row r="1445" spans="1:21" x14ac:dyDescent="0.2">
      <c r="A1445">
        <v>653</v>
      </c>
      <c r="B1445" t="s">
        <v>41</v>
      </c>
      <c r="C1445" t="s">
        <v>21</v>
      </c>
      <c r="D1445">
        <v>31</v>
      </c>
      <c r="E1445">
        <v>2</v>
      </c>
      <c r="F1445">
        <v>154741.45000000001</v>
      </c>
      <c r="G1445">
        <v>2</v>
      </c>
      <c r="H1445" t="s">
        <v>23</v>
      </c>
      <c r="I1445" t="s">
        <v>23</v>
      </c>
      <c r="J1445">
        <v>25183.01</v>
      </c>
      <c r="K1445" t="s">
        <v>23</v>
      </c>
      <c r="L1445">
        <v>0.23961600757469589</v>
      </c>
      <c r="M1445" t="s">
        <v>23</v>
      </c>
      <c r="N1445">
        <v>0</v>
      </c>
      <c r="O1445">
        <v>0</v>
      </c>
      <c r="P1445" t="s">
        <v>24</v>
      </c>
      <c r="Q1445" t="s">
        <v>33</v>
      </c>
      <c r="R1445" t="s">
        <v>47</v>
      </c>
      <c r="S1445" t="s">
        <v>27</v>
      </c>
      <c r="T1445" t="s">
        <v>35</v>
      </c>
      <c r="U1445">
        <f t="shared" si="22"/>
        <v>1</v>
      </c>
    </row>
    <row r="1446" spans="1:21" x14ac:dyDescent="0.2">
      <c r="A1446">
        <v>653</v>
      </c>
      <c r="B1446" t="s">
        <v>42</v>
      </c>
      <c r="C1446" t="s">
        <v>21</v>
      </c>
      <c r="D1446">
        <v>43</v>
      </c>
      <c r="E1446">
        <v>0</v>
      </c>
      <c r="F1446">
        <v>0</v>
      </c>
      <c r="G1446">
        <v>2</v>
      </c>
      <c r="H1446" t="s">
        <v>22</v>
      </c>
      <c r="I1446" t="s">
        <v>23</v>
      </c>
      <c r="J1446">
        <v>27862.58</v>
      </c>
      <c r="K1446" t="s">
        <v>23</v>
      </c>
      <c r="L1446">
        <v>0.1903899805205661</v>
      </c>
      <c r="M1446" t="s">
        <v>23</v>
      </c>
      <c r="N1446">
        <v>0</v>
      </c>
      <c r="O1446">
        <v>0</v>
      </c>
      <c r="P1446" t="s">
        <v>34</v>
      </c>
      <c r="Q1446" t="s">
        <v>25</v>
      </c>
      <c r="R1446" t="s">
        <v>29</v>
      </c>
      <c r="S1446" t="s">
        <v>27</v>
      </c>
      <c r="T1446" t="s">
        <v>35</v>
      </c>
      <c r="U1446">
        <f t="shared" si="22"/>
        <v>1</v>
      </c>
    </row>
    <row r="1447" spans="1:21" x14ac:dyDescent="0.2">
      <c r="A1447">
        <v>679</v>
      </c>
      <c r="B1447" t="s">
        <v>41</v>
      </c>
      <c r="C1447" t="s">
        <v>21</v>
      </c>
      <c r="D1447">
        <v>58</v>
      </c>
      <c r="E1447">
        <v>8</v>
      </c>
      <c r="F1447">
        <v>125850.53</v>
      </c>
      <c r="G1447">
        <v>2</v>
      </c>
      <c r="H1447" t="s">
        <v>22</v>
      </c>
      <c r="I1447" t="s">
        <v>22</v>
      </c>
      <c r="J1447">
        <v>87008.17</v>
      </c>
      <c r="K1447" t="s">
        <v>23</v>
      </c>
      <c r="L1447">
        <v>0.38791894660144649</v>
      </c>
      <c r="M1447" t="s">
        <v>23</v>
      </c>
      <c r="N1447">
        <v>0</v>
      </c>
      <c r="O1447">
        <v>0</v>
      </c>
      <c r="P1447" t="s">
        <v>24</v>
      </c>
      <c r="Q1447" t="s">
        <v>44</v>
      </c>
      <c r="R1447" t="s">
        <v>26</v>
      </c>
      <c r="S1447" t="s">
        <v>27</v>
      </c>
      <c r="T1447" t="s">
        <v>40</v>
      </c>
      <c r="U1447">
        <f t="shared" si="22"/>
        <v>1</v>
      </c>
    </row>
    <row r="1448" spans="1:21" x14ac:dyDescent="0.2">
      <c r="A1448">
        <v>837</v>
      </c>
      <c r="B1448" t="s">
        <v>42</v>
      </c>
      <c r="C1448" t="s">
        <v>32</v>
      </c>
      <c r="D1448">
        <v>38</v>
      </c>
      <c r="E1448">
        <v>2</v>
      </c>
      <c r="F1448">
        <v>0</v>
      </c>
      <c r="G1448">
        <v>2</v>
      </c>
      <c r="H1448" t="s">
        <v>22</v>
      </c>
      <c r="I1448" t="s">
        <v>22</v>
      </c>
      <c r="J1448">
        <v>46395.21</v>
      </c>
      <c r="K1448" t="s">
        <v>23</v>
      </c>
      <c r="L1448">
        <v>7.4714207301837296E-2</v>
      </c>
      <c r="M1448" t="s">
        <v>23</v>
      </c>
      <c r="N1448">
        <v>0</v>
      </c>
      <c r="O1448">
        <v>0</v>
      </c>
      <c r="P1448" t="s">
        <v>34</v>
      </c>
      <c r="Q1448" t="s">
        <v>33</v>
      </c>
      <c r="R1448" t="s">
        <v>29</v>
      </c>
      <c r="S1448" t="s">
        <v>39</v>
      </c>
      <c r="T1448" t="s">
        <v>35</v>
      </c>
      <c r="U1448">
        <f t="shared" si="22"/>
        <v>1</v>
      </c>
    </row>
    <row r="1449" spans="1:21" x14ac:dyDescent="0.2">
      <c r="A1449">
        <v>850</v>
      </c>
      <c r="B1449" t="s">
        <v>41</v>
      </c>
      <c r="C1449" t="s">
        <v>32</v>
      </c>
      <c r="D1449">
        <v>31</v>
      </c>
      <c r="E1449">
        <v>1</v>
      </c>
      <c r="F1449">
        <v>130089.56</v>
      </c>
      <c r="G1449">
        <v>2</v>
      </c>
      <c r="H1449" t="s">
        <v>22</v>
      </c>
      <c r="I1449" t="s">
        <v>22</v>
      </c>
      <c r="J1449">
        <v>4466.21</v>
      </c>
      <c r="K1449" t="s">
        <v>23</v>
      </c>
      <c r="L1449">
        <v>0.1276969715018319</v>
      </c>
      <c r="M1449" t="s">
        <v>23</v>
      </c>
      <c r="N1449">
        <v>0</v>
      </c>
      <c r="O1449">
        <v>0</v>
      </c>
      <c r="P1449" t="s">
        <v>34</v>
      </c>
      <c r="Q1449" t="s">
        <v>33</v>
      </c>
      <c r="R1449" t="s">
        <v>26</v>
      </c>
      <c r="S1449" t="s">
        <v>39</v>
      </c>
      <c r="T1449" t="s">
        <v>35</v>
      </c>
      <c r="U1449">
        <f t="shared" si="22"/>
        <v>1</v>
      </c>
    </row>
    <row r="1450" spans="1:21" x14ac:dyDescent="0.2">
      <c r="A1450">
        <v>788</v>
      </c>
      <c r="B1450" t="s">
        <v>41</v>
      </c>
      <c r="C1450" t="s">
        <v>32</v>
      </c>
      <c r="D1450">
        <v>42</v>
      </c>
      <c r="E1450">
        <v>6</v>
      </c>
      <c r="F1450">
        <v>138650.49</v>
      </c>
      <c r="G1450">
        <v>2</v>
      </c>
      <c r="H1450" t="s">
        <v>22</v>
      </c>
      <c r="I1450" t="s">
        <v>23</v>
      </c>
      <c r="J1450">
        <v>64746.07</v>
      </c>
      <c r="K1450" t="s">
        <v>23</v>
      </c>
      <c r="L1450">
        <v>0.4955533384469985</v>
      </c>
      <c r="M1450" t="s">
        <v>23</v>
      </c>
      <c r="N1450">
        <v>0</v>
      </c>
      <c r="O1450">
        <v>0</v>
      </c>
      <c r="P1450" t="s">
        <v>24</v>
      </c>
      <c r="Q1450" t="s">
        <v>25</v>
      </c>
      <c r="R1450" t="s">
        <v>26</v>
      </c>
      <c r="S1450" t="s">
        <v>37</v>
      </c>
      <c r="T1450" t="s">
        <v>40</v>
      </c>
      <c r="U1450">
        <f t="shared" si="22"/>
        <v>1</v>
      </c>
    </row>
    <row r="1451" spans="1:21" x14ac:dyDescent="0.2">
      <c r="A1451">
        <v>499</v>
      </c>
      <c r="B1451" t="s">
        <v>20</v>
      </c>
      <c r="C1451" t="s">
        <v>32</v>
      </c>
      <c r="D1451">
        <v>42</v>
      </c>
      <c r="E1451">
        <v>0</v>
      </c>
      <c r="F1451">
        <v>147187.84</v>
      </c>
      <c r="G1451">
        <v>1</v>
      </c>
      <c r="H1451" t="s">
        <v>22</v>
      </c>
      <c r="I1451" t="s">
        <v>22</v>
      </c>
      <c r="J1451">
        <v>14868.94</v>
      </c>
      <c r="K1451" t="s">
        <v>22</v>
      </c>
      <c r="L1451">
        <v>0.19139028555984711</v>
      </c>
      <c r="M1451" t="s">
        <v>23</v>
      </c>
      <c r="N1451">
        <v>1</v>
      </c>
      <c r="O1451">
        <v>0</v>
      </c>
      <c r="P1451" t="s">
        <v>34</v>
      </c>
      <c r="Q1451" t="s">
        <v>25</v>
      </c>
      <c r="R1451" t="s">
        <v>26</v>
      </c>
      <c r="S1451" t="s">
        <v>45</v>
      </c>
      <c r="T1451" t="s">
        <v>35</v>
      </c>
      <c r="U1451">
        <f t="shared" si="22"/>
        <v>0</v>
      </c>
    </row>
    <row r="1452" spans="1:21" x14ac:dyDescent="0.2">
      <c r="A1452">
        <v>850</v>
      </c>
      <c r="B1452" t="s">
        <v>20</v>
      </c>
      <c r="C1452" t="s">
        <v>21</v>
      </c>
      <c r="D1452">
        <v>54</v>
      </c>
      <c r="E1452">
        <v>7</v>
      </c>
      <c r="F1452">
        <v>108185.81</v>
      </c>
      <c r="G1452">
        <v>2</v>
      </c>
      <c r="H1452" t="s">
        <v>23</v>
      </c>
      <c r="I1452" t="s">
        <v>23</v>
      </c>
      <c r="J1452">
        <v>24093.4</v>
      </c>
      <c r="K1452" t="s">
        <v>22</v>
      </c>
      <c r="L1452">
        <v>0.36365563475022</v>
      </c>
      <c r="M1452" t="s">
        <v>23</v>
      </c>
      <c r="N1452">
        <v>1</v>
      </c>
      <c r="O1452">
        <v>0</v>
      </c>
      <c r="P1452" t="s">
        <v>24</v>
      </c>
      <c r="Q1452" t="s">
        <v>44</v>
      </c>
      <c r="R1452" t="s">
        <v>26</v>
      </c>
      <c r="S1452" t="s">
        <v>39</v>
      </c>
      <c r="T1452" t="s">
        <v>35</v>
      </c>
      <c r="U1452">
        <f t="shared" si="22"/>
        <v>0</v>
      </c>
    </row>
    <row r="1453" spans="1:21" x14ac:dyDescent="0.2">
      <c r="A1453">
        <v>643</v>
      </c>
      <c r="B1453" t="s">
        <v>42</v>
      </c>
      <c r="C1453" t="s">
        <v>21</v>
      </c>
      <c r="D1453">
        <v>34</v>
      </c>
      <c r="E1453">
        <v>7</v>
      </c>
      <c r="F1453">
        <v>0</v>
      </c>
      <c r="G1453">
        <v>2</v>
      </c>
      <c r="H1453" t="s">
        <v>23</v>
      </c>
      <c r="I1453" t="s">
        <v>22</v>
      </c>
      <c r="J1453">
        <v>100304.13</v>
      </c>
      <c r="K1453" t="s">
        <v>23</v>
      </c>
      <c r="L1453">
        <v>3.6893418844990547E-2</v>
      </c>
      <c r="M1453" t="s">
        <v>23</v>
      </c>
      <c r="N1453">
        <v>0</v>
      </c>
      <c r="O1453">
        <v>0</v>
      </c>
      <c r="P1453" t="s">
        <v>34</v>
      </c>
      <c r="Q1453" t="s">
        <v>33</v>
      </c>
      <c r="R1453" t="s">
        <v>29</v>
      </c>
      <c r="S1453" t="s">
        <v>27</v>
      </c>
      <c r="T1453" t="s">
        <v>28</v>
      </c>
      <c r="U1453">
        <f t="shared" si="22"/>
        <v>1</v>
      </c>
    </row>
    <row r="1454" spans="1:21" x14ac:dyDescent="0.2">
      <c r="A1454">
        <v>448</v>
      </c>
      <c r="B1454" t="s">
        <v>20</v>
      </c>
      <c r="C1454" t="s">
        <v>21</v>
      </c>
      <c r="D1454">
        <v>25</v>
      </c>
      <c r="E1454">
        <v>2</v>
      </c>
      <c r="F1454">
        <v>0</v>
      </c>
      <c r="G1454">
        <v>2</v>
      </c>
      <c r="H1454" t="s">
        <v>23</v>
      </c>
      <c r="I1454" t="s">
        <v>23</v>
      </c>
      <c r="J1454">
        <v>95215.73</v>
      </c>
      <c r="K1454" t="s">
        <v>23</v>
      </c>
      <c r="L1454">
        <v>7.1181314557576383E-2</v>
      </c>
      <c r="M1454" t="s">
        <v>23</v>
      </c>
      <c r="N1454">
        <v>0</v>
      </c>
      <c r="O1454">
        <v>0</v>
      </c>
      <c r="P1454" t="s">
        <v>34</v>
      </c>
      <c r="Q1454" t="s">
        <v>36</v>
      </c>
      <c r="R1454" t="s">
        <v>29</v>
      </c>
      <c r="S1454" t="s">
        <v>45</v>
      </c>
      <c r="T1454" t="s">
        <v>40</v>
      </c>
      <c r="U1454">
        <f t="shared" si="22"/>
        <v>1</v>
      </c>
    </row>
    <row r="1455" spans="1:21" x14ac:dyDescent="0.2">
      <c r="A1455">
        <v>615</v>
      </c>
      <c r="B1455" t="s">
        <v>20</v>
      </c>
      <c r="C1455" t="s">
        <v>32</v>
      </c>
      <c r="D1455">
        <v>29</v>
      </c>
      <c r="E1455">
        <v>7</v>
      </c>
      <c r="F1455">
        <v>143330.56</v>
      </c>
      <c r="G1455">
        <v>2</v>
      </c>
      <c r="H1455" t="s">
        <v>22</v>
      </c>
      <c r="I1455" t="s">
        <v>22</v>
      </c>
      <c r="J1455">
        <v>126396.01</v>
      </c>
      <c r="K1455" t="s">
        <v>23</v>
      </c>
      <c r="L1455">
        <v>6.4588622708052823E-2</v>
      </c>
      <c r="M1455" t="s">
        <v>23</v>
      </c>
      <c r="N1455">
        <v>0</v>
      </c>
      <c r="O1455">
        <v>0</v>
      </c>
      <c r="P1455" t="s">
        <v>34</v>
      </c>
      <c r="Q1455" t="s">
        <v>36</v>
      </c>
      <c r="R1455" t="s">
        <v>26</v>
      </c>
      <c r="S1455" t="s">
        <v>27</v>
      </c>
      <c r="T1455" t="s">
        <v>28</v>
      </c>
      <c r="U1455">
        <f t="shared" si="22"/>
        <v>1</v>
      </c>
    </row>
    <row r="1456" spans="1:21" x14ac:dyDescent="0.2">
      <c r="A1456">
        <v>850</v>
      </c>
      <c r="B1456" t="s">
        <v>42</v>
      </c>
      <c r="C1456" t="s">
        <v>21</v>
      </c>
      <c r="D1456">
        <v>30</v>
      </c>
      <c r="E1456">
        <v>10</v>
      </c>
      <c r="F1456">
        <v>153972.89000000001</v>
      </c>
      <c r="G1456">
        <v>2</v>
      </c>
      <c r="H1456" t="s">
        <v>22</v>
      </c>
      <c r="I1456" t="s">
        <v>23</v>
      </c>
      <c r="J1456">
        <v>62811.03</v>
      </c>
      <c r="K1456" t="s">
        <v>23</v>
      </c>
      <c r="L1456">
        <v>8.9070561775805038E-2</v>
      </c>
      <c r="M1456" t="s">
        <v>23</v>
      </c>
      <c r="N1456">
        <v>0</v>
      </c>
      <c r="O1456">
        <v>0</v>
      </c>
      <c r="P1456" t="s">
        <v>34</v>
      </c>
      <c r="Q1456" t="s">
        <v>36</v>
      </c>
      <c r="R1456" t="s">
        <v>47</v>
      </c>
      <c r="S1456" t="s">
        <v>39</v>
      </c>
      <c r="T1456" t="s">
        <v>40</v>
      </c>
      <c r="U1456">
        <f t="shared" si="22"/>
        <v>1</v>
      </c>
    </row>
    <row r="1457" spans="1:21" x14ac:dyDescent="0.2">
      <c r="A1457">
        <v>639</v>
      </c>
      <c r="B1457" t="s">
        <v>42</v>
      </c>
      <c r="C1457" t="s">
        <v>21</v>
      </c>
      <c r="D1457">
        <v>77</v>
      </c>
      <c r="E1457">
        <v>6</v>
      </c>
      <c r="F1457">
        <v>80926.02</v>
      </c>
      <c r="G1457">
        <v>2</v>
      </c>
      <c r="H1457" t="s">
        <v>22</v>
      </c>
      <c r="I1457" t="s">
        <v>22</v>
      </c>
      <c r="J1457">
        <v>55829.25</v>
      </c>
      <c r="K1457" t="s">
        <v>23</v>
      </c>
      <c r="L1457">
        <v>0.52367667956529396</v>
      </c>
      <c r="M1457" t="s">
        <v>22</v>
      </c>
      <c r="N1457">
        <v>0</v>
      </c>
      <c r="O1457">
        <v>1</v>
      </c>
      <c r="P1457" t="s">
        <v>43</v>
      </c>
      <c r="Q1457" t="s">
        <v>46</v>
      </c>
      <c r="R1457" t="s">
        <v>38</v>
      </c>
      <c r="S1457" t="s">
        <v>27</v>
      </c>
      <c r="T1457" t="s">
        <v>40</v>
      </c>
      <c r="U1457">
        <f t="shared" si="22"/>
        <v>0</v>
      </c>
    </row>
    <row r="1458" spans="1:21" x14ac:dyDescent="0.2">
      <c r="A1458">
        <v>589</v>
      </c>
      <c r="B1458" t="s">
        <v>41</v>
      </c>
      <c r="C1458" t="s">
        <v>32</v>
      </c>
      <c r="D1458">
        <v>41</v>
      </c>
      <c r="E1458">
        <v>7</v>
      </c>
      <c r="F1458">
        <v>92618.62</v>
      </c>
      <c r="G1458">
        <v>1</v>
      </c>
      <c r="H1458" t="s">
        <v>22</v>
      </c>
      <c r="I1458" t="s">
        <v>22</v>
      </c>
      <c r="J1458">
        <v>101178.85</v>
      </c>
      <c r="K1458" t="s">
        <v>23</v>
      </c>
      <c r="L1458">
        <v>0.25750588163871441</v>
      </c>
      <c r="M1458" t="s">
        <v>23</v>
      </c>
      <c r="N1458">
        <v>0</v>
      </c>
      <c r="O1458">
        <v>0</v>
      </c>
      <c r="P1458" t="s">
        <v>24</v>
      </c>
      <c r="Q1458" t="s">
        <v>25</v>
      </c>
      <c r="R1458" t="s">
        <v>38</v>
      </c>
      <c r="S1458" t="s">
        <v>30</v>
      </c>
      <c r="T1458" t="s">
        <v>28</v>
      </c>
      <c r="U1458">
        <f t="shared" si="22"/>
        <v>1</v>
      </c>
    </row>
    <row r="1459" spans="1:21" x14ac:dyDescent="0.2">
      <c r="A1459">
        <v>620</v>
      </c>
      <c r="B1459" t="s">
        <v>41</v>
      </c>
      <c r="C1459" t="s">
        <v>32</v>
      </c>
      <c r="D1459">
        <v>25</v>
      </c>
      <c r="E1459">
        <v>8</v>
      </c>
      <c r="F1459">
        <v>141825.88</v>
      </c>
      <c r="G1459">
        <v>1</v>
      </c>
      <c r="H1459" t="s">
        <v>22</v>
      </c>
      <c r="I1459" t="s">
        <v>22</v>
      </c>
      <c r="J1459">
        <v>73857.94</v>
      </c>
      <c r="K1459" t="s">
        <v>22</v>
      </c>
      <c r="L1459">
        <v>0.1023058233143001</v>
      </c>
      <c r="M1459" t="s">
        <v>23</v>
      </c>
      <c r="N1459">
        <v>1</v>
      </c>
      <c r="O1459">
        <v>0</v>
      </c>
      <c r="P1459" t="s">
        <v>34</v>
      </c>
      <c r="Q1459" t="s">
        <v>36</v>
      </c>
      <c r="R1459" t="s">
        <v>26</v>
      </c>
      <c r="S1459" t="s">
        <v>27</v>
      </c>
      <c r="T1459" t="s">
        <v>40</v>
      </c>
      <c r="U1459">
        <f t="shared" si="22"/>
        <v>0</v>
      </c>
    </row>
    <row r="1460" spans="1:21" x14ac:dyDescent="0.2">
      <c r="A1460">
        <v>666</v>
      </c>
      <c r="B1460" t="s">
        <v>41</v>
      </c>
      <c r="C1460" t="s">
        <v>32</v>
      </c>
      <c r="D1460">
        <v>37</v>
      </c>
      <c r="E1460">
        <v>2</v>
      </c>
      <c r="F1460">
        <v>158468.76</v>
      </c>
      <c r="G1460">
        <v>1</v>
      </c>
      <c r="H1460" t="s">
        <v>23</v>
      </c>
      <c r="I1460" t="s">
        <v>22</v>
      </c>
      <c r="J1460">
        <v>93266.01</v>
      </c>
      <c r="K1460" t="s">
        <v>23</v>
      </c>
      <c r="L1460">
        <v>0.24771081089136529</v>
      </c>
      <c r="M1460" t="s">
        <v>23</v>
      </c>
      <c r="N1460">
        <v>0</v>
      </c>
      <c r="O1460">
        <v>0</v>
      </c>
      <c r="P1460" t="s">
        <v>24</v>
      </c>
      <c r="Q1460" t="s">
        <v>33</v>
      </c>
      <c r="R1460" t="s">
        <v>47</v>
      </c>
      <c r="S1460" t="s">
        <v>27</v>
      </c>
      <c r="T1460" t="s">
        <v>40</v>
      </c>
      <c r="U1460">
        <f t="shared" si="22"/>
        <v>1</v>
      </c>
    </row>
    <row r="1461" spans="1:21" x14ac:dyDescent="0.2">
      <c r="A1461">
        <v>836</v>
      </c>
      <c r="B1461" t="s">
        <v>42</v>
      </c>
      <c r="C1461" t="s">
        <v>32</v>
      </c>
      <c r="D1461">
        <v>29</v>
      </c>
      <c r="E1461">
        <v>9</v>
      </c>
      <c r="F1461">
        <v>133681.78</v>
      </c>
      <c r="G1461">
        <v>1</v>
      </c>
      <c r="H1461" t="s">
        <v>22</v>
      </c>
      <c r="I1461" t="s">
        <v>22</v>
      </c>
      <c r="J1461">
        <v>153747.73000000001</v>
      </c>
      <c r="K1461" t="s">
        <v>23</v>
      </c>
      <c r="L1461">
        <v>5.6783744215478223E-2</v>
      </c>
      <c r="M1461" t="s">
        <v>23</v>
      </c>
      <c r="N1461">
        <v>0</v>
      </c>
      <c r="O1461">
        <v>0</v>
      </c>
      <c r="P1461" t="s">
        <v>34</v>
      </c>
      <c r="Q1461" t="s">
        <v>36</v>
      </c>
      <c r="R1461" t="s">
        <v>26</v>
      </c>
      <c r="S1461" t="s">
        <v>39</v>
      </c>
      <c r="T1461" t="s">
        <v>31</v>
      </c>
      <c r="U1461">
        <f t="shared" si="22"/>
        <v>1</v>
      </c>
    </row>
    <row r="1462" spans="1:21" x14ac:dyDescent="0.2">
      <c r="A1462">
        <v>762</v>
      </c>
      <c r="B1462" t="s">
        <v>41</v>
      </c>
      <c r="C1462" t="s">
        <v>21</v>
      </c>
      <c r="D1462">
        <v>35</v>
      </c>
      <c r="E1462">
        <v>1</v>
      </c>
      <c r="F1462">
        <v>117458.51</v>
      </c>
      <c r="G1462">
        <v>1</v>
      </c>
      <c r="H1462" t="s">
        <v>23</v>
      </c>
      <c r="I1462" t="s">
        <v>22</v>
      </c>
      <c r="J1462">
        <v>178361.48</v>
      </c>
      <c r="K1462" t="s">
        <v>22</v>
      </c>
      <c r="L1462">
        <v>0.12879280728301709</v>
      </c>
      <c r="M1462" t="s">
        <v>23</v>
      </c>
      <c r="N1462">
        <v>1</v>
      </c>
      <c r="O1462">
        <v>0</v>
      </c>
      <c r="P1462" t="s">
        <v>34</v>
      </c>
      <c r="Q1462" t="s">
        <v>33</v>
      </c>
      <c r="R1462" t="s">
        <v>26</v>
      </c>
      <c r="S1462" t="s">
        <v>37</v>
      </c>
      <c r="T1462" t="s">
        <v>31</v>
      </c>
      <c r="U1462">
        <f t="shared" si="22"/>
        <v>0</v>
      </c>
    </row>
    <row r="1463" spans="1:21" x14ac:dyDescent="0.2">
      <c r="A1463">
        <v>639</v>
      </c>
      <c r="B1463" t="s">
        <v>42</v>
      </c>
      <c r="C1463" t="s">
        <v>21</v>
      </c>
      <c r="D1463">
        <v>22</v>
      </c>
      <c r="E1463">
        <v>4</v>
      </c>
      <c r="F1463">
        <v>0</v>
      </c>
      <c r="G1463">
        <v>2</v>
      </c>
      <c r="H1463" t="s">
        <v>22</v>
      </c>
      <c r="I1463" t="s">
        <v>23</v>
      </c>
      <c r="J1463">
        <v>28188.959999999999</v>
      </c>
      <c r="K1463" t="s">
        <v>23</v>
      </c>
      <c r="L1463">
        <v>4.4335985128094162E-2</v>
      </c>
      <c r="M1463" t="s">
        <v>23</v>
      </c>
      <c r="N1463">
        <v>0</v>
      </c>
      <c r="O1463">
        <v>0</v>
      </c>
      <c r="P1463" t="s">
        <v>34</v>
      </c>
      <c r="Q1463" t="s">
        <v>36</v>
      </c>
      <c r="R1463" t="s">
        <v>29</v>
      </c>
      <c r="S1463" t="s">
        <v>27</v>
      </c>
      <c r="T1463" t="s">
        <v>35</v>
      </c>
      <c r="U1463">
        <f t="shared" si="22"/>
        <v>1</v>
      </c>
    </row>
    <row r="1464" spans="1:21" x14ac:dyDescent="0.2">
      <c r="A1464">
        <v>626</v>
      </c>
      <c r="B1464" t="s">
        <v>41</v>
      </c>
      <c r="C1464" t="s">
        <v>32</v>
      </c>
      <c r="D1464">
        <v>23</v>
      </c>
      <c r="E1464">
        <v>6</v>
      </c>
      <c r="F1464">
        <v>85897.95</v>
      </c>
      <c r="G1464">
        <v>1</v>
      </c>
      <c r="H1464" t="s">
        <v>22</v>
      </c>
      <c r="I1464" t="s">
        <v>23</v>
      </c>
      <c r="J1464">
        <v>109742.8</v>
      </c>
      <c r="K1464" t="s">
        <v>23</v>
      </c>
      <c r="L1464">
        <v>0.21091185718254671</v>
      </c>
      <c r="M1464" t="s">
        <v>23</v>
      </c>
      <c r="N1464">
        <v>0</v>
      </c>
      <c r="O1464">
        <v>0</v>
      </c>
      <c r="P1464" t="s">
        <v>24</v>
      </c>
      <c r="Q1464" t="s">
        <v>36</v>
      </c>
      <c r="R1464" t="s">
        <v>38</v>
      </c>
      <c r="S1464" t="s">
        <v>27</v>
      </c>
      <c r="T1464" t="s">
        <v>28</v>
      </c>
      <c r="U1464">
        <f t="shared" si="22"/>
        <v>1</v>
      </c>
    </row>
    <row r="1465" spans="1:21" x14ac:dyDescent="0.2">
      <c r="A1465">
        <v>737</v>
      </c>
      <c r="B1465" t="s">
        <v>41</v>
      </c>
      <c r="C1465" t="s">
        <v>32</v>
      </c>
      <c r="D1465">
        <v>45</v>
      </c>
      <c r="E1465">
        <v>2</v>
      </c>
      <c r="F1465">
        <v>99169.67</v>
      </c>
      <c r="G1465">
        <v>2</v>
      </c>
      <c r="H1465" t="s">
        <v>22</v>
      </c>
      <c r="I1465" t="s">
        <v>22</v>
      </c>
      <c r="J1465">
        <v>78650.95</v>
      </c>
      <c r="K1465" t="s">
        <v>23</v>
      </c>
      <c r="L1465">
        <v>0.29613706122295352</v>
      </c>
      <c r="M1465" t="s">
        <v>23</v>
      </c>
      <c r="N1465">
        <v>0</v>
      </c>
      <c r="O1465">
        <v>0</v>
      </c>
      <c r="P1465" t="s">
        <v>24</v>
      </c>
      <c r="Q1465" t="s">
        <v>25</v>
      </c>
      <c r="R1465" t="s">
        <v>38</v>
      </c>
      <c r="S1465" t="s">
        <v>37</v>
      </c>
      <c r="T1465" t="s">
        <v>40</v>
      </c>
      <c r="U1465">
        <f t="shared" si="22"/>
        <v>1</v>
      </c>
    </row>
    <row r="1466" spans="1:21" x14ac:dyDescent="0.2">
      <c r="A1466">
        <v>628</v>
      </c>
      <c r="B1466" t="s">
        <v>42</v>
      </c>
      <c r="C1466" t="s">
        <v>32</v>
      </c>
      <c r="D1466">
        <v>29</v>
      </c>
      <c r="E1466">
        <v>9</v>
      </c>
      <c r="F1466">
        <v>71996.289999999994</v>
      </c>
      <c r="G1466">
        <v>1</v>
      </c>
      <c r="H1466" t="s">
        <v>22</v>
      </c>
      <c r="I1466" t="s">
        <v>22</v>
      </c>
      <c r="J1466">
        <v>34857.46</v>
      </c>
      <c r="K1466" t="s">
        <v>23</v>
      </c>
      <c r="L1466">
        <v>5.2528872593692842E-2</v>
      </c>
      <c r="M1466" t="s">
        <v>23</v>
      </c>
      <c r="N1466">
        <v>0</v>
      </c>
      <c r="O1466">
        <v>0</v>
      </c>
      <c r="P1466" t="s">
        <v>34</v>
      </c>
      <c r="Q1466" t="s">
        <v>36</v>
      </c>
      <c r="R1466" t="s">
        <v>38</v>
      </c>
      <c r="S1466" t="s">
        <v>27</v>
      </c>
      <c r="T1466" t="s">
        <v>35</v>
      </c>
      <c r="U1466">
        <f t="shared" si="22"/>
        <v>1</v>
      </c>
    </row>
    <row r="1467" spans="1:21" x14ac:dyDescent="0.2">
      <c r="A1467">
        <v>721</v>
      </c>
      <c r="B1467" t="s">
        <v>42</v>
      </c>
      <c r="C1467" t="s">
        <v>21</v>
      </c>
      <c r="D1467">
        <v>54</v>
      </c>
      <c r="E1467">
        <v>5</v>
      </c>
      <c r="F1467">
        <v>0</v>
      </c>
      <c r="G1467">
        <v>2</v>
      </c>
      <c r="H1467" t="s">
        <v>22</v>
      </c>
      <c r="I1467" t="s">
        <v>22</v>
      </c>
      <c r="J1467">
        <v>4493.12</v>
      </c>
      <c r="K1467" t="s">
        <v>23</v>
      </c>
      <c r="L1467">
        <v>0.13210062443327431</v>
      </c>
      <c r="M1467" t="s">
        <v>23</v>
      </c>
      <c r="N1467">
        <v>0</v>
      </c>
      <c r="O1467">
        <v>0</v>
      </c>
      <c r="P1467" t="s">
        <v>34</v>
      </c>
      <c r="Q1467" t="s">
        <v>44</v>
      </c>
      <c r="R1467" t="s">
        <v>29</v>
      </c>
      <c r="S1467" t="s">
        <v>37</v>
      </c>
      <c r="T1467" t="s">
        <v>35</v>
      </c>
      <c r="U1467">
        <f t="shared" si="22"/>
        <v>1</v>
      </c>
    </row>
    <row r="1468" spans="1:21" x14ac:dyDescent="0.2">
      <c r="A1468">
        <v>634</v>
      </c>
      <c r="B1468" t="s">
        <v>42</v>
      </c>
      <c r="C1468" t="s">
        <v>32</v>
      </c>
      <c r="D1468">
        <v>24</v>
      </c>
      <c r="E1468">
        <v>2</v>
      </c>
      <c r="F1468">
        <v>87413.19</v>
      </c>
      <c r="G1468">
        <v>1</v>
      </c>
      <c r="H1468" t="s">
        <v>22</v>
      </c>
      <c r="I1468" t="s">
        <v>23</v>
      </c>
      <c r="J1468">
        <v>63340.65</v>
      </c>
      <c r="K1468" t="s">
        <v>23</v>
      </c>
      <c r="L1468">
        <v>0.1210760700593693</v>
      </c>
      <c r="M1468" t="s">
        <v>23</v>
      </c>
      <c r="N1468">
        <v>0</v>
      </c>
      <c r="O1468">
        <v>0</v>
      </c>
      <c r="P1468" t="s">
        <v>34</v>
      </c>
      <c r="Q1468" t="s">
        <v>36</v>
      </c>
      <c r="R1468" t="s">
        <v>38</v>
      </c>
      <c r="S1468" t="s">
        <v>27</v>
      </c>
      <c r="T1468" t="s">
        <v>40</v>
      </c>
      <c r="U1468">
        <f t="shared" si="22"/>
        <v>1</v>
      </c>
    </row>
    <row r="1469" spans="1:21" x14ac:dyDescent="0.2">
      <c r="A1469">
        <v>691</v>
      </c>
      <c r="B1469" t="s">
        <v>20</v>
      </c>
      <c r="C1469" t="s">
        <v>21</v>
      </c>
      <c r="D1469">
        <v>36</v>
      </c>
      <c r="E1469">
        <v>7</v>
      </c>
      <c r="F1469">
        <v>129934.64</v>
      </c>
      <c r="G1469">
        <v>1</v>
      </c>
      <c r="H1469" t="s">
        <v>23</v>
      </c>
      <c r="I1469" t="s">
        <v>23</v>
      </c>
      <c r="J1469">
        <v>75664.56</v>
      </c>
      <c r="K1469" t="s">
        <v>22</v>
      </c>
      <c r="L1469">
        <v>0.16903289042013869</v>
      </c>
      <c r="M1469" t="s">
        <v>23</v>
      </c>
      <c r="N1469">
        <v>1</v>
      </c>
      <c r="O1469">
        <v>0</v>
      </c>
      <c r="P1469" t="s">
        <v>34</v>
      </c>
      <c r="Q1469" t="s">
        <v>33</v>
      </c>
      <c r="R1469" t="s">
        <v>26</v>
      </c>
      <c r="S1469" t="s">
        <v>27</v>
      </c>
      <c r="T1469" t="s">
        <v>40</v>
      </c>
      <c r="U1469">
        <f t="shared" si="22"/>
        <v>0</v>
      </c>
    </row>
    <row r="1470" spans="1:21" x14ac:dyDescent="0.2">
      <c r="A1470">
        <v>665</v>
      </c>
      <c r="B1470" t="s">
        <v>41</v>
      </c>
      <c r="C1470" t="s">
        <v>32</v>
      </c>
      <c r="D1470">
        <v>43</v>
      </c>
      <c r="E1470">
        <v>2</v>
      </c>
      <c r="F1470">
        <v>116322.27</v>
      </c>
      <c r="G1470">
        <v>4</v>
      </c>
      <c r="H1470" t="s">
        <v>22</v>
      </c>
      <c r="I1470" t="s">
        <v>23</v>
      </c>
      <c r="J1470">
        <v>35640.120000000003</v>
      </c>
      <c r="K1470" t="s">
        <v>22</v>
      </c>
      <c r="L1470">
        <v>0.48478894939448669</v>
      </c>
      <c r="M1470" t="s">
        <v>23</v>
      </c>
      <c r="N1470">
        <v>1</v>
      </c>
      <c r="O1470">
        <v>0</v>
      </c>
      <c r="P1470" t="s">
        <v>24</v>
      </c>
      <c r="Q1470" t="s">
        <v>25</v>
      </c>
      <c r="R1470" t="s">
        <v>26</v>
      </c>
      <c r="S1470" t="s">
        <v>27</v>
      </c>
      <c r="T1470" t="s">
        <v>35</v>
      </c>
      <c r="U1470">
        <f t="shared" si="22"/>
        <v>0</v>
      </c>
    </row>
    <row r="1471" spans="1:21" x14ac:dyDescent="0.2">
      <c r="A1471">
        <v>645</v>
      </c>
      <c r="B1471" t="s">
        <v>20</v>
      </c>
      <c r="C1471" t="s">
        <v>32</v>
      </c>
      <c r="D1471">
        <v>29</v>
      </c>
      <c r="E1471">
        <v>4</v>
      </c>
      <c r="F1471">
        <v>0</v>
      </c>
      <c r="G1471">
        <v>2</v>
      </c>
      <c r="H1471" t="s">
        <v>22</v>
      </c>
      <c r="I1471" t="s">
        <v>22</v>
      </c>
      <c r="J1471">
        <v>74346.11</v>
      </c>
      <c r="K1471" t="s">
        <v>23</v>
      </c>
      <c r="L1471">
        <v>4.5871346975034893E-2</v>
      </c>
      <c r="M1471" t="s">
        <v>23</v>
      </c>
      <c r="N1471">
        <v>0</v>
      </c>
      <c r="O1471">
        <v>0</v>
      </c>
      <c r="P1471" t="s">
        <v>34</v>
      </c>
      <c r="Q1471" t="s">
        <v>36</v>
      </c>
      <c r="R1471" t="s">
        <v>29</v>
      </c>
      <c r="S1471" t="s">
        <v>27</v>
      </c>
      <c r="T1471" t="s">
        <v>40</v>
      </c>
      <c r="U1471">
        <f t="shared" si="22"/>
        <v>1</v>
      </c>
    </row>
    <row r="1472" spans="1:21" x14ac:dyDescent="0.2">
      <c r="A1472">
        <v>609</v>
      </c>
      <c r="B1472" t="s">
        <v>20</v>
      </c>
      <c r="C1472" t="s">
        <v>21</v>
      </c>
      <c r="D1472">
        <v>32</v>
      </c>
      <c r="E1472">
        <v>4</v>
      </c>
      <c r="F1472">
        <v>99883.16</v>
      </c>
      <c r="G1472">
        <v>1</v>
      </c>
      <c r="H1472" t="s">
        <v>22</v>
      </c>
      <c r="I1472" t="s">
        <v>22</v>
      </c>
      <c r="J1472">
        <v>120594.85</v>
      </c>
      <c r="K1472" t="s">
        <v>23</v>
      </c>
      <c r="L1472">
        <v>4.9870641917625309E-2</v>
      </c>
      <c r="M1472" t="s">
        <v>23</v>
      </c>
      <c r="N1472">
        <v>0</v>
      </c>
      <c r="O1472">
        <v>0</v>
      </c>
      <c r="P1472" t="s">
        <v>34</v>
      </c>
      <c r="Q1472" t="s">
        <v>33</v>
      </c>
      <c r="R1472" t="s">
        <v>38</v>
      </c>
      <c r="S1472" t="s">
        <v>27</v>
      </c>
      <c r="T1472" t="s">
        <v>28</v>
      </c>
      <c r="U1472">
        <f t="shared" si="22"/>
        <v>1</v>
      </c>
    </row>
    <row r="1473" spans="1:21" x14ac:dyDescent="0.2">
      <c r="A1473">
        <v>759</v>
      </c>
      <c r="B1473" t="s">
        <v>42</v>
      </c>
      <c r="C1473" t="s">
        <v>21</v>
      </c>
      <c r="D1473">
        <v>44</v>
      </c>
      <c r="E1473">
        <v>2</v>
      </c>
      <c r="F1473">
        <v>111095.58</v>
      </c>
      <c r="G1473">
        <v>2</v>
      </c>
      <c r="H1473" t="s">
        <v>22</v>
      </c>
      <c r="I1473" t="s">
        <v>23</v>
      </c>
      <c r="J1473">
        <v>100137.7</v>
      </c>
      <c r="K1473" t="s">
        <v>23</v>
      </c>
      <c r="L1473">
        <v>0.23901729514653761</v>
      </c>
      <c r="M1473" t="s">
        <v>23</v>
      </c>
      <c r="N1473">
        <v>0</v>
      </c>
      <c r="O1473">
        <v>0</v>
      </c>
      <c r="P1473" t="s">
        <v>24</v>
      </c>
      <c r="Q1473" t="s">
        <v>25</v>
      </c>
      <c r="R1473" t="s">
        <v>26</v>
      </c>
      <c r="S1473" t="s">
        <v>37</v>
      </c>
      <c r="T1473" t="s">
        <v>28</v>
      </c>
      <c r="U1473">
        <f t="shared" si="22"/>
        <v>1</v>
      </c>
    </row>
    <row r="1474" spans="1:21" x14ac:dyDescent="0.2">
      <c r="A1474">
        <v>567</v>
      </c>
      <c r="B1474" t="s">
        <v>20</v>
      </c>
      <c r="C1474" t="s">
        <v>21</v>
      </c>
      <c r="D1474">
        <v>35</v>
      </c>
      <c r="E1474">
        <v>8</v>
      </c>
      <c r="F1474">
        <v>153137.74</v>
      </c>
      <c r="G1474">
        <v>1</v>
      </c>
      <c r="H1474" t="s">
        <v>22</v>
      </c>
      <c r="I1474" t="s">
        <v>23</v>
      </c>
      <c r="J1474">
        <v>88659.07</v>
      </c>
      <c r="K1474" t="s">
        <v>23</v>
      </c>
      <c r="L1474">
        <v>0.17289666485881561</v>
      </c>
      <c r="M1474" t="s">
        <v>23</v>
      </c>
      <c r="N1474">
        <v>0</v>
      </c>
      <c r="O1474">
        <v>0</v>
      </c>
      <c r="P1474" t="s">
        <v>34</v>
      </c>
      <c r="Q1474" t="s">
        <v>33</v>
      </c>
      <c r="R1474" t="s">
        <v>47</v>
      </c>
      <c r="S1474" t="s">
        <v>30</v>
      </c>
      <c r="T1474" t="s">
        <v>40</v>
      </c>
      <c r="U1474">
        <f t="shared" ref="U1474:U1537" si="23">IF(K1474=M1474,1,0)</f>
        <v>1</v>
      </c>
    </row>
    <row r="1475" spans="1:21" x14ac:dyDescent="0.2">
      <c r="A1475">
        <v>616</v>
      </c>
      <c r="B1475" t="s">
        <v>42</v>
      </c>
      <c r="C1475" t="s">
        <v>21</v>
      </c>
      <c r="D1475">
        <v>44</v>
      </c>
      <c r="E1475">
        <v>5</v>
      </c>
      <c r="F1475">
        <v>102016.38</v>
      </c>
      <c r="G1475">
        <v>1</v>
      </c>
      <c r="H1475" t="s">
        <v>23</v>
      </c>
      <c r="I1475" t="s">
        <v>22</v>
      </c>
      <c r="J1475">
        <v>178235.37</v>
      </c>
      <c r="K1475" t="s">
        <v>22</v>
      </c>
      <c r="L1475">
        <v>0.11381869108946389</v>
      </c>
      <c r="M1475" t="s">
        <v>23</v>
      </c>
      <c r="N1475">
        <v>1</v>
      </c>
      <c r="O1475">
        <v>0</v>
      </c>
      <c r="P1475" t="s">
        <v>34</v>
      </c>
      <c r="Q1475" t="s">
        <v>25</v>
      </c>
      <c r="R1475" t="s">
        <v>26</v>
      </c>
      <c r="S1475" t="s">
        <v>27</v>
      </c>
      <c r="T1475" t="s">
        <v>31</v>
      </c>
      <c r="U1475">
        <f t="shared" si="23"/>
        <v>0</v>
      </c>
    </row>
    <row r="1476" spans="1:21" x14ac:dyDescent="0.2">
      <c r="A1476">
        <v>561</v>
      </c>
      <c r="B1476" t="s">
        <v>42</v>
      </c>
      <c r="C1476" t="s">
        <v>21</v>
      </c>
      <c r="D1476">
        <v>32</v>
      </c>
      <c r="E1476">
        <v>5</v>
      </c>
      <c r="F1476">
        <v>0</v>
      </c>
      <c r="G1476">
        <v>2</v>
      </c>
      <c r="H1476" t="s">
        <v>22</v>
      </c>
      <c r="I1476" t="s">
        <v>23</v>
      </c>
      <c r="J1476">
        <v>84871.99</v>
      </c>
      <c r="K1476" t="s">
        <v>23</v>
      </c>
      <c r="L1476">
        <v>9.4084557687021814E-2</v>
      </c>
      <c r="M1476" t="s">
        <v>23</v>
      </c>
      <c r="N1476">
        <v>0</v>
      </c>
      <c r="O1476">
        <v>0</v>
      </c>
      <c r="P1476" t="s">
        <v>34</v>
      </c>
      <c r="Q1476" t="s">
        <v>33</v>
      </c>
      <c r="R1476" t="s">
        <v>29</v>
      </c>
      <c r="S1476" t="s">
        <v>30</v>
      </c>
      <c r="T1476" t="s">
        <v>40</v>
      </c>
      <c r="U1476">
        <f t="shared" si="23"/>
        <v>1</v>
      </c>
    </row>
    <row r="1477" spans="1:21" x14ac:dyDescent="0.2">
      <c r="A1477">
        <v>681</v>
      </c>
      <c r="B1477" t="s">
        <v>42</v>
      </c>
      <c r="C1477" t="s">
        <v>32</v>
      </c>
      <c r="D1477">
        <v>58</v>
      </c>
      <c r="E1477">
        <v>8</v>
      </c>
      <c r="F1477">
        <v>93173.88</v>
      </c>
      <c r="G1477">
        <v>1</v>
      </c>
      <c r="H1477" t="s">
        <v>22</v>
      </c>
      <c r="I1477" t="s">
        <v>22</v>
      </c>
      <c r="J1477">
        <v>139761.25</v>
      </c>
      <c r="K1477" t="s">
        <v>23</v>
      </c>
      <c r="L1477">
        <v>0.34299868786102922</v>
      </c>
      <c r="M1477" t="s">
        <v>23</v>
      </c>
      <c r="N1477">
        <v>0</v>
      </c>
      <c r="O1477">
        <v>0</v>
      </c>
      <c r="P1477" t="s">
        <v>24</v>
      </c>
      <c r="Q1477" t="s">
        <v>44</v>
      </c>
      <c r="R1477" t="s">
        <v>38</v>
      </c>
      <c r="S1477" t="s">
        <v>27</v>
      </c>
      <c r="T1477" t="s">
        <v>28</v>
      </c>
      <c r="U1477">
        <f t="shared" si="23"/>
        <v>1</v>
      </c>
    </row>
    <row r="1478" spans="1:21" x14ac:dyDescent="0.2">
      <c r="A1478">
        <v>721</v>
      </c>
      <c r="B1478" t="s">
        <v>20</v>
      </c>
      <c r="C1478" t="s">
        <v>32</v>
      </c>
      <c r="D1478">
        <v>32</v>
      </c>
      <c r="E1478">
        <v>10</v>
      </c>
      <c r="F1478">
        <v>0</v>
      </c>
      <c r="G1478">
        <v>1</v>
      </c>
      <c r="H1478" t="s">
        <v>22</v>
      </c>
      <c r="I1478" t="s">
        <v>23</v>
      </c>
      <c r="J1478">
        <v>136119.96</v>
      </c>
      <c r="K1478" t="s">
        <v>22</v>
      </c>
      <c r="L1478">
        <v>0.14725645406292739</v>
      </c>
      <c r="M1478" t="s">
        <v>23</v>
      </c>
      <c r="N1478">
        <v>1</v>
      </c>
      <c r="O1478">
        <v>0</v>
      </c>
      <c r="P1478" t="s">
        <v>34</v>
      </c>
      <c r="Q1478" t="s">
        <v>33</v>
      </c>
      <c r="R1478" t="s">
        <v>29</v>
      </c>
      <c r="S1478" t="s">
        <v>37</v>
      </c>
      <c r="T1478" t="s">
        <v>28</v>
      </c>
      <c r="U1478">
        <f t="shared" si="23"/>
        <v>0</v>
      </c>
    </row>
    <row r="1479" spans="1:21" x14ac:dyDescent="0.2">
      <c r="A1479">
        <v>654</v>
      </c>
      <c r="B1479" t="s">
        <v>20</v>
      </c>
      <c r="C1479" t="s">
        <v>32</v>
      </c>
      <c r="D1479">
        <v>32</v>
      </c>
      <c r="E1479">
        <v>2</v>
      </c>
      <c r="F1479">
        <v>0</v>
      </c>
      <c r="G1479">
        <v>1</v>
      </c>
      <c r="H1479" t="s">
        <v>22</v>
      </c>
      <c r="I1479" t="s">
        <v>22</v>
      </c>
      <c r="J1479">
        <v>51972.92</v>
      </c>
      <c r="K1479" t="s">
        <v>22</v>
      </c>
      <c r="L1479">
        <v>6.3652974051180422E-2</v>
      </c>
      <c r="M1479" t="s">
        <v>23</v>
      </c>
      <c r="N1479">
        <v>1</v>
      </c>
      <c r="O1479">
        <v>0</v>
      </c>
      <c r="P1479" t="s">
        <v>34</v>
      </c>
      <c r="Q1479" t="s">
        <v>33</v>
      </c>
      <c r="R1479" t="s">
        <v>29</v>
      </c>
      <c r="S1479" t="s">
        <v>27</v>
      </c>
      <c r="T1479" t="s">
        <v>40</v>
      </c>
      <c r="U1479">
        <f t="shared" si="23"/>
        <v>0</v>
      </c>
    </row>
    <row r="1480" spans="1:21" x14ac:dyDescent="0.2">
      <c r="A1480">
        <v>659</v>
      </c>
      <c r="B1480" t="s">
        <v>20</v>
      </c>
      <c r="C1480" t="s">
        <v>21</v>
      </c>
      <c r="D1480">
        <v>27</v>
      </c>
      <c r="E1480">
        <v>4</v>
      </c>
      <c r="F1480">
        <v>0</v>
      </c>
      <c r="G1480">
        <v>2</v>
      </c>
      <c r="H1480" t="s">
        <v>22</v>
      </c>
      <c r="I1480" t="s">
        <v>23</v>
      </c>
      <c r="J1480">
        <v>99341.87</v>
      </c>
      <c r="K1480" t="s">
        <v>23</v>
      </c>
      <c r="L1480">
        <v>6.6841021438300313E-2</v>
      </c>
      <c r="M1480" t="s">
        <v>23</v>
      </c>
      <c r="N1480">
        <v>0</v>
      </c>
      <c r="O1480">
        <v>0</v>
      </c>
      <c r="P1480" t="s">
        <v>34</v>
      </c>
      <c r="Q1480" t="s">
        <v>36</v>
      </c>
      <c r="R1480" t="s">
        <v>29</v>
      </c>
      <c r="S1480" t="s">
        <v>27</v>
      </c>
      <c r="T1480" t="s">
        <v>40</v>
      </c>
      <c r="U1480">
        <f t="shared" si="23"/>
        <v>1</v>
      </c>
    </row>
    <row r="1481" spans="1:21" x14ac:dyDescent="0.2">
      <c r="A1481">
        <v>566</v>
      </c>
      <c r="B1481" t="s">
        <v>41</v>
      </c>
      <c r="C1481" t="s">
        <v>21</v>
      </c>
      <c r="D1481">
        <v>54</v>
      </c>
      <c r="E1481">
        <v>4</v>
      </c>
      <c r="F1481">
        <v>118614.6</v>
      </c>
      <c r="G1481">
        <v>2</v>
      </c>
      <c r="H1481" t="s">
        <v>22</v>
      </c>
      <c r="I1481" t="s">
        <v>22</v>
      </c>
      <c r="J1481">
        <v>172601.62</v>
      </c>
      <c r="K1481" t="s">
        <v>23</v>
      </c>
      <c r="L1481">
        <v>0.36227035548265718</v>
      </c>
      <c r="M1481" t="s">
        <v>23</v>
      </c>
      <c r="N1481">
        <v>0</v>
      </c>
      <c r="O1481">
        <v>0</v>
      </c>
      <c r="P1481" t="s">
        <v>24</v>
      </c>
      <c r="Q1481" t="s">
        <v>44</v>
      </c>
      <c r="R1481" t="s">
        <v>26</v>
      </c>
      <c r="S1481" t="s">
        <v>30</v>
      </c>
      <c r="T1481" t="s">
        <v>31</v>
      </c>
      <c r="U1481">
        <f t="shared" si="23"/>
        <v>1</v>
      </c>
    </row>
    <row r="1482" spans="1:21" x14ac:dyDescent="0.2">
      <c r="A1482">
        <v>500</v>
      </c>
      <c r="B1482" t="s">
        <v>41</v>
      </c>
      <c r="C1482" t="s">
        <v>21</v>
      </c>
      <c r="D1482">
        <v>30</v>
      </c>
      <c r="E1482">
        <v>2</v>
      </c>
      <c r="F1482">
        <v>125495.64</v>
      </c>
      <c r="G1482">
        <v>2</v>
      </c>
      <c r="H1482" t="s">
        <v>22</v>
      </c>
      <c r="I1482" t="s">
        <v>22</v>
      </c>
      <c r="J1482">
        <v>68807.47</v>
      </c>
      <c r="K1482" t="s">
        <v>23</v>
      </c>
      <c r="L1482">
        <v>9.1427716671576564E-2</v>
      </c>
      <c r="M1482" t="s">
        <v>23</v>
      </c>
      <c r="N1482">
        <v>0</v>
      </c>
      <c r="O1482">
        <v>0</v>
      </c>
      <c r="P1482" t="s">
        <v>34</v>
      </c>
      <c r="Q1482" t="s">
        <v>36</v>
      </c>
      <c r="R1482" t="s">
        <v>26</v>
      </c>
      <c r="S1482" t="s">
        <v>45</v>
      </c>
      <c r="T1482" t="s">
        <v>40</v>
      </c>
      <c r="U1482">
        <f t="shared" si="23"/>
        <v>1</v>
      </c>
    </row>
    <row r="1483" spans="1:21" x14ac:dyDescent="0.2">
      <c r="A1483">
        <v>595</v>
      </c>
      <c r="B1483" t="s">
        <v>41</v>
      </c>
      <c r="C1483" t="s">
        <v>32</v>
      </c>
      <c r="D1483">
        <v>26</v>
      </c>
      <c r="E1483">
        <v>8</v>
      </c>
      <c r="F1483">
        <v>118547.72</v>
      </c>
      <c r="G1483">
        <v>1</v>
      </c>
      <c r="H1483" t="s">
        <v>22</v>
      </c>
      <c r="I1483" t="s">
        <v>22</v>
      </c>
      <c r="J1483">
        <v>151192.18</v>
      </c>
      <c r="K1483" t="s">
        <v>23</v>
      </c>
      <c r="L1483">
        <v>0.10932766537690961</v>
      </c>
      <c r="M1483" t="s">
        <v>23</v>
      </c>
      <c r="N1483">
        <v>0</v>
      </c>
      <c r="O1483">
        <v>0</v>
      </c>
      <c r="P1483" t="s">
        <v>34</v>
      </c>
      <c r="Q1483" t="s">
        <v>36</v>
      </c>
      <c r="R1483" t="s">
        <v>26</v>
      </c>
      <c r="S1483" t="s">
        <v>30</v>
      </c>
      <c r="T1483" t="s">
        <v>31</v>
      </c>
      <c r="U1483">
        <f t="shared" si="23"/>
        <v>1</v>
      </c>
    </row>
    <row r="1484" spans="1:21" x14ac:dyDescent="0.2">
      <c r="A1484">
        <v>660</v>
      </c>
      <c r="B1484" t="s">
        <v>42</v>
      </c>
      <c r="C1484" t="s">
        <v>32</v>
      </c>
      <c r="D1484">
        <v>40</v>
      </c>
      <c r="E1484">
        <v>8</v>
      </c>
      <c r="F1484">
        <v>167181.01</v>
      </c>
      <c r="G1484">
        <v>1</v>
      </c>
      <c r="H1484" t="s">
        <v>22</v>
      </c>
      <c r="I1484" t="s">
        <v>22</v>
      </c>
      <c r="J1484">
        <v>185156.94</v>
      </c>
      <c r="K1484" t="s">
        <v>23</v>
      </c>
      <c r="L1484">
        <v>0.1480360584178026</v>
      </c>
      <c r="M1484" t="s">
        <v>23</v>
      </c>
      <c r="N1484">
        <v>0</v>
      </c>
      <c r="O1484">
        <v>0</v>
      </c>
      <c r="P1484" t="s">
        <v>34</v>
      </c>
      <c r="Q1484" t="s">
        <v>33</v>
      </c>
      <c r="R1484" t="s">
        <v>47</v>
      </c>
      <c r="S1484" t="s">
        <v>27</v>
      </c>
      <c r="T1484" t="s">
        <v>31</v>
      </c>
      <c r="U1484">
        <f t="shared" si="23"/>
        <v>1</v>
      </c>
    </row>
    <row r="1485" spans="1:21" x14ac:dyDescent="0.2">
      <c r="A1485">
        <v>580</v>
      </c>
      <c r="B1485" t="s">
        <v>41</v>
      </c>
      <c r="C1485" t="s">
        <v>21</v>
      </c>
      <c r="D1485">
        <v>35</v>
      </c>
      <c r="E1485">
        <v>9</v>
      </c>
      <c r="F1485">
        <v>121355.19</v>
      </c>
      <c r="G1485">
        <v>1</v>
      </c>
      <c r="H1485" t="s">
        <v>23</v>
      </c>
      <c r="I1485" t="s">
        <v>22</v>
      </c>
      <c r="J1485">
        <v>35671.449999999997</v>
      </c>
      <c r="K1485" t="s">
        <v>23</v>
      </c>
      <c r="L1485">
        <v>0.11777142688839499</v>
      </c>
      <c r="M1485" t="s">
        <v>23</v>
      </c>
      <c r="N1485">
        <v>0</v>
      </c>
      <c r="O1485">
        <v>0</v>
      </c>
      <c r="P1485" t="s">
        <v>34</v>
      </c>
      <c r="Q1485" t="s">
        <v>33</v>
      </c>
      <c r="R1485" t="s">
        <v>26</v>
      </c>
      <c r="S1485" t="s">
        <v>30</v>
      </c>
      <c r="T1485" t="s">
        <v>35</v>
      </c>
      <c r="U1485">
        <f t="shared" si="23"/>
        <v>1</v>
      </c>
    </row>
    <row r="1486" spans="1:21" x14ac:dyDescent="0.2">
      <c r="A1486">
        <v>676</v>
      </c>
      <c r="B1486" t="s">
        <v>20</v>
      </c>
      <c r="C1486" t="s">
        <v>21</v>
      </c>
      <c r="D1486">
        <v>35</v>
      </c>
      <c r="E1486">
        <v>0</v>
      </c>
      <c r="F1486">
        <v>0</v>
      </c>
      <c r="G1486">
        <v>2</v>
      </c>
      <c r="H1486" t="s">
        <v>23</v>
      </c>
      <c r="I1486" t="s">
        <v>23</v>
      </c>
      <c r="J1486">
        <v>139911.57999999999</v>
      </c>
      <c r="K1486" t="s">
        <v>23</v>
      </c>
      <c r="L1486">
        <v>0.1276364159909873</v>
      </c>
      <c r="M1486" t="s">
        <v>23</v>
      </c>
      <c r="N1486">
        <v>0</v>
      </c>
      <c r="O1486">
        <v>0</v>
      </c>
      <c r="P1486" t="s">
        <v>34</v>
      </c>
      <c r="Q1486" t="s">
        <v>33</v>
      </c>
      <c r="R1486" t="s">
        <v>29</v>
      </c>
      <c r="S1486" t="s">
        <v>27</v>
      </c>
      <c r="T1486" t="s">
        <v>28</v>
      </c>
      <c r="U1486">
        <f t="shared" si="23"/>
        <v>1</v>
      </c>
    </row>
    <row r="1487" spans="1:21" x14ac:dyDescent="0.2">
      <c r="A1487">
        <v>611</v>
      </c>
      <c r="B1487" t="s">
        <v>41</v>
      </c>
      <c r="C1487" t="s">
        <v>32</v>
      </c>
      <c r="D1487">
        <v>36</v>
      </c>
      <c r="E1487">
        <v>10</v>
      </c>
      <c r="F1487">
        <v>103294.56</v>
      </c>
      <c r="G1487">
        <v>1</v>
      </c>
      <c r="H1487" t="s">
        <v>22</v>
      </c>
      <c r="I1487" t="s">
        <v>23</v>
      </c>
      <c r="J1487">
        <v>160548.12</v>
      </c>
      <c r="K1487" t="s">
        <v>23</v>
      </c>
      <c r="L1487">
        <v>0.41270832470232149</v>
      </c>
      <c r="M1487" t="s">
        <v>23</v>
      </c>
      <c r="N1487">
        <v>0</v>
      </c>
      <c r="O1487">
        <v>0</v>
      </c>
      <c r="P1487" t="s">
        <v>24</v>
      </c>
      <c r="Q1487" t="s">
        <v>33</v>
      </c>
      <c r="R1487" t="s">
        <v>26</v>
      </c>
      <c r="S1487" t="s">
        <v>27</v>
      </c>
      <c r="T1487" t="s">
        <v>31</v>
      </c>
      <c r="U1487">
        <f t="shared" si="23"/>
        <v>1</v>
      </c>
    </row>
    <row r="1488" spans="1:21" x14ac:dyDescent="0.2">
      <c r="A1488">
        <v>507</v>
      </c>
      <c r="B1488" t="s">
        <v>20</v>
      </c>
      <c r="C1488" t="s">
        <v>32</v>
      </c>
      <c r="D1488">
        <v>34</v>
      </c>
      <c r="E1488">
        <v>4</v>
      </c>
      <c r="F1488">
        <v>0</v>
      </c>
      <c r="G1488">
        <v>2</v>
      </c>
      <c r="H1488" t="s">
        <v>22</v>
      </c>
      <c r="I1488" t="s">
        <v>22</v>
      </c>
      <c r="J1488">
        <v>60688.38</v>
      </c>
      <c r="K1488" t="s">
        <v>23</v>
      </c>
      <c r="L1488">
        <v>7.0627349462152461E-2</v>
      </c>
      <c r="M1488" t="s">
        <v>23</v>
      </c>
      <c r="N1488">
        <v>0</v>
      </c>
      <c r="O1488">
        <v>0</v>
      </c>
      <c r="P1488" t="s">
        <v>34</v>
      </c>
      <c r="Q1488" t="s">
        <v>33</v>
      </c>
      <c r="R1488" t="s">
        <v>29</v>
      </c>
      <c r="S1488" t="s">
        <v>30</v>
      </c>
      <c r="T1488" t="s">
        <v>40</v>
      </c>
      <c r="U1488">
        <f t="shared" si="23"/>
        <v>1</v>
      </c>
    </row>
    <row r="1489" spans="1:21" x14ac:dyDescent="0.2">
      <c r="A1489">
        <v>777</v>
      </c>
      <c r="B1489" t="s">
        <v>42</v>
      </c>
      <c r="C1489" t="s">
        <v>21</v>
      </c>
      <c r="D1489">
        <v>43</v>
      </c>
      <c r="E1489">
        <v>1</v>
      </c>
      <c r="F1489">
        <v>0</v>
      </c>
      <c r="G1489">
        <v>2</v>
      </c>
      <c r="H1489" t="s">
        <v>22</v>
      </c>
      <c r="I1489" t="s">
        <v>23</v>
      </c>
      <c r="J1489">
        <v>21785.91</v>
      </c>
      <c r="K1489" t="s">
        <v>23</v>
      </c>
      <c r="L1489">
        <v>0.17414742040857659</v>
      </c>
      <c r="M1489" t="s">
        <v>23</v>
      </c>
      <c r="N1489">
        <v>0</v>
      </c>
      <c r="O1489">
        <v>0</v>
      </c>
      <c r="P1489" t="s">
        <v>34</v>
      </c>
      <c r="Q1489" t="s">
        <v>25</v>
      </c>
      <c r="R1489" t="s">
        <v>29</v>
      </c>
      <c r="S1489" t="s">
        <v>37</v>
      </c>
      <c r="T1489" t="s">
        <v>35</v>
      </c>
      <c r="U1489">
        <f t="shared" si="23"/>
        <v>1</v>
      </c>
    </row>
    <row r="1490" spans="1:21" x14ac:dyDescent="0.2">
      <c r="A1490">
        <v>706</v>
      </c>
      <c r="B1490" t="s">
        <v>20</v>
      </c>
      <c r="C1490" t="s">
        <v>21</v>
      </c>
      <c r="D1490">
        <v>30</v>
      </c>
      <c r="E1490">
        <v>6</v>
      </c>
      <c r="F1490">
        <v>87609.68</v>
      </c>
      <c r="G1490">
        <v>2</v>
      </c>
      <c r="H1490" t="s">
        <v>23</v>
      </c>
      <c r="I1490" t="s">
        <v>23</v>
      </c>
      <c r="J1490">
        <v>137674.54999999999</v>
      </c>
      <c r="K1490" t="s">
        <v>22</v>
      </c>
      <c r="L1490">
        <v>9.9242634441183628E-2</v>
      </c>
      <c r="M1490" t="s">
        <v>23</v>
      </c>
      <c r="N1490">
        <v>1</v>
      </c>
      <c r="O1490">
        <v>0</v>
      </c>
      <c r="P1490" t="s">
        <v>34</v>
      </c>
      <c r="Q1490" t="s">
        <v>36</v>
      </c>
      <c r="R1490" t="s">
        <v>38</v>
      </c>
      <c r="S1490" t="s">
        <v>37</v>
      </c>
      <c r="T1490" t="s">
        <v>28</v>
      </c>
      <c r="U1490">
        <f t="shared" si="23"/>
        <v>0</v>
      </c>
    </row>
    <row r="1491" spans="1:21" x14ac:dyDescent="0.2">
      <c r="A1491">
        <v>738</v>
      </c>
      <c r="B1491" t="s">
        <v>20</v>
      </c>
      <c r="C1491" t="s">
        <v>21</v>
      </c>
      <c r="D1491">
        <v>49</v>
      </c>
      <c r="E1491">
        <v>3</v>
      </c>
      <c r="F1491">
        <v>0</v>
      </c>
      <c r="G1491">
        <v>3</v>
      </c>
      <c r="H1491" t="s">
        <v>22</v>
      </c>
      <c r="I1491" t="s">
        <v>22</v>
      </c>
      <c r="J1491">
        <v>65066.48</v>
      </c>
      <c r="K1491" t="s">
        <v>22</v>
      </c>
      <c r="L1491">
        <v>9.4835787458997692E-2</v>
      </c>
      <c r="M1491" t="s">
        <v>23</v>
      </c>
      <c r="N1491">
        <v>1</v>
      </c>
      <c r="O1491">
        <v>0</v>
      </c>
      <c r="P1491" t="s">
        <v>34</v>
      </c>
      <c r="Q1491" t="s">
        <v>25</v>
      </c>
      <c r="R1491" t="s">
        <v>29</v>
      </c>
      <c r="S1491" t="s">
        <v>37</v>
      </c>
      <c r="T1491" t="s">
        <v>40</v>
      </c>
      <c r="U1491">
        <f t="shared" si="23"/>
        <v>0</v>
      </c>
    </row>
    <row r="1492" spans="1:21" x14ac:dyDescent="0.2">
      <c r="A1492">
        <v>512</v>
      </c>
      <c r="B1492" t="s">
        <v>42</v>
      </c>
      <c r="C1492" t="s">
        <v>21</v>
      </c>
      <c r="D1492">
        <v>51</v>
      </c>
      <c r="E1492">
        <v>6</v>
      </c>
      <c r="F1492">
        <v>144953.31</v>
      </c>
      <c r="G1492">
        <v>1</v>
      </c>
      <c r="H1492" t="s">
        <v>22</v>
      </c>
      <c r="I1492" t="s">
        <v>22</v>
      </c>
      <c r="J1492">
        <v>165035.17000000001</v>
      </c>
      <c r="K1492" t="s">
        <v>23</v>
      </c>
      <c r="L1492">
        <v>0.19616084075754059</v>
      </c>
      <c r="M1492" t="s">
        <v>23</v>
      </c>
      <c r="N1492">
        <v>0</v>
      </c>
      <c r="O1492">
        <v>0</v>
      </c>
      <c r="P1492" t="s">
        <v>34</v>
      </c>
      <c r="Q1492" t="s">
        <v>44</v>
      </c>
      <c r="R1492" t="s">
        <v>26</v>
      </c>
      <c r="S1492" t="s">
        <v>30</v>
      </c>
      <c r="T1492" t="s">
        <v>31</v>
      </c>
      <c r="U1492">
        <f t="shared" si="23"/>
        <v>1</v>
      </c>
    </row>
    <row r="1493" spans="1:21" x14ac:dyDescent="0.2">
      <c r="A1493">
        <v>635</v>
      </c>
      <c r="B1493" t="s">
        <v>42</v>
      </c>
      <c r="C1493" t="s">
        <v>21</v>
      </c>
      <c r="D1493">
        <v>41</v>
      </c>
      <c r="E1493">
        <v>4</v>
      </c>
      <c r="F1493">
        <v>103544.88</v>
      </c>
      <c r="G1493">
        <v>2</v>
      </c>
      <c r="H1493" t="s">
        <v>22</v>
      </c>
      <c r="I1493" t="s">
        <v>23</v>
      </c>
      <c r="J1493">
        <v>193746.55</v>
      </c>
      <c r="K1493" t="s">
        <v>23</v>
      </c>
      <c r="L1493">
        <v>0.21400025870631981</v>
      </c>
      <c r="M1493" t="s">
        <v>23</v>
      </c>
      <c r="N1493">
        <v>0</v>
      </c>
      <c r="O1493">
        <v>0</v>
      </c>
      <c r="P1493" t="s">
        <v>24</v>
      </c>
      <c r="Q1493" t="s">
        <v>25</v>
      </c>
      <c r="R1493" t="s">
        <v>26</v>
      </c>
      <c r="S1493" t="s">
        <v>27</v>
      </c>
      <c r="T1493" t="s">
        <v>31</v>
      </c>
      <c r="U1493">
        <f t="shared" si="23"/>
        <v>1</v>
      </c>
    </row>
    <row r="1494" spans="1:21" x14ac:dyDescent="0.2">
      <c r="A1494">
        <v>708</v>
      </c>
      <c r="B1494" t="s">
        <v>42</v>
      </c>
      <c r="C1494" t="s">
        <v>21</v>
      </c>
      <c r="D1494">
        <v>52</v>
      </c>
      <c r="E1494">
        <v>10</v>
      </c>
      <c r="F1494">
        <v>105355.81</v>
      </c>
      <c r="G1494">
        <v>1</v>
      </c>
      <c r="H1494" t="s">
        <v>22</v>
      </c>
      <c r="I1494" t="s">
        <v>23</v>
      </c>
      <c r="J1494">
        <v>123.07</v>
      </c>
      <c r="K1494" t="s">
        <v>22</v>
      </c>
      <c r="L1494">
        <v>0.34156138996453678</v>
      </c>
      <c r="M1494" t="s">
        <v>23</v>
      </c>
      <c r="N1494">
        <v>1</v>
      </c>
      <c r="O1494">
        <v>0</v>
      </c>
      <c r="P1494" t="s">
        <v>24</v>
      </c>
      <c r="Q1494" t="s">
        <v>44</v>
      </c>
      <c r="R1494" t="s">
        <v>26</v>
      </c>
      <c r="S1494" t="s">
        <v>37</v>
      </c>
      <c r="T1494" t="s">
        <v>35</v>
      </c>
      <c r="U1494">
        <f t="shared" si="23"/>
        <v>0</v>
      </c>
    </row>
    <row r="1495" spans="1:21" x14ac:dyDescent="0.2">
      <c r="A1495">
        <v>422</v>
      </c>
      <c r="B1495" t="s">
        <v>20</v>
      </c>
      <c r="C1495" t="s">
        <v>32</v>
      </c>
      <c r="D1495">
        <v>54</v>
      </c>
      <c r="E1495">
        <v>4</v>
      </c>
      <c r="F1495">
        <v>0</v>
      </c>
      <c r="G1495">
        <v>2</v>
      </c>
      <c r="H1495" t="s">
        <v>22</v>
      </c>
      <c r="I1495" t="s">
        <v>22</v>
      </c>
      <c r="J1495">
        <v>7166.71</v>
      </c>
      <c r="K1495" t="s">
        <v>23</v>
      </c>
      <c r="L1495">
        <v>0.25572156676575591</v>
      </c>
      <c r="M1495" t="s">
        <v>23</v>
      </c>
      <c r="N1495">
        <v>0</v>
      </c>
      <c r="O1495">
        <v>0</v>
      </c>
      <c r="P1495" t="s">
        <v>24</v>
      </c>
      <c r="Q1495" t="s">
        <v>44</v>
      </c>
      <c r="R1495" t="s">
        <v>29</v>
      </c>
      <c r="S1495" t="s">
        <v>45</v>
      </c>
      <c r="T1495" t="s">
        <v>35</v>
      </c>
      <c r="U1495">
        <f t="shared" si="23"/>
        <v>1</v>
      </c>
    </row>
    <row r="1496" spans="1:21" x14ac:dyDescent="0.2">
      <c r="A1496">
        <v>718</v>
      </c>
      <c r="B1496" t="s">
        <v>42</v>
      </c>
      <c r="C1496" t="s">
        <v>21</v>
      </c>
      <c r="D1496">
        <v>52</v>
      </c>
      <c r="E1496">
        <v>8</v>
      </c>
      <c r="F1496">
        <v>79475.3</v>
      </c>
      <c r="G1496">
        <v>3</v>
      </c>
      <c r="H1496" t="s">
        <v>22</v>
      </c>
      <c r="I1496" t="s">
        <v>22</v>
      </c>
      <c r="J1496">
        <v>32421.32</v>
      </c>
      <c r="K1496" t="s">
        <v>22</v>
      </c>
      <c r="L1496">
        <v>0.1224117622706314</v>
      </c>
      <c r="M1496" t="s">
        <v>23</v>
      </c>
      <c r="N1496">
        <v>1</v>
      </c>
      <c r="O1496">
        <v>0</v>
      </c>
      <c r="P1496" t="s">
        <v>34</v>
      </c>
      <c r="Q1496" t="s">
        <v>44</v>
      </c>
      <c r="R1496" t="s">
        <v>38</v>
      </c>
      <c r="S1496" t="s">
        <v>37</v>
      </c>
      <c r="T1496" t="s">
        <v>35</v>
      </c>
      <c r="U1496">
        <f t="shared" si="23"/>
        <v>0</v>
      </c>
    </row>
    <row r="1497" spans="1:21" x14ac:dyDescent="0.2">
      <c r="A1497">
        <v>481</v>
      </c>
      <c r="B1497" t="s">
        <v>20</v>
      </c>
      <c r="C1497" t="s">
        <v>32</v>
      </c>
      <c r="D1497">
        <v>37</v>
      </c>
      <c r="E1497">
        <v>8</v>
      </c>
      <c r="F1497">
        <v>0</v>
      </c>
      <c r="G1497">
        <v>2</v>
      </c>
      <c r="H1497" t="s">
        <v>22</v>
      </c>
      <c r="I1497" t="s">
        <v>23</v>
      </c>
      <c r="J1497">
        <v>44215.86</v>
      </c>
      <c r="K1497" t="s">
        <v>23</v>
      </c>
      <c r="L1497">
        <v>0.20823246118488509</v>
      </c>
      <c r="M1497" t="s">
        <v>23</v>
      </c>
      <c r="N1497">
        <v>0</v>
      </c>
      <c r="O1497">
        <v>0</v>
      </c>
      <c r="P1497" t="s">
        <v>24</v>
      </c>
      <c r="Q1497" t="s">
        <v>33</v>
      </c>
      <c r="R1497" t="s">
        <v>29</v>
      </c>
      <c r="S1497" t="s">
        <v>45</v>
      </c>
      <c r="T1497" t="s">
        <v>35</v>
      </c>
      <c r="U1497">
        <f t="shared" si="23"/>
        <v>1</v>
      </c>
    </row>
    <row r="1498" spans="1:21" x14ac:dyDescent="0.2">
      <c r="A1498">
        <v>682</v>
      </c>
      <c r="B1498" t="s">
        <v>42</v>
      </c>
      <c r="C1498" t="s">
        <v>21</v>
      </c>
      <c r="D1498">
        <v>26</v>
      </c>
      <c r="E1498">
        <v>8</v>
      </c>
      <c r="F1498">
        <v>0</v>
      </c>
      <c r="G1498">
        <v>2</v>
      </c>
      <c r="H1498" t="s">
        <v>22</v>
      </c>
      <c r="I1498" t="s">
        <v>23</v>
      </c>
      <c r="J1498">
        <v>178373.43</v>
      </c>
      <c r="K1498" t="s">
        <v>23</v>
      </c>
      <c r="L1498">
        <v>5.7349369792396063E-2</v>
      </c>
      <c r="M1498" t="s">
        <v>23</v>
      </c>
      <c r="N1498">
        <v>0</v>
      </c>
      <c r="O1498">
        <v>0</v>
      </c>
      <c r="P1498" t="s">
        <v>34</v>
      </c>
      <c r="Q1498" t="s">
        <v>36</v>
      </c>
      <c r="R1498" t="s">
        <v>29</v>
      </c>
      <c r="S1498" t="s">
        <v>27</v>
      </c>
      <c r="T1498" t="s">
        <v>31</v>
      </c>
      <c r="U1498">
        <f t="shared" si="23"/>
        <v>1</v>
      </c>
    </row>
    <row r="1499" spans="1:21" x14ac:dyDescent="0.2">
      <c r="A1499">
        <v>694</v>
      </c>
      <c r="B1499" t="s">
        <v>20</v>
      </c>
      <c r="C1499" t="s">
        <v>32</v>
      </c>
      <c r="D1499">
        <v>39</v>
      </c>
      <c r="E1499">
        <v>9</v>
      </c>
      <c r="F1499">
        <v>0</v>
      </c>
      <c r="G1499">
        <v>2</v>
      </c>
      <c r="H1499" t="s">
        <v>23</v>
      </c>
      <c r="I1499" t="s">
        <v>23</v>
      </c>
      <c r="J1499">
        <v>99924.04</v>
      </c>
      <c r="K1499" t="s">
        <v>23</v>
      </c>
      <c r="L1499">
        <v>0.2155992662298182</v>
      </c>
      <c r="M1499" t="s">
        <v>23</v>
      </c>
      <c r="N1499">
        <v>0</v>
      </c>
      <c r="O1499">
        <v>0</v>
      </c>
      <c r="P1499" t="s">
        <v>24</v>
      </c>
      <c r="Q1499" t="s">
        <v>33</v>
      </c>
      <c r="R1499" t="s">
        <v>29</v>
      </c>
      <c r="S1499" t="s">
        <v>27</v>
      </c>
      <c r="T1499" t="s">
        <v>40</v>
      </c>
      <c r="U1499">
        <f t="shared" si="23"/>
        <v>1</v>
      </c>
    </row>
    <row r="1500" spans="1:21" x14ac:dyDescent="0.2">
      <c r="A1500">
        <v>794</v>
      </c>
      <c r="B1500" t="s">
        <v>20</v>
      </c>
      <c r="C1500" t="s">
        <v>32</v>
      </c>
      <c r="D1500">
        <v>30</v>
      </c>
      <c r="E1500">
        <v>1</v>
      </c>
      <c r="F1500">
        <v>154970.54</v>
      </c>
      <c r="G1500">
        <v>1</v>
      </c>
      <c r="H1500" t="s">
        <v>23</v>
      </c>
      <c r="I1500" t="s">
        <v>22</v>
      </c>
      <c r="J1500">
        <v>156768.45000000001</v>
      </c>
      <c r="K1500" t="s">
        <v>23</v>
      </c>
      <c r="L1500">
        <v>8.1572625654361533E-2</v>
      </c>
      <c r="M1500" t="s">
        <v>23</v>
      </c>
      <c r="N1500">
        <v>0</v>
      </c>
      <c r="O1500">
        <v>0</v>
      </c>
      <c r="P1500" t="s">
        <v>34</v>
      </c>
      <c r="Q1500" t="s">
        <v>36</v>
      </c>
      <c r="R1500" t="s">
        <v>47</v>
      </c>
      <c r="S1500" t="s">
        <v>37</v>
      </c>
      <c r="T1500" t="s">
        <v>31</v>
      </c>
      <c r="U1500">
        <f t="shared" si="23"/>
        <v>1</v>
      </c>
    </row>
    <row r="1501" spans="1:21" x14ac:dyDescent="0.2">
      <c r="A1501">
        <v>736</v>
      </c>
      <c r="B1501" t="s">
        <v>42</v>
      </c>
      <c r="C1501" t="s">
        <v>21</v>
      </c>
      <c r="D1501">
        <v>29</v>
      </c>
      <c r="E1501">
        <v>4</v>
      </c>
      <c r="F1501">
        <v>0</v>
      </c>
      <c r="G1501">
        <v>2</v>
      </c>
      <c r="H1501" t="s">
        <v>23</v>
      </c>
      <c r="I1501" t="s">
        <v>23</v>
      </c>
      <c r="J1501">
        <v>51705.01</v>
      </c>
      <c r="K1501" t="s">
        <v>23</v>
      </c>
      <c r="L1501">
        <v>7.0801447154264924E-2</v>
      </c>
      <c r="M1501" t="s">
        <v>23</v>
      </c>
      <c r="N1501">
        <v>0</v>
      </c>
      <c r="O1501">
        <v>0</v>
      </c>
      <c r="P1501" t="s">
        <v>34</v>
      </c>
      <c r="Q1501" t="s">
        <v>36</v>
      </c>
      <c r="R1501" t="s">
        <v>29</v>
      </c>
      <c r="S1501" t="s">
        <v>37</v>
      </c>
      <c r="T1501" t="s">
        <v>40</v>
      </c>
      <c r="U1501">
        <f t="shared" si="23"/>
        <v>1</v>
      </c>
    </row>
    <row r="1502" spans="1:21" x14ac:dyDescent="0.2">
      <c r="A1502">
        <v>537</v>
      </c>
      <c r="B1502" t="s">
        <v>42</v>
      </c>
      <c r="C1502" t="s">
        <v>32</v>
      </c>
      <c r="D1502">
        <v>45</v>
      </c>
      <c r="E1502">
        <v>7</v>
      </c>
      <c r="F1502">
        <v>158621.04</v>
      </c>
      <c r="G1502">
        <v>1</v>
      </c>
      <c r="H1502" t="s">
        <v>22</v>
      </c>
      <c r="I1502" t="s">
        <v>23</v>
      </c>
      <c r="J1502">
        <v>120892.96</v>
      </c>
      <c r="K1502" t="s">
        <v>22</v>
      </c>
      <c r="L1502">
        <v>0.43943586462364248</v>
      </c>
      <c r="M1502" t="s">
        <v>23</v>
      </c>
      <c r="N1502">
        <v>1</v>
      </c>
      <c r="O1502">
        <v>0</v>
      </c>
      <c r="P1502" t="s">
        <v>24</v>
      </c>
      <c r="Q1502" t="s">
        <v>25</v>
      </c>
      <c r="R1502" t="s">
        <v>47</v>
      </c>
      <c r="S1502" t="s">
        <v>30</v>
      </c>
      <c r="T1502" t="s">
        <v>28</v>
      </c>
      <c r="U1502">
        <f t="shared" si="23"/>
        <v>0</v>
      </c>
    </row>
    <row r="1503" spans="1:21" x14ac:dyDescent="0.2">
      <c r="A1503">
        <v>822</v>
      </c>
      <c r="B1503" t="s">
        <v>41</v>
      </c>
      <c r="C1503" t="s">
        <v>32</v>
      </c>
      <c r="D1503">
        <v>46</v>
      </c>
      <c r="E1503">
        <v>3</v>
      </c>
      <c r="F1503">
        <v>115074.02</v>
      </c>
      <c r="G1503">
        <v>2</v>
      </c>
      <c r="H1503" t="s">
        <v>22</v>
      </c>
      <c r="I1503" t="s">
        <v>23</v>
      </c>
      <c r="J1503">
        <v>26249.86</v>
      </c>
      <c r="K1503" t="s">
        <v>23</v>
      </c>
      <c r="L1503">
        <v>0.55758501864249532</v>
      </c>
      <c r="M1503" t="s">
        <v>22</v>
      </c>
      <c r="N1503">
        <v>0</v>
      </c>
      <c r="O1503">
        <v>1</v>
      </c>
      <c r="P1503" t="s">
        <v>43</v>
      </c>
      <c r="Q1503" t="s">
        <v>25</v>
      </c>
      <c r="R1503" t="s">
        <v>26</v>
      </c>
      <c r="S1503" t="s">
        <v>39</v>
      </c>
      <c r="T1503" t="s">
        <v>35</v>
      </c>
      <c r="U1503">
        <f t="shared" si="23"/>
        <v>0</v>
      </c>
    </row>
    <row r="1504" spans="1:21" x14ac:dyDescent="0.2">
      <c r="A1504">
        <v>670</v>
      </c>
      <c r="B1504" t="s">
        <v>20</v>
      </c>
      <c r="C1504" t="s">
        <v>32</v>
      </c>
      <c r="D1504">
        <v>40</v>
      </c>
      <c r="E1504">
        <v>3</v>
      </c>
      <c r="F1504">
        <v>0</v>
      </c>
      <c r="G1504">
        <v>1</v>
      </c>
      <c r="H1504" t="s">
        <v>22</v>
      </c>
      <c r="I1504" t="s">
        <v>22</v>
      </c>
      <c r="J1504">
        <v>182650.15</v>
      </c>
      <c r="K1504" t="s">
        <v>23</v>
      </c>
      <c r="L1504">
        <v>0.11361362863369499</v>
      </c>
      <c r="M1504" t="s">
        <v>23</v>
      </c>
      <c r="N1504">
        <v>0</v>
      </c>
      <c r="O1504">
        <v>0</v>
      </c>
      <c r="P1504" t="s">
        <v>34</v>
      </c>
      <c r="Q1504" t="s">
        <v>33</v>
      </c>
      <c r="R1504" t="s">
        <v>29</v>
      </c>
      <c r="S1504" t="s">
        <v>27</v>
      </c>
      <c r="T1504" t="s">
        <v>31</v>
      </c>
      <c r="U1504">
        <f t="shared" si="23"/>
        <v>1</v>
      </c>
    </row>
    <row r="1505" spans="1:21" x14ac:dyDescent="0.2">
      <c r="A1505">
        <v>723</v>
      </c>
      <c r="B1505" t="s">
        <v>41</v>
      </c>
      <c r="C1505" t="s">
        <v>32</v>
      </c>
      <c r="D1505">
        <v>68</v>
      </c>
      <c r="E1505">
        <v>3</v>
      </c>
      <c r="F1505">
        <v>110357</v>
      </c>
      <c r="G1505">
        <v>1</v>
      </c>
      <c r="H1505" t="s">
        <v>23</v>
      </c>
      <c r="I1505" t="s">
        <v>23</v>
      </c>
      <c r="J1505">
        <v>141977.54</v>
      </c>
      <c r="K1505" t="s">
        <v>22</v>
      </c>
      <c r="L1505">
        <v>0.89245837007016504</v>
      </c>
      <c r="M1505" t="s">
        <v>22</v>
      </c>
      <c r="N1505">
        <v>1</v>
      </c>
      <c r="O1505">
        <v>1</v>
      </c>
      <c r="P1505" t="s">
        <v>43</v>
      </c>
      <c r="Q1505" t="s">
        <v>46</v>
      </c>
      <c r="R1505" t="s">
        <v>26</v>
      </c>
      <c r="S1505" t="s">
        <v>37</v>
      </c>
      <c r="T1505" t="s">
        <v>28</v>
      </c>
      <c r="U1505">
        <f t="shared" si="23"/>
        <v>1</v>
      </c>
    </row>
    <row r="1506" spans="1:21" x14ac:dyDescent="0.2">
      <c r="A1506">
        <v>517</v>
      </c>
      <c r="B1506" t="s">
        <v>41</v>
      </c>
      <c r="C1506" t="s">
        <v>32</v>
      </c>
      <c r="D1506">
        <v>59</v>
      </c>
      <c r="E1506">
        <v>8</v>
      </c>
      <c r="F1506">
        <v>154110.99</v>
      </c>
      <c r="G1506">
        <v>2</v>
      </c>
      <c r="H1506" t="s">
        <v>22</v>
      </c>
      <c r="I1506" t="s">
        <v>23</v>
      </c>
      <c r="J1506">
        <v>101240.08</v>
      </c>
      <c r="K1506" t="s">
        <v>22</v>
      </c>
      <c r="L1506">
        <v>0.80978731910682888</v>
      </c>
      <c r="M1506" t="s">
        <v>22</v>
      </c>
      <c r="N1506">
        <v>1</v>
      </c>
      <c r="O1506">
        <v>1</v>
      </c>
      <c r="P1506" t="s">
        <v>43</v>
      </c>
      <c r="Q1506" t="s">
        <v>44</v>
      </c>
      <c r="R1506" t="s">
        <v>47</v>
      </c>
      <c r="S1506" t="s">
        <v>30</v>
      </c>
      <c r="T1506" t="s">
        <v>28</v>
      </c>
      <c r="U1506">
        <f t="shared" si="23"/>
        <v>1</v>
      </c>
    </row>
    <row r="1507" spans="1:21" x14ac:dyDescent="0.2">
      <c r="A1507">
        <v>766</v>
      </c>
      <c r="B1507" t="s">
        <v>42</v>
      </c>
      <c r="C1507" t="s">
        <v>21</v>
      </c>
      <c r="D1507">
        <v>32</v>
      </c>
      <c r="E1507">
        <v>6</v>
      </c>
      <c r="F1507">
        <v>185714.28</v>
      </c>
      <c r="G1507">
        <v>1</v>
      </c>
      <c r="H1507" t="s">
        <v>22</v>
      </c>
      <c r="I1507" t="s">
        <v>22</v>
      </c>
      <c r="J1507">
        <v>102502.5</v>
      </c>
      <c r="K1507" t="s">
        <v>23</v>
      </c>
      <c r="L1507">
        <v>5.1099648281273842E-2</v>
      </c>
      <c r="M1507" t="s">
        <v>23</v>
      </c>
      <c r="N1507">
        <v>0</v>
      </c>
      <c r="O1507">
        <v>0</v>
      </c>
      <c r="P1507" t="s">
        <v>34</v>
      </c>
      <c r="Q1507" t="s">
        <v>33</v>
      </c>
      <c r="R1507" t="s">
        <v>47</v>
      </c>
      <c r="S1507" t="s">
        <v>37</v>
      </c>
      <c r="T1507" t="s">
        <v>28</v>
      </c>
      <c r="U1507">
        <f t="shared" si="23"/>
        <v>1</v>
      </c>
    </row>
    <row r="1508" spans="1:21" x14ac:dyDescent="0.2">
      <c r="A1508">
        <v>722</v>
      </c>
      <c r="B1508" t="s">
        <v>20</v>
      </c>
      <c r="C1508" t="s">
        <v>32</v>
      </c>
      <c r="D1508">
        <v>32</v>
      </c>
      <c r="E1508">
        <v>4</v>
      </c>
      <c r="F1508">
        <v>0</v>
      </c>
      <c r="G1508">
        <v>2</v>
      </c>
      <c r="H1508" t="s">
        <v>22</v>
      </c>
      <c r="I1508" t="s">
        <v>22</v>
      </c>
      <c r="J1508">
        <v>113666.48</v>
      </c>
      <c r="K1508" t="s">
        <v>23</v>
      </c>
      <c r="L1508">
        <v>5.4977287056018197E-2</v>
      </c>
      <c r="M1508" t="s">
        <v>23</v>
      </c>
      <c r="N1508">
        <v>0</v>
      </c>
      <c r="O1508">
        <v>0</v>
      </c>
      <c r="P1508" t="s">
        <v>34</v>
      </c>
      <c r="Q1508" t="s">
        <v>33</v>
      </c>
      <c r="R1508" t="s">
        <v>29</v>
      </c>
      <c r="S1508" t="s">
        <v>37</v>
      </c>
      <c r="T1508" t="s">
        <v>28</v>
      </c>
      <c r="U1508">
        <f t="shared" si="23"/>
        <v>1</v>
      </c>
    </row>
    <row r="1509" spans="1:21" x14ac:dyDescent="0.2">
      <c r="A1509">
        <v>590</v>
      </c>
      <c r="B1509" t="s">
        <v>42</v>
      </c>
      <c r="C1509" t="s">
        <v>21</v>
      </c>
      <c r="D1509">
        <v>39</v>
      </c>
      <c r="E1509">
        <v>9</v>
      </c>
      <c r="F1509">
        <v>0</v>
      </c>
      <c r="G1509">
        <v>2</v>
      </c>
      <c r="H1509" t="s">
        <v>22</v>
      </c>
      <c r="I1509" t="s">
        <v>22</v>
      </c>
      <c r="J1509">
        <v>104730.52</v>
      </c>
      <c r="K1509" t="s">
        <v>23</v>
      </c>
      <c r="L1509">
        <v>5.0941872285449608E-2</v>
      </c>
      <c r="M1509" t="s">
        <v>23</v>
      </c>
      <c r="N1509">
        <v>0</v>
      </c>
      <c r="O1509">
        <v>0</v>
      </c>
      <c r="P1509" t="s">
        <v>34</v>
      </c>
      <c r="Q1509" t="s">
        <v>33</v>
      </c>
      <c r="R1509" t="s">
        <v>29</v>
      </c>
      <c r="S1509" t="s">
        <v>30</v>
      </c>
      <c r="T1509" t="s">
        <v>28</v>
      </c>
      <c r="U1509">
        <f t="shared" si="23"/>
        <v>1</v>
      </c>
    </row>
    <row r="1510" spans="1:21" x14ac:dyDescent="0.2">
      <c r="A1510">
        <v>631</v>
      </c>
      <c r="B1510" t="s">
        <v>20</v>
      </c>
      <c r="C1510" t="s">
        <v>21</v>
      </c>
      <c r="D1510">
        <v>38</v>
      </c>
      <c r="E1510">
        <v>7</v>
      </c>
      <c r="F1510">
        <v>0</v>
      </c>
      <c r="G1510">
        <v>2</v>
      </c>
      <c r="H1510" t="s">
        <v>22</v>
      </c>
      <c r="I1510" t="s">
        <v>23</v>
      </c>
      <c r="J1510">
        <v>181605.85</v>
      </c>
      <c r="K1510" t="s">
        <v>23</v>
      </c>
      <c r="L1510">
        <v>0.13987992002267241</v>
      </c>
      <c r="M1510" t="s">
        <v>23</v>
      </c>
      <c r="N1510">
        <v>0</v>
      </c>
      <c r="O1510">
        <v>0</v>
      </c>
      <c r="P1510" t="s">
        <v>34</v>
      </c>
      <c r="Q1510" t="s">
        <v>33</v>
      </c>
      <c r="R1510" t="s">
        <v>29</v>
      </c>
      <c r="S1510" t="s">
        <v>27</v>
      </c>
      <c r="T1510" t="s">
        <v>31</v>
      </c>
      <c r="U1510">
        <f t="shared" si="23"/>
        <v>1</v>
      </c>
    </row>
    <row r="1511" spans="1:21" x14ac:dyDescent="0.2">
      <c r="A1511">
        <v>808</v>
      </c>
      <c r="B1511" t="s">
        <v>20</v>
      </c>
      <c r="C1511" t="s">
        <v>21</v>
      </c>
      <c r="D1511">
        <v>25</v>
      </c>
      <c r="E1511">
        <v>7</v>
      </c>
      <c r="F1511">
        <v>0</v>
      </c>
      <c r="G1511">
        <v>2</v>
      </c>
      <c r="H1511" t="s">
        <v>23</v>
      </c>
      <c r="I1511" t="s">
        <v>22</v>
      </c>
      <c r="J1511">
        <v>23180.37</v>
      </c>
      <c r="K1511" t="s">
        <v>23</v>
      </c>
      <c r="L1511">
        <v>1.7174128726033001E-2</v>
      </c>
      <c r="M1511" t="s">
        <v>23</v>
      </c>
      <c r="N1511">
        <v>0</v>
      </c>
      <c r="O1511">
        <v>0</v>
      </c>
      <c r="P1511" t="s">
        <v>34</v>
      </c>
      <c r="Q1511" t="s">
        <v>36</v>
      </c>
      <c r="R1511" t="s">
        <v>29</v>
      </c>
      <c r="S1511" t="s">
        <v>39</v>
      </c>
      <c r="T1511" t="s">
        <v>35</v>
      </c>
      <c r="U1511">
        <f t="shared" si="23"/>
        <v>1</v>
      </c>
    </row>
    <row r="1512" spans="1:21" x14ac:dyDescent="0.2">
      <c r="A1512">
        <v>705</v>
      </c>
      <c r="B1512" t="s">
        <v>41</v>
      </c>
      <c r="C1512" t="s">
        <v>32</v>
      </c>
      <c r="D1512">
        <v>40</v>
      </c>
      <c r="E1512">
        <v>3</v>
      </c>
      <c r="F1512">
        <v>92889.91</v>
      </c>
      <c r="G1512">
        <v>1</v>
      </c>
      <c r="H1512" t="s">
        <v>22</v>
      </c>
      <c r="I1512" t="s">
        <v>22</v>
      </c>
      <c r="J1512">
        <v>109496.69</v>
      </c>
      <c r="K1512" t="s">
        <v>23</v>
      </c>
      <c r="L1512">
        <v>0.24438860242762789</v>
      </c>
      <c r="M1512" t="s">
        <v>23</v>
      </c>
      <c r="N1512">
        <v>0</v>
      </c>
      <c r="O1512">
        <v>0</v>
      </c>
      <c r="P1512" t="s">
        <v>24</v>
      </c>
      <c r="Q1512" t="s">
        <v>33</v>
      </c>
      <c r="R1512" t="s">
        <v>38</v>
      </c>
      <c r="S1512" t="s">
        <v>37</v>
      </c>
      <c r="T1512" t="s">
        <v>28</v>
      </c>
      <c r="U1512">
        <f t="shared" si="23"/>
        <v>1</v>
      </c>
    </row>
    <row r="1513" spans="1:21" x14ac:dyDescent="0.2">
      <c r="A1513">
        <v>713</v>
      </c>
      <c r="B1513" t="s">
        <v>41</v>
      </c>
      <c r="C1513" t="s">
        <v>21</v>
      </c>
      <c r="D1513">
        <v>45</v>
      </c>
      <c r="E1513">
        <v>4</v>
      </c>
      <c r="F1513">
        <v>131038.14</v>
      </c>
      <c r="G1513">
        <v>1</v>
      </c>
      <c r="H1513" t="s">
        <v>22</v>
      </c>
      <c r="I1513" t="s">
        <v>23</v>
      </c>
      <c r="J1513">
        <v>74005.039999999994</v>
      </c>
      <c r="K1513" t="s">
        <v>22</v>
      </c>
      <c r="L1513">
        <v>0.45940971416190968</v>
      </c>
      <c r="M1513" t="s">
        <v>23</v>
      </c>
      <c r="N1513">
        <v>1</v>
      </c>
      <c r="O1513">
        <v>0</v>
      </c>
      <c r="P1513" t="s">
        <v>24</v>
      </c>
      <c r="Q1513" t="s">
        <v>25</v>
      </c>
      <c r="R1513" t="s">
        <v>26</v>
      </c>
      <c r="S1513" t="s">
        <v>37</v>
      </c>
      <c r="T1513" t="s">
        <v>40</v>
      </c>
      <c r="U1513">
        <f t="shared" si="23"/>
        <v>0</v>
      </c>
    </row>
    <row r="1514" spans="1:21" x14ac:dyDescent="0.2">
      <c r="A1514">
        <v>634</v>
      </c>
      <c r="B1514" t="s">
        <v>41</v>
      </c>
      <c r="C1514" t="s">
        <v>21</v>
      </c>
      <c r="D1514">
        <v>74</v>
      </c>
      <c r="E1514">
        <v>5</v>
      </c>
      <c r="F1514">
        <v>108891.7</v>
      </c>
      <c r="G1514">
        <v>1</v>
      </c>
      <c r="H1514" t="s">
        <v>22</v>
      </c>
      <c r="I1514" t="s">
        <v>23</v>
      </c>
      <c r="J1514">
        <v>10078.02</v>
      </c>
      <c r="K1514" t="s">
        <v>23</v>
      </c>
      <c r="L1514">
        <v>0.87267531631387418</v>
      </c>
      <c r="M1514" t="s">
        <v>22</v>
      </c>
      <c r="N1514">
        <v>0</v>
      </c>
      <c r="O1514">
        <v>1</v>
      </c>
      <c r="P1514" t="s">
        <v>43</v>
      </c>
      <c r="Q1514" t="s">
        <v>46</v>
      </c>
      <c r="R1514" t="s">
        <v>26</v>
      </c>
      <c r="S1514" t="s">
        <v>27</v>
      </c>
      <c r="T1514" t="s">
        <v>35</v>
      </c>
      <c r="U1514">
        <f t="shared" si="23"/>
        <v>0</v>
      </c>
    </row>
    <row r="1515" spans="1:21" x14ac:dyDescent="0.2">
      <c r="A1515">
        <v>777</v>
      </c>
      <c r="B1515" t="s">
        <v>42</v>
      </c>
      <c r="C1515" t="s">
        <v>32</v>
      </c>
      <c r="D1515">
        <v>29</v>
      </c>
      <c r="E1515">
        <v>9</v>
      </c>
      <c r="F1515">
        <v>131240.60999999999</v>
      </c>
      <c r="G1515">
        <v>1</v>
      </c>
      <c r="H1515" t="s">
        <v>22</v>
      </c>
      <c r="I1515" t="s">
        <v>22</v>
      </c>
      <c r="J1515">
        <v>163746.09</v>
      </c>
      <c r="K1515" t="s">
        <v>22</v>
      </c>
      <c r="L1515">
        <v>5.8970818823565009E-2</v>
      </c>
      <c r="M1515" t="s">
        <v>23</v>
      </c>
      <c r="N1515">
        <v>1</v>
      </c>
      <c r="O1515">
        <v>0</v>
      </c>
      <c r="P1515" t="s">
        <v>34</v>
      </c>
      <c r="Q1515" t="s">
        <v>36</v>
      </c>
      <c r="R1515" t="s">
        <v>26</v>
      </c>
      <c r="S1515" t="s">
        <v>37</v>
      </c>
      <c r="T1515" t="s">
        <v>31</v>
      </c>
      <c r="U1515">
        <f t="shared" si="23"/>
        <v>0</v>
      </c>
    </row>
    <row r="1516" spans="1:21" x14ac:dyDescent="0.2">
      <c r="A1516">
        <v>506</v>
      </c>
      <c r="B1516" t="s">
        <v>42</v>
      </c>
      <c r="C1516" t="s">
        <v>32</v>
      </c>
      <c r="D1516">
        <v>40</v>
      </c>
      <c r="E1516">
        <v>3</v>
      </c>
      <c r="F1516">
        <v>0</v>
      </c>
      <c r="G1516">
        <v>1</v>
      </c>
      <c r="H1516" t="s">
        <v>22</v>
      </c>
      <c r="I1516" t="s">
        <v>22</v>
      </c>
      <c r="J1516">
        <v>144345.57999999999</v>
      </c>
      <c r="K1516" t="s">
        <v>23</v>
      </c>
      <c r="L1516">
        <v>0.11913341218193001</v>
      </c>
      <c r="M1516" t="s">
        <v>23</v>
      </c>
      <c r="N1516">
        <v>0</v>
      </c>
      <c r="O1516">
        <v>0</v>
      </c>
      <c r="P1516" t="s">
        <v>34</v>
      </c>
      <c r="Q1516" t="s">
        <v>33</v>
      </c>
      <c r="R1516" t="s">
        <v>29</v>
      </c>
      <c r="S1516" t="s">
        <v>30</v>
      </c>
      <c r="T1516" t="s">
        <v>28</v>
      </c>
      <c r="U1516">
        <f t="shared" si="23"/>
        <v>1</v>
      </c>
    </row>
    <row r="1517" spans="1:21" x14ac:dyDescent="0.2">
      <c r="A1517">
        <v>612</v>
      </c>
      <c r="B1517" t="s">
        <v>41</v>
      </c>
      <c r="C1517" t="s">
        <v>21</v>
      </c>
      <c r="D1517">
        <v>46</v>
      </c>
      <c r="E1517">
        <v>9</v>
      </c>
      <c r="F1517">
        <v>161450.03</v>
      </c>
      <c r="G1517">
        <v>1</v>
      </c>
      <c r="H1517" t="s">
        <v>22</v>
      </c>
      <c r="I1517" t="s">
        <v>22</v>
      </c>
      <c r="J1517">
        <v>96961</v>
      </c>
      <c r="K1517" t="s">
        <v>22</v>
      </c>
      <c r="L1517">
        <v>0.24676477395373481</v>
      </c>
      <c r="M1517" t="s">
        <v>23</v>
      </c>
      <c r="N1517">
        <v>1</v>
      </c>
      <c r="O1517">
        <v>0</v>
      </c>
      <c r="P1517" t="s">
        <v>24</v>
      </c>
      <c r="Q1517" t="s">
        <v>25</v>
      </c>
      <c r="R1517" t="s">
        <v>47</v>
      </c>
      <c r="S1517" t="s">
        <v>27</v>
      </c>
      <c r="T1517" t="s">
        <v>40</v>
      </c>
      <c r="U1517">
        <f t="shared" si="23"/>
        <v>0</v>
      </c>
    </row>
    <row r="1518" spans="1:21" x14ac:dyDescent="0.2">
      <c r="A1518">
        <v>545</v>
      </c>
      <c r="B1518" t="s">
        <v>42</v>
      </c>
      <c r="C1518" t="s">
        <v>21</v>
      </c>
      <c r="D1518">
        <v>30</v>
      </c>
      <c r="E1518">
        <v>3</v>
      </c>
      <c r="F1518">
        <v>0</v>
      </c>
      <c r="G1518">
        <v>2</v>
      </c>
      <c r="H1518" t="s">
        <v>22</v>
      </c>
      <c r="I1518" t="s">
        <v>23</v>
      </c>
      <c r="J1518">
        <v>170307.43</v>
      </c>
      <c r="K1518" t="s">
        <v>23</v>
      </c>
      <c r="L1518">
        <v>8.9946636784095729E-2</v>
      </c>
      <c r="M1518" t="s">
        <v>23</v>
      </c>
      <c r="N1518">
        <v>0</v>
      </c>
      <c r="O1518">
        <v>0</v>
      </c>
      <c r="P1518" t="s">
        <v>34</v>
      </c>
      <c r="Q1518" t="s">
        <v>36</v>
      </c>
      <c r="R1518" t="s">
        <v>29</v>
      </c>
      <c r="S1518" t="s">
        <v>30</v>
      </c>
      <c r="T1518" t="s">
        <v>31</v>
      </c>
      <c r="U1518">
        <f t="shared" si="23"/>
        <v>1</v>
      </c>
    </row>
    <row r="1519" spans="1:21" x14ac:dyDescent="0.2">
      <c r="A1519">
        <v>793</v>
      </c>
      <c r="B1519" t="s">
        <v>42</v>
      </c>
      <c r="C1519" t="s">
        <v>21</v>
      </c>
      <c r="D1519">
        <v>56</v>
      </c>
      <c r="E1519">
        <v>8</v>
      </c>
      <c r="F1519">
        <v>119496.25</v>
      </c>
      <c r="G1519">
        <v>2</v>
      </c>
      <c r="H1519" t="s">
        <v>22</v>
      </c>
      <c r="I1519" t="s">
        <v>23</v>
      </c>
      <c r="J1519">
        <v>29880.99</v>
      </c>
      <c r="K1519" t="s">
        <v>23</v>
      </c>
      <c r="L1519">
        <v>0.3941366602089903</v>
      </c>
      <c r="M1519" t="s">
        <v>23</v>
      </c>
      <c r="N1519">
        <v>0</v>
      </c>
      <c r="O1519">
        <v>0</v>
      </c>
      <c r="P1519" t="s">
        <v>24</v>
      </c>
      <c r="Q1519" t="s">
        <v>44</v>
      </c>
      <c r="R1519" t="s">
        <v>26</v>
      </c>
      <c r="S1519" t="s">
        <v>37</v>
      </c>
      <c r="T1519" t="s">
        <v>35</v>
      </c>
      <c r="U1519">
        <f t="shared" si="23"/>
        <v>1</v>
      </c>
    </row>
    <row r="1520" spans="1:21" x14ac:dyDescent="0.2">
      <c r="A1520">
        <v>482</v>
      </c>
      <c r="B1520" t="s">
        <v>42</v>
      </c>
      <c r="C1520" t="s">
        <v>32</v>
      </c>
      <c r="D1520">
        <v>35</v>
      </c>
      <c r="E1520">
        <v>5</v>
      </c>
      <c r="F1520">
        <v>147813.04999999999</v>
      </c>
      <c r="G1520">
        <v>2</v>
      </c>
      <c r="H1520" t="s">
        <v>23</v>
      </c>
      <c r="I1520" t="s">
        <v>23</v>
      </c>
      <c r="J1520">
        <v>109029.72</v>
      </c>
      <c r="K1520" t="s">
        <v>23</v>
      </c>
      <c r="L1520">
        <v>0.26663239709747188</v>
      </c>
      <c r="M1520" t="s">
        <v>23</v>
      </c>
      <c r="N1520">
        <v>0</v>
      </c>
      <c r="O1520">
        <v>0</v>
      </c>
      <c r="P1520" t="s">
        <v>24</v>
      </c>
      <c r="Q1520" t="s">
        <v>33</v>
      </c>
      <c r="R1520" t="s">
        <v>26</v>
      </c>
      <c r="S1520" t="s">
        <v>45</v>
      </c>
      <c r="T1520" t="s">
        <v>28</v>
      </c>
      <c r="U1520">
        <f t="shared" si="23"/>
        <v>1</v>
      </c>
    </row>
    <row r="1521" spans="1:21" x14ac:dyDescent="0.2">
      <c r="A1521">
        <v>850</v>
      </c>
      <c r="B1521" t="s">
        <v>42</v>
      </c>
      <c r="C1521" t="s">
        <v>32</v>
      </c>
      <c r="D1521">
        <v>35</v>
      </c>
      <c r="E1521">
        <v>2</v>
      </c>
      <c r="F1521">
        <v>128548.49</v>
      </c>
      <c r="G1521">
        <v>4</v>
      </c>
      <c r="H1521" t="s">
        <v>22</v>
      </c>
      <c r="I1521" t="s">
        <v>23</v>
      </c>
      <c r="J1521">
        <v>75478.95</v>
      </c>
      <c r="K1521" t="s">
        <v>22</v>
      </c>
      <c r="L1521">
        <v>0.1801509308706688</v>
      </c>
      <c r="M1521" t="s">
        <v>23</v>
      </c>
      <c r="N1521">
        <v>1</v>
      </c>
      <c r="O1521">
        <v>0</v>
      </c>
      <c r="P1521" t="s">
        <v>34</v>
      </c>
      <c r="Q1521" t="s">
        <v>33</v>
      </c>
      <c r="R1521" t="s">
        <v>26</v>
      </c>
      <c r="S1521" t="s">
        <v>39</v>
      </c>
      <c r="T1521" t="s">
        <v>40</v>
      </c>
      <c r="U1521">
        <f t="shared" si="23"/>
        <v>0</v>
      </c>
    </row>
    <row r="1522" spans="1:21" x14ac:dyDescent="0.2">
      <c r="A1522">
        <v>543</v>
      </c>
      <c r="B1522" t="s">
        <v>41</v>
      </c>
      <c r="C1522" t="s">
        <v>21</v>
      </c>
      <c r="D1522">
        <v>41</v>
      </c>
      <c r="E1522">
        <v>6</v>
      </c>
      <c r="F1522">
        <v>143350.41</v>
      </c>
      <c r="G1522">
        <v>1</v>
      </c>
      <c r="H1522" t="s">
        <v>22</v>
      </c>
      <c r="I1522" t="s">
        <v>22</v>
      </c>
      <c r="J1522">
        <v>192070.16</v>
      </c>
      <c r="K1522" t="s">
        <v>22</v>
      </c>
      <c r="L1522">
        <v>0.20222055657843269</v>
      </c>
      <c r="M1522" t="s">
        <v>23</v>
      </c>
      <c r="N1522">
        <v>1</v>
      </c>
      <c r="O1522">
        <v>0</v>
      </c>
      <c r="P1522" t="s">
        <v>24</v>
      </c>
      <c r="Q1522" t="s">
        <v>25</v>
      </c>
      <c r="R1522" t="s">
        <v>26</v>
      </c>
      <c r="S1522" t="s">
        <v>30</v>
      </c>
      <c r="T1522" t="s">
        <v>31</v>
      </c>
      <c r="U1522">
        <f t="shared" si="23"/>
        <v>0</v>
      </c>
    </row>
    <row r="1523" spans="1:21" x14ac:dyDescent="0.2">
      <c r="A1523">
        <v>441</v>
      </c>
      <c r="B1523" t="s">
        <v>42</v>
      </c>
      <c r="C1523" t="s">
        <v>21</v>
      </c>
      <c r="D1523">
        <v>60</v>
      </c>
      <c r="E1523">
        <v>1</v>
      </c>
      <c r="F1523">
        <v>140614.15</v>
      </c>
      <c r="G1523">
        <v>1</v>
      </c>
      <c r="H1523" t="s">
        <v>23</v>
      </c>
      <c r="I1523" t="s">
        <v>22</v>
      </c>
      <c r="J1523">
        <v>174381.23</v>
      </c>
      <c r="K1523" t="s">
        <v>23</v>
      </c>
      <c r="L1523">
        <v>0.3611824453893504</v>
      </c>
      <c r="M1523" t="s">
        <v>23</v>
      </c>
      <c r="N1523">
        <v>0</v>
      </c>
      <c r="O1523">
        <v>0</v>
      </c>
      <c r="P1523" t="s">
        <v>24</v>
      </c>
      <c r="Q1523" t="s">
        <v>44</v>
      </c>
      <c r="R1523" t="s">
        <v>26</v>
      </c>
      <c r="S1523" t="s">
        <v>45</v>
      </c>
      <c r="T1523" t="s">
        <v>31</v>
      </c>
      <c r="U1523">
        <f t="shared" si="23"/>
        <v>1</v>
      </c>
    </row>
    <row r="1524" spans="1:21" x14ac:dyDescent="0.2">
      <c r="A1524">
        <v>785</v>
      </c>
      <c r="B1524" t="s">
        <v>42</v>
      </c>
      <c r="C1524" t="s">
        <v>32</v>
      </c>
      <c r="D1524">
        <v>38</v>
      </c>
      <c r="E1524">
        <v>1</v>
      </c>
      <c r="F1524">
        <v>0</v>
      </c>
      <c r="G1524">
        <v>1</v>
      </c>
      <c r="H1524" t="s">
        <v>22</v>
      </c>
      <c r="I1524" t="s">
        <v>23</v>
      </c>
      <c r="J1524">
        <v>134964.85</v>
      </c>
      <c r="K1524" t="s">
        <v>22</v>
      </c>
      <c r="L1524">
        <v>0.22835667914052649</v>
      </c>
      <c r="M1524" t="s">
        <v>23</v>
      </c>
      <c r="N1524">
        <v>1</v>
      </c>
      <c r="O1524">
        <v>0</v>
      </c>
      <c r="P1524" t="s">
        <v>24</v>
      </c>
      <c r="Q1524" t="s">
        <v>33</v>
      </c>
      <c r="R1524" t="s">
        <v>29</v>
      </c>
      <c r="S1524" t="s">
        <v>37</v>
      </c>
      <c r="T1524" t="s">
        <v>28</v>
      </c>
      <c r="U1524">
        <f t="shared" si="23"/>
        <v>0</v>
      </c>
    </row>
    <row r="1525" spans="1:21" x14ac:dyDescent="0.2">
      <c r="A1525">
        <v>627</v>
      </c>
      <c r="B1525" t="s">
        <v>41</v>
      </c>
      <c r="C1525" t="s">
        <v>21</v>
      </c>
      <c r="D1525">
        <v>30</v>
      </c>
      <c r="E1525">
        <v>3</v>
      </c>
      <c r="F1525">
        <v>128770.88</v>
      </c>
      <c r="G1525">
        <v>2</v>
      </c>
      <c r="H1525" t="s">
        <v>22</v>
      </c>
      <c r="I1525" t="s">
        <v>22</v>
      </c>
      <c r="J1525">
        <v>40199.01</v>
      </c>
      <c r="K1525" t="s">
        <v>23</v>
      </c>
      <c r="L1525">
        <v>8.2295735603233736E-2</v>
      </c>
      <c r="M1525" t="s">
        <v>23</v>
      </c>
      <c r="N1525">
        <v>0</v>
      </c>
      <c r="O1525">
        <v>0</v>
      </c>
      <c r="P1525" t="s">
        <v>34</v>
      </c>
      <c r="Q1525" t="s">
        <v>36</v>
      </c>
      <c r="R1525" t="s">
        <v>26</v>
      </c>
      <c r="S1525" t="s">
        <v>27</v>
      </c>
      <c r="T1525" t="s">
        <v>35</v>
      </c>
      <c r="U1525">
        <f t="shared" si="23"/>
        <v>1</v>
      </c>
    </row>
    <row r="1526" spans="1:21" x14ac:dyDescent="0.2">
      <c r="A1526">
        <v>643</v>
      </c>
      <c r="B1526" t="s">
        <v>20</v>
      </c>
      <c r="C1526" t="s">
        <v>21</v>
      </c>
      <c r="D1526">
        <v>35</v>
      </c>
      <c r="E1526">
        <v>2</v>
      </c>
      <c r="F1526">
        <v>0</v>
      </c>
      <c r="G1526">
        <v>2</v>
      </c>
      <c r="H1526" t="s">
        <v>23</v>
      </c>
      <c r="I1526" t="s">
        <v>23</v>
      </c>
      <c r="J1526">
        <v>67979.350000000006</v>
      </c>
      <c r="K1526" t="s">
        <v>23</v>
      </c>
      <c r="L1526">
        <v>0.12142616920921701</v>
      </c>
      <c r="M1526" t="s">
        <v>23</v>
      </c>
      <c r="N1526">
        <v>0</v>
      </c>
      <c r="O1526">
        <v>0</v>
      </c>
      <c r="P1526" t="s">
        <v>34</v>
      </c>
      <c r="Q1526" t="s">
        <v>33</v>
      </c>
      <c r="R1526" t="s">
        <v>29</v>
      </c>
      <c r="S1526" t="s">
        <v>27</v>
      </c>
      <c r="T1526" t="s">
        <v>40</v>
      </c>
      <c r="U1526">
        <f t="shared" si="23"/>
        <v>1</v>
      </c>
    </row>
    <row r="1527" spans="1:21" x14ac:dyDescent="0.2">
      <c r="A1527">
        <v>636</v>
      </c>
      <c r="B1527" t="s">
        <v>41</v>
      </c>
      <c r="C1527" t="s">
        <v>21</v>
      </c>
      <c r="D1527">
        <v>67</v>
      </c>
      <c r="E1527">
        <v>7</v>
      </c>
      <c r="F1527">
        <v>136709.35</v>
      </c>
      <c r="G1527">
        <v>1</v>
      </c>
      <c r="H1527" t="s">
        <v>23</v>
      </c>
      <c r="I1527" t="s">
        <v>22</v>
      </c>
      <c r="J1527">
        <v>66753.100000000006</v>
      </c>
      <c r="K1527" t="s">
        <v>22</v>
      </c>
      <c r="L1527">
        <v>0.60158270222827404</v>
      </c>
      <c r="M1527" t="s">
        <v>22</v>
      </c>
      <c r="N1527">
        <v>1</v>
      </c>
      <c r="O1527">
        <v>1</v>
      </c>
      <c r="P1527" t="s">
        <v>43</v>
      </c>
      <c r="Q1527" t="s">
        <v>46</v>
      </c>
      <c r="R1527" t="s">
        <v>26</v>
      </c>
      <c r="S1527" t="s">
        <v>27</v>
      </c>
      <c r="T1527" t="s">
        <v>40</v>
      </c>
      <c r="U1527">
        <f t="shared" si="23"/>
        <v>1</v>
      </c>
    </row>
    <row r="1528" spans="1:21" x14ac:dyDescent="0.2">
      <c r="A1528">
        <v>736</v>
      </c>
      <c r="B1528" t="s">
        <v>42</v>
      </c>
      <c r="C1528" t="s">
        <v>32</v>
      </c>
      <c r="D1528">
        <v>63</v>
      </c>
      <c r="E1528">
        <v>10</v>
      </c>
      <c r="F1528">
        <v>0</v>
      </c>
      <c r="G1528">
        <v>2</v>
      </c>
      <c r="H1528" t="s">
        <v>23</v>
      </c>
      <c r="I1528" t="s">
        <v>22</v>
      </c>
      <c r="J1528">
        <v>502.7</v>
      </c>
      <c r="K1528" t="s">
        <v>23</v>
      </c>
      <c r="L1528">
        <v>0.32116066660846992</v>
      </c>
      <c r="M1528" t="s">
        <v>23</v>
      </c>
      <c r="N1528">
        <v>0</v>
      </c>
      <c r="O1528">
        <v>0</v>
      </c>
      <c r="P1528" t="s">
        <v>24</v>
      </c>
      <c r="Q1528" t="s">
        <v>46</v>
      </c>
      <c r="R1528" t="s">
        <v>29</v>
      </c>
      <c r="S1528" t="s">
        <v>37</v>
      </c>
      <c r="T1528" t="s">
        <v>35</v>
      </c>
      <c r="U1528">
        <f t="shared" si="23"/>
        <v>1</v>
      </c>
    </row>
    <row r="1529" spans="1:21" x14ac:dyDescent="0.2">
      <c r="A1529">
        <v>437</v>
      </c>
      <c r="B1529" t="s">
        <v>42</v>
      </c>
      <c r="C1529" t="s">
        <v>32</v>
      </c>
      <c r="D1529">
        <v>43</v>
      </c>
      <c r="E1529">
        <v>6</v>
      </c>
      <c r="F1529">
        <v>0</v>
      </c>
      <c r="G1529">
        <v>1</v>
      </c>
      <c r="H1529" t="s">
        <v>22</v>
      </c>
      <c r="I1529" t="s">
        <v>23</v>
      </c>
      <c r="J1529">
        <v>148330.97</v>
      </c>
      <c r="K1529" t="s">
        <v>22</v>
      </c>
      <c r="L1529">
        <v>0.33221604377717739</v>
      </c>
      <c r="M1529" t="s">
        <v>23</v>
      </c>
      <c r="N1529">
        <v>1</v>
      </c>
      <c r="O1529">
        <v>0</v>
      </c>
      <c r="P1529" t="s">
        <v>24</v>
      </c>
      <c r="Q1529" t="s">
        <v>25</v>
      </c>
      <c r="R1529" t="s">
        <v>29</v>
      </c>
      <c r="S1529" t="s">
        <v>45</v>
      </c>
      <c r="T1529" t="s">
        <v>28</v>
      </c>
      <c r="U1529">
        <f t="shared" si="23"/>
        <v>0</v>
      </c>
    </row>
    <row r="1530" spans="1:21" x14ac:dyDescent="0.2">
      <c r="A1530">
        <v>586</v>
      </c>
      <c r="B1530" t="s">
        <v>20</v>
      </c>
      <c r="C1530" t="s">
        <v>32</v>
      </c>
      <c r="D1530">
        <v>33</v>
      </c>
      <c r="E1530">
        <v>10</v>
      </c>
      <c r="F1530">
        <v>66948.67</v>
      </c>
      <c r="G1530">
        <v>2</v>
      </c>
      <c r="H1530" t="s">
        <v>22</v>
      </c>
      <c r="I1530" t="s">
        <v>22</v>
      </c>
      <c r="J1530">
        <v>140759.03</v>
      </c>
      <c r="K1530" t="s">
        <v>23</v>
      </c>
      <c r="L1530">
        <v>6.874101450331814E-2</v>
      </c>
      <c r="M1530" t="s">
        <v>23</v>
      </c>
      <c r="N1530">
        <v>0</v>
      </c>
      <c r="O1530">
        <v>0</v>
      </c>
      <c r="P1530" t="s">
        <v>34</v>
      </c>
      <c r="Q1530" t="s">
        <v>33</v>
      </c>
      <c r="R1530" t="s">
        <v>38</v>
      </c>
      <c r="S1530" t="s">
        <v>30</v>
      </c>
      <c r="T1530" t="s">
        <v>28</v>
      </c>
      <c r="U1530">
        <f t="shared" si="23"/>
        <v>1</v>
      </c>
    </row>
    <row r="1531" spans="1:21" x14ac:dyDescent="0.2">
      <c r="A1531">
        <v>627</v>
      </c>
      <c r="B1531" t="s">
        <v>42</v>
      </c>
      <c r="C1531" t="s">
        <v>32</v>
      </c>
      <c r="D1531">
        <v>57</v>
      </c>
      <c r="E1531">
        <v>9</v>
      </c>
      <c r="F1531">
        <v>0</v>
      </c>
      <c r="G1531">
        <v>2</v>
      </c>
      <c r="H1531" t="s">
        <v>22</v>
      </c>
      <c r="I1531" t="s">
        <v>22</v>
      </c>
      <c r="J1531">
        <v>107712.42</v>
      </c>
      <c r="K1531" t="s">
        <v>23</v>
      </c>
      <c r="L1531">
        <v>0.25552039809592442</v>
      </c>
      <c r="M1531" t="s">
        <v>23</v>
      </c>
      <c r="N1531">
        <v>0</v>
      </c>
      <c r="O1531">
        <v>0</v>
      </c>
      <c r="P1531" t="s">
        <v>24</v>
      </c>
      <c r="Q1531" t="s">
        <v>44</v>
      </c>
      <c r="R1531" t="s">
        <v>29</v>
      </c>
      <c r="S1531" t="s">
        <v>27</v>
      </c>
      <c r="T1531" t="s">
        <v>28</v>
      </c>
      <c r="U1531">
        <f t="shared" si="23"/>
        <v>1</v>
      </c>
    </row>
    <row r="1532" spans="1:21" x14ac:dyDescent="0.2">
      <c r="A1532">
        <v>606</v>
      </c>
      <c r="B1532" t="s">
        <v>41</v>
      </c>
      <c r="C1532" t="s">
        <v>21</v>
      </c>
      <c r="D1532">
        <v>38</v>
      </c>
      <c r="E1532">
        <v>3</v>
      </c>
      <c r="F1532">
        <v>99897.53</v>
      </c>
      <c r="G1532">
        <v>1</v>
      </c>
      <c r="H1532" t="s">
        <v>23</v>
      </c>
      <c r="I1532" t="s">
        <v>23</v>
      </c>
      <c r="J1532">
        <v>37054.65</v>
      </c>
      <c r="K1532" t="s">
        <v>23</v>
      </c>
      <c r="L1532">
        <v>0.34164471792266482</v>
      </c>
      <c r="M1532" t="s">
        <v>23</v>
      </c>
      <c r="N1532">
        <v>0</v>
      </c>
      <c r="O1532">
        <v>0</v>
      </c>
      <c r="P1532" t="s">
        <v>24</v>
      </c>
      <c r="Q1532" t="s">
        <v>33</v>
      </c>
      <c r="R1532" t="s">
        <v>38</v>
      </c>
      <c r="S1532" t="s">
        <v>27</v>
      </c>
      <c r="T1532" t="s">
        <v>35</v>
      </c>
      <c r="U1532">
        <f t="shared" si="23"/>
        <v>1</v>
      </c>
    </row>
    <row r="1533" spans="1:21" x14ac:dyDescent="0.2">
      <c r="A1533">
        <v>660</v>
      </c>
      <c r="B1533" t="s">
        <v>41</v>
      </c>
      <c r="C1533" t="s">
        <v>21</v>
      </c>
      <c r="D1533">
        <v>46</v>
      </c>
      <c r="E1533">
        <v>5</v>
      </c>
      <c r="F1533">
        <v>109019.65</v>
      </c>
      <c r="G1533">
        <v>2</v>
      </c>
      <c r="H1533" t="s">
        <v>22</v>
      </c>
      <c r="I1533" t="s">
        <v>22</v>
      </c>
      <c r="J1533">
        <v>33680.559999999998</v>
      </c>
      <c r="K1533" t="s">
        <v>23</v>
      </c>
      <c r="L1533">
        <v>0.20670115230363811</v>
      </c>
      <c r="M1533" t="s">
        <v>23</v>
      </c>
      <c r="N1533">
        <v>0</v>
      </c>
      <c r="O1533">
        <v>0</v>
      </c>
      <c r="P1533" t="s">
        <v>24</v>
      </c>
      <c r="Q1533" t="s">
        <v>25</v>
      </c>
      <c r="R1533" t="s">
        <v>26</v>
      </c>
      <c r="S1533" t="s">
        <v>27</v>
      </c>
      <c r="T1533" t="s">
        <v>35</v>
      </c>
      <c r="U1533">
        <f t="shared" si="23"/>
        <v>1</v>
      </c>
    </row>
    <row r="1534" spans="1:21" x14ac:dyDescent="0.2">
      <c r="A1534">
        <v>698</v>
      </c>
      <c r="B1534" t="s">
        <v>41</v>
      </c>
      <c r="C1534" t="s">
        <v>32</v>
      </c>
      <c r="D1534">
        <v>52</v>
      </c>
      <c r="E1534">
        <v>1</v>
      </c>
      <c r="F1534">
        <v>107906.75</v>
      </c>
      <c r="G1534">
        <v>1</v>
      </c>
      <c r="H1534" t="s">
        <v>22</v>
      </c>
      <c r="I1534" t="s">
        <v>23</v>
      </c>
      <c r="J1534">
        <v>168886.39</v>
      </c>
      <c r="K1534" t="s">
        <v>22</v>
      </c>
      <c r="L1534">
        <v>0.72423878458043278</v>
      </c>
      <c r="M1534" t="s">
        <v>22</v>
      </c>
      <c r="N1534">
        <v>1</v>
      </c>
      <c r="O1534">
        <v>1</v>
      </c>
      <c r="P1534" t="s">
        <v>43</v>
      </c>
      <c r="Q1534" t="s">
        <v>44</v>
      </c>
      <c r="R1534" t="s">
        <v>26</v>
      </c>
      <c r="S1534" t="s">
        <v>27</v>
      </c>
      <c r="T1534" t="s">
        <v>31</v>
      </c>
      <c r="U1534">
        <f t="shared" si="23"/>
        <v>1</v>
      </c>
    </row>
    <row r="1535" spans="1:21" x14ac:dyDescent="0.2">
      <c r="A1535">
        <v>532</v>
      </c>
      <c r="B1535" t="s">
        <v>41</v>
      </c>
      <c r="C1535" t="s">
        <v>21</v>
      </c>
      <c r="D1535">
        <v>24</v>
      </c>
      <c r="E1535">
        <v>8</v>
      </c>
      <c r="F1535">
        <v>142755.25</v>
      </c>
      <c r="G1535">
        <v>1</v>
      </c>
      <c r="H1535" t="s">
        <v>23</v>
      </c>
      <c r="I1535" t="s">
        <v>23</v>
      </c>
      <c r="J1535">
        <v>34231.480000000003</v>
      </c>
      <c r="K1535" t="s">
        <v>23</v>
      </c>
      <c r="L1535">
        <v>0.16381870126565029</v>
      </c>
      <c r="M1535" t="s">
        <v>23</v>
      </c>
      <c r="N1535">
        <v>0</v>
      </c>
      <c r="O1535">
        <v>0</v>
      </c>
      <c r="P1535" t="s">
        <v>34</v>
      </c>
      <c r="Q1535" t="s">
        <v>36</v>
      </c>
      <c r="R1535" t="s">
        <v>26</v>
      </c>
      <c r="S1535" t="s">
        <v>30</v>
      </c>
      <c r="T1535" t="s">
        <v>35</v>
      </c>
      <c r="U1535">
        <f t="shared" si="23"/>
        <v>1</v>
      </c>
    </row>
    <row r="1536" spans="1:21" x14ac:dyDescent="0.2">
      <c r="A1536">
        <v>684</v>
      </c>
      <c r="B1536" t="s">
        <v>41</v>
      </c>
      <c r="C1536" t="s">
        <v>32</v>
      </c>
      <c r="D1536">
        <v>63</v>
      </c>
      <c r="E1536">
        <v>3</v>
      </c>
      <c r="F1536">
        <v>81245.789999999994</v>
      </c>
      <c r="G1536">
        <v>1</v>
      </c>
      <c r="H1536" t="s">
        <v>22</v>
      </c>
      <c r="I1536" t="s">
        <v>23</v>
      </c>
      <c r="J1536">
        <v>69643.31</v>
      </c>
      <c r="K1536" t="s">
        <v>22</v>
      </c>
      <c r="L1536">
        <v>0.83548406079513149</v>
      </c>
      <c r="M1536" t="s">
        <v>22</v>
      </c>
      <c r="N1536">
        <v>1</v>
      </c>
      <c r="O1536">
        <v>1</v>
      </c>
      <c r="P1536" t="s">
        <v>43</v>
      </c>
      <c r="Q1536" t="s">
        <v>46</v>
      </c>
      <c r="R1536" t="s">
        <v>38</v>
      </c>
      <c r="S1536" t="s">
        <v>27</v>
      </c>
      <c r="T1536" t="s">
        <v>40</v>
      </c>
      <c r="U1536">
        <f t="shared" si="23"/>
        <v>1</v>
      </c>
    </row>
    <row r="1537" spans="1:21" x14ac:dyDescent="0.2">
      <c r="A1537">
        <v>777</v>
      </c>
      <c r="B1537" t="s">
        <v>42</v>
      </c>
      <c r="C1537" t="s">
        <v>32</v>
      </c>
      <c r="D1537">
        <v>28</v>
      </c>
      <c r="E1537">
        <v>2</v>
      </c>
      <c r="F1537">
        <v>134571.5</v>
      </c>
      <c r="G1537">
        <v>1</v>
      </c>
      <c r="H1537" t="s">
        <v>23</v>
      </c>
      <c r="I1537" t="s">
        <v>22</v>
      </c>
      <c r="J1537">
        <v>118313.38</v>
      </c>
      <c r="K1537" t="s">
        <v>23</v>
      </c>
      <c r="L1537">
        <v>6.3567090663620845E-2</v>
      </c>
      <c r="M1537" t="s">
        <v>23</v>
      </c>
      <c r="N1537">
        <v>0</v>
      </c>
      <c r="O1537">
        <v>0</v>
      </c>
      <c r="P1537" t="s">
        <v>34</v>
      </c>
      <c r="Q1537" t="s">
        <v>36</v>
      </c>
      <c r="R1537" t="s">
        <v>26</v>
      </c>
      <c r="S1537" t="s">
        <v>37</v>
      </c>
      <c r="T1537" t="s">
        <v>28</v>
      </c>
      <c r="U1537">
        <f t="shared" si="23"/>
        <v>1</v>
      </c>
    </row>
    <row r="1538" spans="1:21" x14ac:dyDescent="0.2">
      <c r="A1538">
        <v>673</v>
      </c>
      <c r="B1538" t="s">
        <v>42</v>
      </c>
      <c r="C1538" t="s">
        <v>32</v>
      </c>
      <c r="D1538">
        <v>44</v>
      </c>
      <c r="E1538">
        <v>8</v>
      </c>
      <c r="F1538">
        <v>133444.97</v>
      </c>
      <c r="G1538">
        <v>1</v>
      </c>
      <c r="H1538" t="s">
        <v>23</v>
      </c>
      <c r="I1538" t="s">
        <v>22</v>
      </c>
      <c r="J1538">
        <v>5708.19</v>
      </c>
      <c r="K1538" t="s">
        <v>23</v>
      </c>
      <c r="L1538">
        <v>0.16537928370724919</v>
      </c>
      <c r="M1538" t="s">
        <v>23</v>
      </c>
      <c r="N1538">
        <v>0</v>
      </c>
      <c r="O1538">
        <v>0</v>
      </c>
      <c r="P1538" t="s">
        <v>34</v>
      </c>
      <c r="Q1538" t="s">
        <v>25</v>
      </c>
      <c r="R1538" t="s">
        <v>26</v>
      </c>
      <c r="S1538" t="s">
        <v>27</v>
      </c>
      <c r="T1538" t="s">
        <v>35</v>
      </c>
      <c r="U1538">
        <f t="shared" ref="U1538:U1601" si="24">IF(K1538=M1538,1,0)</f>
        <v>1</v>
      </c>
    </row>
    <row r="1539" spans="1:21" x14ac:dyDescent="0.2">
      <c r="A1539">
        <v>605</v>
      </c>
      <c r="B1539" t="s">
        <v>42</v>
      </c>
      <c r="C1539" t="s">
        <v>21</v>
      </c>
      <c r="D1539">
        <v>41</v>
      </c>
      <c r="E1539">
        <v>10</v>
      </c>
      <c r="F1539">
        <v>0</v>
      </c>
      <c r="G1539">
        <v>2</v>
      </c>
      <c r="H1539" t="s">
        <v>23</v>
      </c>
      <c r="I1539" t="s">
        <v>22</v>
      </c>
      <c r="J1539">
        <v>97213.09</v>
      </c>
      <c r="K1539" t="s">
        <v>23</v>
      </c>
      <c r="L1539">
        <v>5.8471609499638942E-2</v>
      </c>
      <c r="M1539" t="s">
        <v>23</v>
      </c>
      <c r="N1539">
        <v>0</v>
      </c>
      <c r="O1539">
        <v>0</v>
      </c>
      <c r="P1539" t="s">
        <v>34</v>
      </c>
      <c r="Q1539" t="s">
        <v>25</v>
      </c>
      <c r="R1539" t="s">
        <v>29</v>
      </c>
      <c r="S1539" t="s">
        <v>27</v>
      </c>
      <c r="T1539" t="s">
        <v>40</v>
      </c>
      <c r="U1539">
        <f t="shared" si="24"/>
        <v>1</v>
      </c>
    </row>
    <row r="1540" spans="1:21" x14ac:dyDescent="0.2">
      <c r="A1540">
        <v>749</v>
      </c>
      <c r="B1540" t="s">
        <v>42</v>
      </c>
      <c r="C1540" t="s">
        <v>21</v>
      </c>
      <c r="D1540">
        <v>42</v>
      </c>
      <c r="E1540">
        <v>2</v>
      </c>
      <c r="F1540">
        <v>56726.83</v>
      </c>
      <c r="G1540">
        <v>2</v>
      </c>
      <c r="H1540" t="s">
        <v>23</v>
      </c>
      <c r="I1540" t="s">
        <v>22</v>
      </c>
      <c r="J1540">
        <v>185543.35</v>
      </c>
      <c r="K1540" t="s">
        <v>23</v>
      </c>
      <c r="L1540">
        <v>7.944435855652536E-2</v>
      </c>
      <c r="M1540" t="s">
        <v>23</v>
      </c>
      <c r="N1540">
        <v>0</v>
      </c>
      <c r="O1540">
        <v>0</v>
      </c>
      <c r="P1540" t="s">
        <v>34</v>
      </c>
      <c r="Q1540" t="s">
        <v>25</v>
      </c>
      <c r="R1540" t="s">
        <v>38</v>
      </c>
      <c r="S1540" t="s">
        <v>37</v>
      </c>
      <c r="T1540" t="s">
        <v>31</v>
      </c>
      <c r="U1540">
        <f t="shared" si="24"/>
        <v>1</v>
      </c>
    </row>
    <row r="1541" spans="1:21" x14ac:dyDescent="0.2">
      <c r="A1541">
        <v>665</v>
      </c>
      <c r="B1541" t="s">
        <v>42</v>
      </c>
      <c r="C1541" t="s">
        <v>32</v>
      </c>
      <c r="D1541">
        <v>41</v>
      </c>
      <c r="E1541">
        <v>8</v>
      </c>
      <c r="F1541">
        <v>96147.55</v>
      </c>
      <c r="G1541">
        <v>1</v>
      </c>
      <c r="H1541" t="s">
        <v>22</v>
      </c>
      <c r="I1541" t="s">
        <v>23</v>
      </c>
      <c r="J1541">
        <v>137037.97</v>
      </c>
      <c r="K1541" t="s">
        <v>23</v>
      </c>
      <c r="L1541">
        <v>0.30987253297573591</v>
      </c>
      <c r="M1541" t="s">
        <v>23</v>
      </c>
      <c r="N1541">
        <v>0</v>
      </c>
      <c r="O1541">
        <v>0</v>
      </c>
      <c r="P1541" t="s">
        <v>24</v>
      </c>
      <c r="Q1541" t="s">
        <v>25</v>
      </c>
      <c r="R1541" t="s">
        <v>38</v>
      </c>
      <c r="S1541" t="s">
        <v>27</v>
      </c>
      <c r="T1541" t="s">
        <v>28</v>
      </c>
      <c r="U1541">
        <f t="shared" si="24"/>
        <v>1</v>
      </c>
    </row>
    <row r="1542" spans="1:21" x14ac:dyDescent="0.2">
      <c r="A1542">
        <v>566</v>
      </c>
      <c r="B1542" t="s">
        <v>42</v>
      </c>
      <c r="C1542" t="s">
        <v>32</v>
      </c>
      <c r="D1542">
        <v>21</v>
      </c>
      <c r="E1542">
        <v>3</v>
      </c>
      <c r="F1542">
        <v>0</v>
      </c>
      <c r="G1542">
        <v>2</v>
      </c>
      <c r="H1542" t="s">
        <v>22</v>
      </c>
      <c r="I1542" t="s">
        <v>22</v>
      </c>
      <c r="J1542">
        <v>3626.47</v>
      </c>
      <c r="K1542" t="s">
        <v>23</v>
      </c>
      <c r="L1542">
        <v>2.5820897973923201E-2</v>
      </c>
      <c r="M1542" t="s">
        <v>23</v>
      </c>
      <c r="N1542">
        <v>0</v>
      </c>
      <c r="O1542">
        <v>0</v>
      </c>
      <c r="P1542" t="s">
        <v>34</v>
      </c>
      <c r="Q1542" t="s">
        <v>36</v>
      </c>
      <c r="R1542" t="s">
        <v>29</v>
      </c>
      <c r="S1542" t="s">
        <v>30</v>
      </c>
      <c r="T1542" t="s">
        <v>35</v>
      </c>
      <c r="U1542">
        <f t="shared" si="24"/>
        <v>1</v>
      </c>
    </row>
    <row r="1543" spans="1:21" x14ac:dyDescent="0.2">
      <c r="A1543">
        <v>537</v>
      </c>
      <c r="B1543" t="s">
        <v>41</v>
      </c>
      <c r="C1543" t="s">
        <v>32</v>
      </c>
      <c r="D1543">
        <v>47</v>
      </c>
      <c r="E1543">
        <v>4</v>
      </c>
      <c r="F1543">
        <v>124192.28</v>
      </c>
      <c r="G1543">
        <v>2</v>
      </c>
      <c r="H1543" t="s">
        <v>22</v>
      </c>
      <c r="I1543" t="s">
        <v>22</v>
      </c>
      <c r="J1543">
        <v>50881.51</v>
      </c>
      <c r="K1543" t="s">
        <v>23</v>
      </c>
      <c r="L1543">
        <v>0.36133646187362622</v>
      </c>
      <c r="M1543" t="s">
        <v>23</v>
      </c>
      <c r="N1543">
        <v>0</v>
      </c>
      <c r="O1543">
        <v>0</v>
      </c>
      <c r="P1543" t="s">
        <v>24</v>
      </c>
      <c r="Q1543" t="s">
        <v>25</v>
      </c>
      <c r="R1543" t="s">
        <v>26</v>
      </c>
      <c r="S1543" t="s">
        <v>30</v>
      </c>
      <c r="T1543" t="s">
        <v>40</v>
      </c>
      <c r="U1543">
        <f t="shared" si="24"/>
        <v>1</v>
      </c>
    </row>
    <row r="1544" spans="1:21" x14ac:dyDescent="0.2">
      <c r="A1544">
        <v>734</v>
      </c>
      <c r="B1544" t="s">
        <v>42</v>
      </c>
      <c r="C1544" t="s">
        <v>21</v>
      </c>
      <c r="D1544">
        <v>43</v>
      </c>
      <c r="E1544">
        <v>7</v>
      </c>
      <c r="F1544">
        <v>107805.67</v>
      </c>
      <c r="G1544">
        <v>1</v>
      </c>
      <c r="H1544" t="s">
        <v>23</v>
      </c>
      <c r="I1544" t="s">
        <v>23</v>
      </c>
      <c r="J1544">
        <v>182505.68</v>
      </c>
      <c r="K1544" t="s">
        <v>23</v>
      </c>
      <c r="L1544">
        <v>0.24226206149570151</v>
      </c>
      <c r="M1544" t="s">
        <v>23</v>
      </c>
      <c r="N1544">
        <v>0</v>
      </c>
      <c r="O1544">
        <v>0</v>
      </c>
      <c r="P1544" t="s">
        <v>24</v>
      </c>
      <c r="Q1544" t="s">
        <v>25</v>
      </c>
      <c r="R1544" t="s">
        <v>26</v>
      </c>
      <c r="S1544" t="s">
        <v>37</v>
      </c>
      <c r="T1544" t="s">
        <v>31</v>
      </c>
      <c r="U1544">
        <f t="shared" si="24"/>
        <v>1</v>
      </c>
    </row>
    <row r="1545" spans="1:21" x14ac:dyDescent="0.2">
      <c r="A1545">
        <v>612</v>
      </c>
      <c r="B1545" t="s">
        <v>42</v>
      </c>
      <c r="C1545" t="s">
        <v>32</v>
      </c>
      <c r="D1545">
        <v>38</v>
      </c>
      <c r="E1545">
        <v>1</v>
      </c>
      <c r="F1545">
        <v>0</v>
      </c>
      <c r="G1545">
        <v>2</v>
      </c>
      <c r="H1545" t="s">
        <v>22</v>
      </c>
      <c r="I1545" t="s">
        <v>22</v>
      </c>
      <c r="J1545">
        <v>9209.2099999999991</v>
      </c>
      <c r="K1545" t="s">
        <v>23</v>
      </c>
      <c r="L1545">
        <v>8.6142174634971744E-2</v>
      </c>
      <c r="M1545" t="s">
        <v>23</v>
      </c>
      <c r="N1545">
        <v>0</v>
      </c>
      <c r="O1545">
        <v>0</v>
      </c>
      <c r="P1545" t="s">
        <v>34</v>
      </c>
      <c r="Q1545" t="s">
        <v>33</v>
      </c>
      <c r="R1545" t="s">
        <v>29</v>
      </c>
      <c r="S1545" t="s">
        <v>27</v>
      </c>
      <c r="T1545" t="s">
        <v>35</v>
      </c>
      <c r="U1545">
        <f t="shared" si="24"/>
        <v>1</v>
      </c>
    </row>
    <row r="1546" spans="1:21" x14ac:dyDescent="0.2">
      <c r="A1546">
        <v>758</v>
      </c>
      <c r="B1546" t="s">
        <v>41</v>
      </c>
      <c r="C1546" t="s">
        <v>21</v>
      </c>
      <c r="D1546">
        <v>68</v>
      </c>
      <c r="E1546">
        <v>6</v>
      </c>
      <c r="F1546">
        <v>112595.85</v>
      </c>
      <c r="G1546">
        <v>1</v>
      </c>
      <c r="H1546" t="s">
        <v>22</v>
      </c>
      <c r="I1546" t="s">
        <v>23</v>
      </c>
      <c r="J1546">
        <v>35865.440000000002</v>
      </c>
      <c r="K1546" t="s">
        <v>22</v>
      </c>
      <c r="L1546">
        <v>0.8020657979526028</v>
      </c>
      <c r="M1546" t="s">
        <v>22</v>
      </c>
      <c r="N1546">
        <v>1</v>
      </c>
      <c r="O1546">
        <v>1</v>
      </c>
      <c r="P1546" t="s">
        <v>43</v>
      </c>
      <c r="Q1546" t="s">
        <v>46</v>
      </c>
      <c r="R1546" t="s">
        <v>26</v>
      </c>
      <c r="S1546" t="s">
        <v>37</v>
      </c>
      <c r="T1546" t="s">
        <v>35</v>
      </c>
      <c r="U1546">
        <f t="shared" si="24"/>
        <v>1</v>
      </c>
    </row>
    <row r="1547" spans="1:21" x14ac:dyDescent="0.2">
      <c r="A1547">
        <v>666</v>
      </c>
      <c r="B1547" t="s">
        <v>41</v>
      </c>
      <c r="C1547" t="s">
        <v>32</v>
      </c>
      <c r="D1547">
        <v>59</v>
      </c>
      <c r="E1547">
        <v>8</v>
      </c>
      <c r="F1547">
        <v>152614.51</v>
      </c>
      <c r="G1547">
        <v>2</v>
      </c>
      <c r="H1547" t="s">
        <v>22</v>
      </c>
      <c r="I1547" t="s">
        <v>22</v>
      </c>
      <c r="J1547">
        <v>188782.3</v>
      </c>
      <c r="K1547" t="s">
        <v>23</v>
      </c>
      <c r="L1547">
        <v>0.57461477477017087</v>
      </c>
      <c r="M1547" t="s">
        <v>22</v>
      </c>
      <c r="N1547">
        <v>0</v>
      </c>
      <c r="O1547">
        <v>1</v>
      </c>
      <c r="P1547" t="s">
        <v>43</v>
      </c>
      <c r="Q1547" t="s">
        <v>44</v>
      </c>
      <c r="R1547" t="s">
        <v>47</v>
      </c>
      <c r="S1547" t="s">
        <v>27</v>
      </c>
      <c r="T1547" t="s">
        <v>31</v>
      </c>
      <c r="U1547">
        <f t="shared" si="24"/>
        <v>0</v>
      </c>
    </row>
    <row r="1548" spans="1:21" x14ac:dyDescent="0.2">
      <c r="A1548">
        <v>580</v>
      </c>
      <c r="B1548" t="s">
        <v>41</v>
      </c>
      <c r="C1548" t="s">
        <v>32</v>
      </c>
      <c r="D1548">
        <v>33</v>
      </c>
      <c r="E1548">
        <v>7</v>
      </c>
      <c r="F1548">
        <v>131647.01</v>
      </c>
      <c r="G1548">
        <v>2</v>
      </c>
      <c r="H1548" t="s">
        <v>23</v>
      </c>
      <c r="I1548" t="s">
        <v>23</v>
      </c>
      <c r="J1548">
        <v>79775.19</v>
      </c>
      <c r="K1548" t="s">
        <v>23</v>
      </c>
      <c r="L1548">
        <v>0.36887676692888288</v>
      </c>
      <c r="M1548" t="s">
        <v>23</v>
      </c>
      <c r="N1548">
        <v>0</v>
      </c>
      <c r="O1548">
        <v>0</v>
      </c>
      <c r="P1548" t="s">
        <v>24</v>
      </c>
      <c r="Q1548" t="s">
        <v>33</v>
      </c>
      <c r="R1548" t="s">
        <v>26</v>
      </c>
      <c r="S1548" t="s">
        <v>30</v>
      </c>
      <c r="T1548" t="s">
        <v>40</v>
      </c>
      <c r="U1548">
        <f t="shared" si="24"/>
        <v>1</v>
      </c>
    </row>
    <row r="1549" spans="1:21" x14ac:dyDescent="0.2">
      <c r="A1549">
        <v>659</v>
      </c>
      <c r="B1549" t="s">
        <v>42</v>
      </c>
      <c r="C1549" t="s">
        <v>21</v>
      </c>
      <c r="D1549">
        <v>32</v>
      </c>
      <c r="E1549">
        <v>9</v>
      </c>
      <c r="F1549">
        <v>95377.13</v>
      </c>
      <c r="G1549">
        <v>1</v>
      </c>
      <c r="H1549" t="s">
        <v>23</v>
      </c>
      <c r="I1549" t="s">
        <v>22</v>
      </c>
      <c r="J1549">
        <v>187551.24</v>
      </c>
      <c r="K1549" t="s">
        <v>23</v>
      </c>
      <c r="L1549">
        <v>4.4738575171615273E-2</v>
      </c>
      <c r="M1549" t="s">
        <v>23</v>
      </c>
      <c r="N1549">
        <v>0</v>
      </c>
      <c r="O1549">
        <v>0</v>
      </c>
      <c r="P1549" t="s">
        <v>34</v>
      </c>
      <c r="Q1549" t="s">
        <v>33</v>
      </c>
      <c r="R1549" t="s">
        <v>38</v>
      </c>
      <c r="S1549" t="s">
        <v>27</v>
      </c>
      <c r="T1549" t="s">
        <v>31</v>
      </c>
      <c r="U1549">
        <f t="shared" si="24"/>
        <v>1</v>
      </c>
    </row>
    <row r="1550" spans="1:21" x14ac:dyDescent="0.2">
      <c r="A1550">
        <v>639</v>
      </c>
      <c r="B1550" t="s">
        <v>41</v>
      </c>
      <c r="C1550" t="s">
        <v>32</v>
      </c>
      <c r="D1550">
        <v>46</v>
      </c>
      <c r="E1550">
        <v>10</v>
      </c>
      <c r="F1550">
        <v>110031.09</v>
      </c>
      <c r="G1550">
        <v>2</v>
      </c>
      <c r="H1550" t="s">
        <v>22</v>
      </c>
      <c r="I1550" t="s">
        <v>22</v>
      </c>
      <c r="J1550">
        <v>133995.59</v>
      </c>
      <c r="K1550" t="s">
        <v>23</v>
      </c>
      <c r="L1550">
        <v>0.30510437901593918</v>
      </c>
      <c r="M1550" t="s">
        <v>23</v>
      </c>
      <c r="N1550">
        <v>0</v>
      </c>
      <c r="O1550">
        <v>0</v>
      </c>
      <c r="P1550" t="s">
        <v>24</v>
      </c>
      <c r="Q1550" t="s">
        <v>25</v>
      </c>
      <c r="R1550" t="s">
        <v>26</v>
      </c>
      <c r="S1550" t="s">
        <v>27</v>
      </c>
      <c r="T1550" t="s">
        <v>28</v>
      </c>
      <c r="U1550">
        <f t="shared" si="24"/>
        <v>1</v>
      </c>
    </row>
    <row r="1551" spans="1:21" x14ac:dyDescent="0.2">
      <c r="A1551">
        <v>744</v>
      </c>
      <c r="B1551" t="s">
        <v>42</v>
      </c>
      <c r="C1551" t="s">
        <v>32</v>
      </c>
      <c r="D1551">
        <v>38</v>
      </c>
      <c r="E1551">
        <v>9</v>
      </c>
      <c r="F1551">
        <v>0</v>
      </c>
      <c r="G1551">
        <v>2</v>
      </c>
      <c r="H1551" t="s">
        <v>23</v>
      </c>
      <c r="I1551" t="s">
        <v>23</v>
      </c>
      <c r="J1551">
        <v>20940.759999999998</v>
      </c>
      <c r="K1551" t="s">
        <v>23</v>
      </c>
      <c r="L1551">
        <v>0.18501678917950451</v>
      </c>
      <c r="M1551" t="s">
        <v>23</v>
      </c>
      <c r="N1551">
        <v>0</v>
      </c>
      <c r="O1551">
        <v>0</v>
      </c>
      <c r="P1551" t="s">
        <v>34</v>
      </c>
      <c r="Q1551" t="s">
        <v>33</v>
      </c>
      <c r="R1551" t="s">
        <v>29</v>
      </c>
      <c r="S1551" t="s">
        <v>37</v>
      </c>
      <c r="T1551" t="s">
        <v>35</v>
      </c>
      <c r="U1551">
        <f t="shared" si="24"/>
        <v>1</v>
      </c>
    </row>
    <row r="1552" spans="1:21" x14ac:dyDescent="0.2">
      <c r="A1552">
        <v>551</v>
      </c>
      <c r="B1552" t="s">
        <v>42</v>
      </c>
      <c r="C1552" t="s">
        <v>32</v>
      </c>
      <c r="D1552">
        <v>45</v>
      </c>
      <c r="E1552">
        <v>6</v>
      </c>
      <c r="F1552">
        <v>0</v>
      </c>
      <c r="G1552">
        <v>2</v>
      </c>
      <c r="H1552" t="s">
        <v>22</v>
      </c>
      <c r="I1552" t="s">
        <v>22</v>
      </c>
      <c r="J1552">
        <v>51143.43</v>
      </c>
      <c r="K1552" t="s">
        <v>23</v>
      </c>
      <c r="L1552">
        <v>0.13273733137036769</v>
      </c>
      <c r="M1552" t="s">
        <v>23</v>
      </c>
      <c r="N1552">
        <v>0</v>
      </c>
      <c r="O1552">
        <v>0</v>
      </c>
      <c r="P1552" t="s">
        <v>34</v>
      </c>
      <c r="Q1552" t="s">
        <v>25</v>
      </c>
      <c r="R1552" t="s">
        <v>29</v>
      </c>
      <c r="S1552" t="s">
        <v>30</v>
      </c>
      <c r="T1552" t="s">
        <v>40</v>
      </c>
      <c r="U1552">
        <f t="shared" si="24"/>
        <v>1</v>
      </c>
    </row>
    <row r="1553" spans="1:21" x14ac:dyDescent="0.2">
      <c r="A1553">
        <v>666</v>
      </c>
      <c r="B1553" t="s">
        <v>42</v>
      </c>
      <c r="C1553" t="s">
        <v>32</v>
      </c>
      <c r="D1553">
        <v>36</v>
      </c>
      <c r="E1553">
        <v>8</v>
      </c>
      <c r="F1553">
        <v>0</v>
      </c>
      <c r="G1553">
        <v>1</v>
      </c>
      <c r="H1553" t="s">
        <v>23</v>
      </c>
      <c r="I1553" t="s">
        <v>22</v>
      </c>
      <c r="J1553">
        <v>158666.99</v>
      </c>
      <c r="K1553" t="s">
        <v>23</v>
      </c>
      <c r="L1553">
        <v>7.8267735821963225E-2</v>
      </c>
      <c r="M1553" t="s">
        <v>23</v>
      </c>
      <c r="N1553">
        <v>0</v>
      </c>
      <c r="O1553">
        <v>0</v>
      </c>
      <c r="P1553" t="s">
        <v>34</v>
      </c>
      <c r="Q1553" t="s">
        <v>33</v>
      </c>
      <c r="R1553" t="s">
        <v>29</v>
      </c>
      <c r="S1553" t="s">
        <v>27</v>
      </c>
      <c r="T1553" t="s">
        <v>31</v>
      </c>
      <c r="U1553">
        <f t="shared" si="24"/>
        <v>1</v>
      </c>
    </row>
    <row r="1554" spans="1:21" x14ac:dyDescent="0.2">
      <c r="A1554">
        <v>668</v>
      </c>
      <c r="B1554" t="s">
        <v>20</v>
      </c>
      <c r="C1554" t="s">
        <v>21</v>
      </c>
      <c r="D1554">
        <v>43</v>
      </c>
      <c r="E1554">
        <v>10</v>
      </c>
      <c r="F1554">
        <v>113034.31</v>
      </c>
      <c r="G1554">
        <v>1</v>
      </c>
      <c r="H1554" t="s">
        <v>22</v>
      </c>
      <c r="I1554" t="s">
        <v>22</v>
      </c>
      <c r="J1554">
        <v>100423.88</v>
      </c>
      <c r="K1554" t="s">
        <v>23</v>
      </c>
      <c r="L1554">
        <v>9.3636935955216938E-2</v>
      </c>
      <c r="M1554" t="s">
        <v>23</v>
      </c>
      <c r="N1554">
        <v>0</v>
      </c>
      <c r="O1554">
        <v>0</v>
      </c>
      <c r="P1554" t="s">
        <v>34</v>
      </c>
      <c r="Q1554" t="s">
        <v>25</v>
      </c>
      <c r="R1554" t="s">
        <v>26</v>
      </c>
      <c r="S1554" t="s">
        <v>27</v>
      </c>
      <c r="T1554" t="s">
        <v>28</v>
      </c>
      <c r="U1554">
        <f t="shared" si="24"/>
        <v>1</v>
      </c>
    </row>
    <row r="1555" spans="1:21" x14ac:dyDescent="0.2">
      <c r="A1555">
        <v>785</v>
      </c>
      <c r="B1555" t="s">
        <v>20</v>
      </c>
      <c r="C1555" t="s">
        <v>32</v>
      </c>
      <c r="D1555">
        <v>54</v>
      </c>
      <c r="E1555">
        <v>1</v>
      </c>
      <c r="F1555">
        <v>0</v>
      </c>
      <c r="G1555">
        <v>2</v>
      </c>
      <c r="H1555" t="s">
        <v>22</v>
      </c>
      <c r="I1555" t="s">
        <v>23</v>
      </c>
      <c r="J1555">
        <v>45113.919999999998</v>
      </c>
      <c r="K1555" t="s">
        <v>22</v>
      </c>
      <c r="L1555">
        <v>0.46277400477665381</v>
      </c>
      <c r="M1555" t="s">
        <v>23</v>
      </c>
      <c r="N1555">
        <v>1</v>
      </c>
      <c r="O1555">
        <v>0</v>
      </c>
      <c r="P1555" t="s">
        <v>24</v>
      </c>
      <c r="Q1555" t="s">
        <v>44</v>
      </c>
      <c r="R1555" t="s">
        <v>29</v>
      </c>
      <c r="S1555" t="s">
        <v>37</v>
      </c>
      <c r="T1555" t="s">
        <v>35</v>
      </c>
      <c r="U1555">
        <f t="shared" si="24"/>
        <v>0</v>
      </c>
    </row>
    <row r="1556" spans="1:21" x14ac:dyDescent="0.2">
      <c r="A1556">
        <v>567</v>
      </c>
      <c r="B1556" t="s">
        <v>20</v>
      </c>
      <c r="C1556" t="s">
        <v>21</v>
      </c>
      <c r="D1556">
        <v>34</v>
      </c>
      <c r="E1556">
        <v>10</v>
      </c>
      <c r="F1556">
        <v>0</v>
      </c>
      <c r="G1556">
        <v>2</v>
      </c>
      <c r="H1556" t="s">
        <v>23</v>
      </c>
      <c r="I1556" t="s">
        <v>22</v>
      </c>
      <c r="J1556">
        <v>161571.79</v>
      </c>
      <c r="K1556" t="s">
        <v>23</v>
      </c>
      <c r="L1556">
        <v>3.9309885421701059E-2</v>
      </c>
      <c r="M1556" t="s">
        <v>23</v>
      </c>
      <c r="N1556">
        <v>0</v>
      </c>
      <c r="O1556">
        <v>0</v>
      </c>
      <c r="P1556" t="s">
        <v>34</v>
      </c>
      <c r="Q1556" t="s">
        <v>33</v>
      </c>
      <c r="R1556" t="s">
        <v>29</v>
      </c>
      <c r="S1556" t="s">
        <v>30</v>
      </c>
      <c r="T1556" t="s">
        <v>31</v>
      </c>
      <c r="U1556">
        <f t="shared" si="24"/>
        <v>1</v>
      </c>
    </row>
    <row r="1557" spans="1:21" x14ac:dyDescent="0.2">
      <c r="A1557">
        <v>701</v>
      </c>
      <c r="B1557" t="s">
        <v>20</v>
      </c>
      <c r="C1557" t="s">
        <v>21</v>
      </c>
      <c r="D1557">
        <v>35</v>
      </c>
      <c r="E1557">
        <v>10</v>
      </c>
      <c r="F1557">
        <v>159693.9</v>
      </c>
      <c r="G1557">
        <v>2</v>
      </c>
      <c r="H1557" t="s">
        <v>22</v>
      </c>
      <c r="I1557" t="s">
        <v>22</v>
      </c>
      <c r="J1557">
        <v>71173.64</v>
      </c>
      <c r="K1557" t="s">
        <v>23</v>
      </c>
      <c r="L1557">
        <v>5.295767365397764E-2</v>
      </c>
      <c r="M1557" t="s">
        <v>23</v>
      </c>
      <c r="N1557">
        <v>0</v>
      </c>
      <c r="O1557">
        <v>0</v>
      </c>
      <c r="P1557" t="s">
        <v>34</v>
      </c>
      <c r="Q1557" t="s">
        <v>33</v>
      </c>
      <c r="R1557" t="s">
        <v>47</v>
      </c>
      <c r="S1557" t="s">
        <v>37</v>
      </c>
      <c r="T1557" t="s">
        <v>40</v>
      </c>
      <c r="U1557">
        <f t="shared" si="24"/>
        <v>1</v>
      </c>
    </row>
    <row r="1558" spans="1:21" x14ac:dyDescent="0.2">
      <c r="A1558">
        <v>613</v>
      </c>
      <c r="B1558" t="s">
        <v>20</v>
      </c>
      <c r="C1558" t="s">
        <v>21</v>
      </c>
      <c r="D1558">
        <v>37</v>
      </c>
      <c r="E1558">
        <v>3</v>
      </c>
      <c r="F1558">
        <v>171653.17</v>
      </c>
      <c r="G1558">
        <v>1</v>
      </c>
      <c r="H1558" t="s">
        <v>23</v>
      </c>
      <c r="I1558" t="s">
        <v>22</v>
      </c>
      <c r="J1558">
        <v>5353.12</v>
      </c>
      <c r="K1558" t="s">
        <v>23</v>
      </c>
      <c r="L1558">
        <v>8.2683706094564671E-2</v>
      </c>
      <c r="M1558" t="s">
        <v>23</v>
      </c>
      <c r="N1558">
        <v>0</v>
      </c>
      <c r="O1558">
        <v>0</v>
      </c>
      <c r="P1558" t="s">
        <v>34</v>
      </c>
      <c r="Q1558" t="s">
        <v>33</v>
      </c>
      <c r="R1558" t="s">
        <v>47</v>
      </c>
      <c r="S1558" t="s">
        <v>27</v>
      </c>
      <c r="T1558" t="s">
        <v>35</v>
      </c>
      <c r="U1558">
        <f t="shared" si="24"/>
        <v>1</v>
      </c>
    </row>
    <row r="1559" spans="1:21" x14ac:dyDescent="0.2">
      <c r="A1559">
        <v>561</v>
      </c>
      <c r="B1559" t="s">
        <v>20</v>
      </c>
      <c r="C1559" t="s">
        <v>21</v>
      </c>
      <c r="D1559">
        <v>28</v>
      </c>
      <c r="E1559">
        <v>6</v>
      </c>
      <c r="F1559">
        <v>123692</v>
      </c>
      <c r="G1559">
        <v>1</v>
      </c>
      <c r="H1559" t="s">
        <v>22</v>
      </c>
      <c r="I1559" t="s">
        <v>22</v>
      </c>
      <c r="J1559">
        <v>70548.960000000006</v>
      </c>
      <c r="K1559" t="s">
        <v>23</v>
      </c>
      <c r="L1559">
        <v>3.8576418672116752E-2</v>
      </c>
      <c r="M1559" t="s">
        <v>23</v>
      </c>
      <c r="N1559">
        <v>0</v>
      </c>
      <c r="O1559">
        <v>0</v>
      </c>
      <c r="P1559" t="s">
        <v>34</v>
      </c>
      <c r="Q1559" t="s">
        <v>36</v>
      </c>
      <c r="R1559" t="s">
        <v>26</v>
      </c>
      <c r="S1559" t="s">
        <v>30</v>
      </c>
      <c r="T1559" t="s">
        <v>40</v>
      </c>
      <c r="U1559">
        <f t="shared" si="24"/>
        <v>1</v>
      </c>
    </row>
    <row r="1560" spans="1:21" x14ac:dyDescent="0.2">
      <c r="A1560">
        <v>805</v>
      </c>
      <c r="B1560" t="s">
        <v>41</v>
      </c>
      <c r="C1560" t="s">
        <v>21</v>
      </c>
      <c r="D1560">
        <v>24</v>
      </c>
      <c r="E1560">
        <v>6</v>
      </c>
      <c r="F1560">
        <v>143221.35</v>
      </c>
      <c r="G1560">
        <v>2</v>
      </c>
      <c r="H1560" t="s">
        <v>22</v>
      </c>
      <c r="I1560" t="s">
        <v>23</v>
      </c>
      <c r="J1560">
        <v>186035.72</v>
      </c>
      <c r="K1560" t="s">
        <v>23</v>
      </c>
      <c r="L1560">
        <v>0.13833349666527131</v>
      </c>
      <c r="M1560" t="s">
        <v>23</v>
      </c>
      <c r="N1560">
        <v>0</v>
      </c>
      <c r="O1560">
        <v>0</v>
      </c>
      <c r="P1560" t="s">
        <v>34</v>
      </c>
      <c r="Q1560" t="s">
        <v>36</v>
      </c>
      <c r="R1560" t="s">
        <v>26</v>
      </c>
      <c r="S1560" t="s">
        <v>39</v>
      </c>
      <c r="T1560" t="s">
        <v>31</v>
      </c>
      <c r="U1560">
        <f t="shared" si="24"/>
        <v>1</v>
      </c>
    </row>
    <row r="1561" spans="1:21" x14ac:dyDescent="0.2">
      <c r="A1561">
        <v>833</v>
      </c>
      <c r="B1561" t="s">
        <v>42</v>
      </c>
      <c r="C1561" t="s">
        <v>21</v>
      </c>
      <c r="D1561">
        <v>47</v>
      </c>
      <c r="E1561">
        <v>2</v>
      </c>
      <c r="F1561">
        <v>0</v>
      </c>
      <c r="G1561">
        <v>2</v>
      </c>
      <c r="H1561" t="s">
        <v>22</v>
      </c>
      <c r="I1561" t="s">
        <v>22</v>
      </c>
      <c r="J1561">
        <v>182247.77</v>
      </c>
      <c r="K1561" t="s">
        <v>23</v>
      </c>
      <c r="L1561">
        <v>8.954591983368429E-2</v>
      </c>
      <c r="M1561" t="s">
        <v>23</v>
      </c>
      <c r="N1561">
        <v>0</v>
      </c>
      <c r="O1561">
        <v>0</v>
      </c>
      <c r="P1561" t="s">
        <v>34</v>
      </c>
      <c r="Q1561" t="s">
        <v>25</v>
      </c>
      <c r="R1561" t="s">
        <v>29</v>
      </c>
      <c r="S1561" t="s">
        <v>39</v>
      </c>
      <c r="T1561" t="s">
        <v>31</v>
      </c>
      <c r="U1561">
        <f t="shared" si="24"/>
        <v>1</v>
      </c>
    </row>
    <row r="1562" spans="1:21" x14ac:dyDescent="0.2">
      <c r="A1562">
        <v>807</v>
      </c>
      <c r="B1562" t="s">
        <v>42</v>
      </c>
      <c r="C1562" t="s">
        <v>21</v>
      </c>
      <c r="D1562">
        <v>47</v>
      </c>
      <c r="E1562">
        <v>1</v>
      </c>
      <c r="F1562">
        <v>95120.59</v>
      </c>
      <c r="G1562">
        <v>1</v>
      </c>
      <c r="H1562" t="s">
        <v>23</v>
      </c>
      <c r="I1562" t="s">
        <v>23</v>
      </c>
      <c r="J1562">
        <v>127875.1</v>
      </c>
      <c r="K1562" t="s">
        <v>23</v>
      </c>
      <c r="L1562">
        <v>0.30161907069453892</v>
      </c>
      <c r="M1562" t="s">
        <v>23</v>
      </c>
      <c r="N1562">
        <v>0</v>
      </c>
      <c r="O1562">
        <v>0</v>
      </c>
      <c r="P1562" t="s">
        <v>24</v>
      </c>
      <c r="Q1562" t="s">
        <v>25</v>
      </c>
      <c r="R1562" t="s">
        <v>38</v>
      </c>
      <c r="S1562" t="s">
        <v>39</v>
      </c>
      <c r="T1562" t="s">
        <v>28</v>
      </c>
      <c r="U1562">
        <f t="shared" si="24"/>
        <v>1</v>
      </c>
    </row>
    <row r="1563" spans="1:21" x14ac:dyDescent="0.2">
      <c r="A1563">
        <v>582</v>
      </c>
      <c r="B1563" t="s">
        <v>20</v>
      </c>
      <c r="C1563" t="s">
        <v>21</v>
      </c>
      <c r="D1563">
        <v>33</v>
      </c>
      <c r="E1563">
        <v>6</v>
      </c>
      <c r="F1563">
        <v>0</v>
      </c>
      <c r="G1563">
        <v>2</v>
      </c>
      <c r="H1563" t="s">
        <v>23</v>
      </c>
      <c r="I1563" t="s">
        <v>22</v>
      </c>
      <c r="J1563">
        <v>72970.929999999993</v>
      </c>
      <c r="K1563" t="s">
        <v>23</v>
      </c>
      <c r="L1563">
        <v>3.7291946096982817E-2</v>
      </c>
      <c r="M1563" t="s">
        <v>23</v>
      </c>
      <c r="N1563">
        <v>0</v>
      </c>
      <c r="O1563">
        <v>0</v>
      </c>
      <c r="P1563" t="s">
        <v>34</v>
      </c>
      <c r="Q1563" t="s">
        <v>33</v>
      </c>
      <c r="R1563" t="s">
        <v>29</v>
      </c>
      <c r="S1563" t="s">
        <v>30</v>
      </c>
      <c r="T1563" t="s">
        <v>40</v>
      </c>
      <c r="U1563">
        <f t="shared" si="24"/>
        <v>1</v>
      </c>
    </row>
    <row r="1564" spans="1:21" x14ac:dyDescent="0.2">
      <c r="A1564">
        <v>850</v>
      </c>
      <c r="B1564" t="s">
        <v>42</v>
      </c>
      <c r="C1564" t="s">
        <v>21</v>
      </c>
      <c r="D1564">
        <v>81</v>
      </c>
      <c r="E1564">
        <v>5</v>
      </c>
      <c r="F1564">
        <v>0</v>
      </c>
      <c r="G1564">
        <v>2</v>
      </c>
      <c r="H1564" t="s">
        <v>22</v>
      </c>
      <c r="I1564" t="s">
        <v>22</v>
      </c>
      <c r="J1564">
        <v>44827.47</v>
      </c>
      <c r="K1564" t="s">
        <v>23</v>
      </c>
      <c r="L1564">
        <v>0.51213728403642578</v>
      </c>
      <c r="M1564" t="s">
        <v>22</v>
      </c>
      <c r="N1564">
        <v>0</v>
      </c>
      <c r="O1564">
        <v>1</v>
      </c>
      <c r="P1564" t="s">
        <v>43</v>
      </c>
      <c r="Q1564" t="s">
        <v>46</v>
      </c>
      <c r="R1564" t="s">
        <v>29</v>
      </c>
      <c r="S1564" t="s">
        <v>39</v>
      </c>
      <c r="T1564" t="s">
        <v>35</v>
      </c>
      <c r="U1564">
        <f t="shared" si="24"/>
        <v>0</v>
      </c>
    </row>
    <row r="1565" spans="1:21" x14ac:dyDescent="0.2">
      <c r="A1565">
        <v>673</v>
      </c>
      <c r="B1565" t="s">
        <v>42</v>
      </c>
      <c r="C1565" t="s">
        <v>21</v>
      </c>
      <c r="D1565">
        <v>37</v>
      </c>
      <c r="E1565">
        <v>4</v>
      </c>
      <c r="F1565">
        <v>0</v>
      </c>
      <c r="G1565">
        <v>2</v>
      </c>
      <c r="H1565" t="s">
        <v>23</v>
      </c>
      <c r="I1565" t="s">
        <v>23</v>
      </c>
      <c r="J1565">
        <v>163563.07</v>
      </c>
      <c r="K1565" t="s">
        <v>23</v>
      </c>
      <c r="L1565">
        <v>0.1328144764603256</v>
      </c>
      <c r="M1565" t="s">
        <v>23</v>
      </c>
      <c r="N1565">
        <v>0</v>
      </c>
      <c r="O1565">
        <v>0</v>
      </c>
      <c r="P1565" t="s">
        <v>34</v>
      </c>
      <c r="Q1565" t="s">
        <v>33</v>
      </c>
      <c r="R1565" t="s">
        <v>29</v>
      </c>
      <c r="S1565" t="s">
        <v>27</v>
      </c>
      <c r="T1565" t="s">
        <v>31</v>
      </c>
      <c r="U1565">
        <f t="shared" si="24"/>
        <v>1</v>
      </c>
    </row>
    <row r="1566" spans="1:21" x14ac:dyDescent="0.2">
      <c r="A1566">
        <v>809</v>
      </c>
      <c r="B1566" t="s">
        <v>42</v>
      </c>
      <c r="C1566" t="s">
        <v>32</v>
      </c>
      <c r="D1566">
        <v>38</v>
      </c>
      <c r="E1566">
        <v>2</v>
      </c>
      <c r="F1566">
        <v>154763.21</v>
      </c>
      <c r="G1566">
        <v>2</v>
      </c>
      <c r="H1566" t="s">
        <v>22</v>
      </c>
      <c r="I1566" t="s">
        <v>22</v>
      </c>
      <c r="J1566">
        <v>174800.31</v>
      </c>
      <c r="K1566" t="s">
        <v>23</v>
      </c>
      <c r="L1566">
        <v>0.1166962939586135</v>
      </c>
      <c r="M1566" t="s">
        <v>23</v>
      </c>
      <c r="N1566">
        <v>0</v>
      </c>
      <c r="O1566">
        <v>0</v>
      </c>
      <c r="P1566" t="s">
        <v>34</v>
      </c>
      <c r="Q1566" t="s">
        <v>33</v>
      </c>
      <c r="R1566" t="s">
        <v>47</v>
      </c>
      <c r="S1566" t="s">
        <v>39</v>
      </c>
      <c r="T1566" t="s">
        <v>31</v>
      </c>
      <c r="U1566">
        <f t="shared" si="24"/>
        <v>1</v>
      </c>
    </row>
    <row r="1567" spans="1:21" x14ac:dyDescent="0.2">
      <c r="A1567">
        <v>850</v>
      </c>
      <c r="B1567" t="s">
        <v>42</v>
      </c>
      <c r="C1567" t="s">
        <v>21</v>
      </c>
      <c r="D1567">
        <v>30</v>
      </c>
      <c r="E1567">
        <v>6</v>
      </c>
      <c r="F1567">
        <v>86449.39</v>
      </c>
      <c r="G1567">
        <v>1</v>
      </c>
      <c r="H1567" t="s">
        <v>22</v>
      </c>
      <c r="I1567" t="s">
        <v>22</v>
      </c>
      <c r="J1567">
        <v>188809.23</v>
      </c>
      <c r="K1567" t="s">
        <v>23</v>
      </c>
      <c r="L1567">
        <v>3.4334888840860021E-2</v>
      </c>
      <c r="M1567" t="s">
        <v>23</v>
      </c>
      <c r="N1567">
        <v>0</v>
      </c>
      <c r="O1567">
        <v>0</v>
      </c>
      <c r="P1567" t="s">
        <v>34</v>
      </c>
      <c r="Q1567" t="s">
        <v>36</v>
      </c>
      <c r="R1567" t="s">
        <v>38</v>
      </c>
      <c r="S1567" t="s">
        <v>39</v>
      </c>
      <c r="T1567" t="s">
        <v>31</v>
      </c>
      <c r="U1567">
        <f t="shared" si="24"/>
        <v>1</v>
      </c>
    </row>
    <row r="1568" spans="1:21" x14ac:dyDescent="0.2">
      <c r="A1568">
        <v>599</v>
      </c>
      <c r="B1568" t="s">
        <v>41</v>
      </c>
      <c r="C1568" t="s">
        <v>21</v>
      </c>
      <c r="D1568">
        <v>38</v>
      </c>
      <c r="E1568">
        <v>9</v>
      </c>
      <c r="F1568">
        <v>89111.63</v>
      </c>
      <c r="G1568">
        <v>1</v>
      </c>
      <c r="H1568" t="s">
        <v>23</v>
      </c>
      <c r="I1568" t="s">
        <v>23</v>
      </c>
      <c r="J1568">
        <v>157239.6</v>
      </c>
      <c r="K1568" t="s">
        <v>23</v>
      </c>
      <c r="L1568">
        <v>0.32507011006374381</v>
      </c>
      <c r="M1568" t="s">
        <v>23</v>
      </c>
      <c r="N1568">
        <v>0</v>
      </c>
      <c r="O1568">
        <v>0</v>
      </c>
      <c r="P1568" t="s">
        <v>24</v>
      </c>
      <c r="Q1568" t="s">
        <v>33</v>
      </c>
      <c r="R1568" t="s">
        <v>38</v>
      </c>
      <c r="S1568" t="s">
        <v>30</v>
      </c>
      <c r="T1568" t="s">
        <v>31</v>
      </c>
      <c r="U1568">
        <f t="shared" si="24"/>
        <v>1</v>
      </c>
    </row>
    <row r="1569" spans="1:21" x14ac:dyDescent="0.2">
      <c r="A1569">
        <v>696</v>
      </c>
      <c r="B1569" t="s">
        <v>41</v>
      </c>
      <c r="C1569" t="s">
        <v>32</v>
      </c>
      <c r="D1569">
        <v>27</v>
      </c>
      <c r="E1569">
        <v>2</v>
      </c>
      <c r="F1569">
        <v>96129.32</v>
      </c>
      <c r="G1569">
        <v>2</v>
      </c>
      <c r="H1569" t="s">
        <v>22</v>
      </c>
      <c r="I1569" t="s">
        <v>22</v>
      </c>
      <c r="J1569">
        <v>5983.7</v>
      </c>
      <c r="K1569" t="s">
        <v>23</v>
      </c>
      <c r="L1569">
        <v>9.8164484854590589E-2</v>
      </c>
      <c r="M1569" t="s">
        <v>23</v>
      </c>
      <c r="N1569">
        <v>0</v>
      </c>
      <c r="O1569">
        <v>0</v>
      </c>
      <c r="P1569" t="s">
        <v>34</v>
      </c>
      <c r="Q1569" t="s">
        <v>36</v>
      </c>
      <c r="R1569" t="s">
        <v>38</v>
      </c>
      <c r="S1569" t="s">
        <v>27</v>
      </c>
      <c r="T1569" t="s">
        <v>35</v>
      </c>
      <c r="U1569">
        <f t="shared" si="24"/>
        <v>1</v>
      </c>
    </row>
    <row r="1570" spans="1:21" x14ac:dyDescent="0.2">
      <c r="A1570">
        <v>812</v>
      </c>
      <c r="B1570" t="s">
        <v>42</v>
      </c>
      <c r="C1570" t="s">
        <v>21</v>
      </c>
      <c r="D1570">
        <v>32</v>
      </c>
      <c r="E1570">
        <v>5</v>
      </c>
      <c r="F1570">
        <v>133050.97</v>
      </c>
      <c r="G1570">
        <v>2</v>
      </c>
      <c r="H1570" t="s">
        <v>22</v>
      </c>
      <c r="I1570" t="s">
        <v>23</v>
      </c>
      <c r="J1570">
        <v>89385.919999999998</v>
      </c>
      <c r="K1570" t="s">
        <v>23</v>
      </c>
      <c r="L1570">
        <v>0.1099589553854136</v>
      </c>
      <c r="M1570" t="s">
        <v>23</v>
      </c>
      <c r="N1570">
        <v>0</v>
      </c>
      <c r="O1570">
        <v>0</v>
      </c>
      <c r="P1570" t="s">
        <v>34</v>
      </c>
      <c r="Q1570" t="s">
        <v>33</v>
      </c>
      <c r="R1570" t="s">
        <v>26</v>
      </c>
      <c r="S1570" t="s">
        <v>39</v>
      </c>
      <c r="T1570" t="s">
        <v>40</v>
      </c>
      <c r="U1570">
        <f t="shared" si="24"/>
        <v>1</v>
      </c>
    </row>
    <row r="1571" spans="1:21" x14ac:dyDescent="0.2">
      <c r="A1571">
        <v>685</v>
      </c>
      <c r="B1571" t="s">
        <v>42</v>
      </c>
      <c r="C1571" t="s">
        <v>32</v>
      </c>
      <c r="D1571">
        <v>40</v>
      </c>
      <c r="E1571">
        <v>7</v>
      </c>
      <c r="F1571">
        <v>0</v>
      </c>
      <c r="G1571">
        <v>2</v>
      </c>
      <c r="H1571" t="s">
        <v>22</v>
      </c>
      <c r="I1571" t="s">
        <v>23</v>
      </c>
      <c r="J1571">
        <v>103898.59</v>
      </c>
      <c r="K1571" t="s">
        <v>23</v>
      </c>
      <c r="L1571">
        <v>0.22441631574951981</v>
      </c>
      <c r="M1571" t="s">
        <v>23</v>
      </c>
      <c r="N1571">
        <v>0</v>
      </c>
      <c r="O1571">
        <v>0</v>
      </c>
      <c r="P1571" t="s">
        <v>24</v>
      </c>
      <c r="Q1571" t="s">
        <v>33</v>
      </c>
      <c r="R1571" t="s">
        <v>29</v>
      </c>
      <c r="S1571" t="s">
        <v>27</v>
      </c>
      <c r="T1571" t="s">
        <v>28</v>
      </c>
      <c r="U1571">
        <f t="shared" si="24"/>
        <v>1</v>
      </c>
    </row>
    <row r="1572" spans="1:21" x14ac:dyDescent="0.2">
      <c r="A1572">
        <v>519</v>
      </c>
      <c r="B1572" t="s">
        <v>41</v>
      </c>
      <c r="C1572" t="s">
        <v>32</v>
      </c>
      <c r="D1572">
        <v>21</v>
      </c>
      <c r="E1572">
        <v>1</v>
      </c>
      <c r="F1572">
        <v>151701.45000000001</v>
      </c>
      <c r="G1572">
        <v>3</v>
      </c>
      <c r="H1572" t="s">
        <v>22</v>
      </c>
      <c r="I1572" t="s">
        <v>22</v>
      </c>
      <c r="J1572">
        <v>170138.68</v>
      </c>
      <c r="K1572" t="s">
        <v>22</v>
      </c>
      <c r="L1572">
        <v>8.4157353602749577E-2</v>
      </c>
      <c r="M1572" t="s">
        <v>23</v>
      </c>
      <c r="N1572">
        <v>1</v>
      </c>
      <c r="O1572">
        <v>0</v>
      </c>
      <c r="P1572" t="s">
        <v>34</v>
      </c>
      <c r="Q1572" t="s">
        <v>36</v>
      </c>
      <c r="R1572" t="s">
        <v>47</v>
      </c>
      <c r="S1572" t="s">
        <v>30</v>
      </c>
      <c r="T1572" t="s">
        <v>31</v>
      </c>
      <c r="U1572">
        <f t="shared" si="24"/>
        <v>0</v>
      </c>
    </row>
    <row r="1573" spans="1:21" x14ac:dyDescent="0.2">
      <c r="A1573">
        <v>829</v>
      </c>
      <c r="B1573" t="s">
        <v>41</v>
      </c>
      <c r="C1573" t="s">
        <v>21</v>
      </c>
      <c r="D1573">
        <v>28</v>
      </c>
      <c r="E1573">
        <v>3</v>
      </c>
      <c r="F1573">
        <v>132405.51999999999</v>
      </c>
      <c r="G1573">
        <v>3</v>
      </c>
      <c r="H1573" t="s">
        <v>22</v>
      </c>
      <c r="I1573" t="s">
        <v>23</v>
      </c>
      <c r="J1573">
        <v>104889.2</v>
      </c>
      <c r="K1573" t="s">
        <v>22</v>
      </c>
      <c r="L1573">
        <v>0.15875461110916511</v>
      </c>
      <c r="M1573" t="s">
        <v>23</v>
      </c>
      <c r="N1573">
        <v>1</v>
      </c>
      <c r="O1573">
        <v>0</v>
      </c>
      <c r="P1573" t="s">
        <v>34</v>
      </c>
      <c r="Q1573" t="s">
        <v>36</v>
      </c>
      <c r="R1573" t="s">
        <v>26</v>
      </c>
      <c r="S1573" t="s">
        <v>39</v>
      </c>
      <c r="T1573" t="s">
        <v>28</v>
      </c>
      <c r="U1573">
        <f t="shared" si="24"/>
        <v>0</v>
      </c>
    </row>
    <row r="1574" spans="1:21" x14ac:dyDescent="0.2">
      <c r="A1574">
        <v>826</v>
      </c>
      <c r="B1574" t="s">
        <v>42</v>
      </c>
      <c r="C1574" t="s">
        <v>21</v>
      </c>
      <c r="D1574">
        <v>26</v>
      </c>
      <c r="E1574">
        <v>5</v>
      </c>
      <c r="F1574">
        <v>142662.68</v>
      </c>
      <c r="G1574">
        <v>1</v>
      </c>
      <c r="H1574" t="s">
        <v>23</v>
      </c>
      <c r="I1574" t="s">
        <v>23</v>
      </c>
      <c r="J1574">
        <v>60285.3</v>
      </c>
      <c r="K1574" t="s">
        <v>23</v>
      </c>
      <c r="L1574">
        <v>8.3145519201204804E-2</v>
      </c>
      <c r="M1574" t="s">
        <v>23</v>
      </c>
      <c r="N1574">
        <v>0</v>
      </c>
      <c r="O1574">
        <v>0</v>
      </c>
      <c r="P1574" t="s">
        <v>34</v>
      </c>
      <c r="Q1574" t="s">
        <v>36</v>
      </c>
      <c r="R1574" t="s">
        <v>26</v>
      </c>
      <c r="S1574" t="s">
        <v>39</v>
      </c>
      <c r="T1574" t="s">
        <v>40</v>
      </c>
      <c r="U1574">
        <f t="shared" si="24"/>
        <v>1</v>
      </c>
    </row>
    <row r="1575" spans="1:21" x14ac:dyDescent="0.2">
      <c r="A1575">
        <v>747</v>
      </c>
      <c r="B1575" t="s">
        <v>41</v>
      </c>
      <c r="C1575" t="s">
        <v>21</v>
      </c>
      <c r="D1575">
        <v>36</v>
      </c>
      <c r="E1575">
        <v>8</v>
      </c>
      <c r="F1575">
        <v>102603.3</v>
      </c>
      <c r="G1575">
        <v>2</v>
      </c>
      <c r="H1575" t="s">
        <v>22</v>
      </c>
      <c r="I1575" t="s">
        <v>22</v>
      </c>
      <c r="J1575">
        <v>180693.61</v>
      </c>
      <c r="K1575" t="s">
        <v>23</v>
      </c>
      <c r="L1575">
        <v>0.10537938651599831</v>
      </c>
      <c r="M1575" t="s">
        <v>23</v>
      </c>
      <c r="N1575">
        <v>0</v>
      </c>
      <c r="O1575">
        <v>0</v>
      </c>
      <c r="P1575" t="s">
        <v>34</v>
      </c>
      <c r="Q1575" t="s">
        <v>33</v>
      </c>
      <c r="R1575" t="s">
        <v>26</v>
      </c>
      <c r="S1575" t="s">
        <v>37</v>
      </c>
      <c r="T1575" t="s">
        <v>31</v>
      </c>
      <c r="U1575">
        <f t="shared" si="24"/>
        <v>1</v>
      </c>
    </row>
    <row r="1576" spans="1:21" x14ac:dyDescent="0.2">
      <c r="A1576">
        <v>603</v>
      </c>
      <c r="B1576" t="s">
        <v>20</v>
      </c>
      <c r="C1576" t="s">
        <v>21</v>
      </c>
      <c r="D1576">
        <v>57</v>
      </c>
      <c r="E1576">
        <v>6</v>
      </c>
      <c r="F1576">
        <v>105000.85</v>
      </c>
      <c r="G1576">
        <v>2</v>
      </c>
      <c r="H1576" t="s">
        <v>22</v>
      </c>
      <c r="I1576" t="s">
        <v>22</v>
      </c>
      <c r="J1576">
        <v>87412.24</v>
      </c>
      <c r="K1576" t="s">
        <v>22</v>
      </c>
      <c r="L1576">
        <v>0.22414530239749131</v>
      </c>
      <c r="M1576" t="s">
        <v>23</v>
      </c>
      <c r="N1576">
        <v>1</v>
      </c>
      <c r="O1576">
        <v>0</v>
      </c>
      <c r="P1576" t="s">
        <v>24</v>
      </c>
      <c r="Q1576" t="s">
        <v>44</v>
      </c>
      <c r="R1576" t="s">
        <v>26</v>
      </c>
      <c r="S1576" t="s">
        <v>27</v>
      </c>
      <c r="T1576" t="s">
        <v>40</v>
      </c>
      <c r="U1576">
        <f t="shared" si="24"/>
        <v>0</v>
      </c>
    </row>
    <row r="1577" spans="1:21" x14ac:dyDescent="0.2">
      <c r="A1577">
        <v>591</v>
      </c>
      <c r="B1577" t="s">
        <v>41</v>
      </c>
      <c r="C1577" t="s">
        <v>32</v>
      </c>
      <c r="D1577">
        <v>44</v>
      </c>
      <c r="E1577">
        <v>10</v>
      </c>
      <c r="F1577">
        <v>113581.98</v>
      </c>
      <c r="G1577">
        <v>1</v>
      </c>
      <c r="H1577" t="s">
        <v>22</v>
      </c>
      <c r="I1577" t="s">
        <v>23</v>
      </c>
      <c r="J1577">
        <v>1985.41</v>
      </c>
      <c r="K1577" t="s">
        <v>23</v>
      </c>
      <c r="L1577">
        <v>0.54759598901599849</v>
      </c>
      <c r="M1577" t="s">
        <v>22</v>
      </c>
      <c r="N1577">
        <v>0</v>
      </c>
      <c r="O1577">
        <v>1</v>
      </c>
      <c r="P1577" t="s">
        <v>43</v>
      </c>
      <c r="Q1577" t="s">
        <v>25</v>
      </c>
      <c r="R1577" t="s">
        <v>26</v>
      </c>
      <c r="S1577" t="s">
        <v>30</v>
      </c>
      <c r="T1577" t="s">
        <v>35</v>
      </c>
      <c r="U1577">
        <f t="shared" si="24"/>
        <v>0</v>
      </c>
    </row>
    <row r="1578" spans="1:21" x14ac:dyDescent="0.2">
      <c r="A1578">
        <v>574</v>
      </c>
      <c r="B1578" t="s">
        <v>42</v>
      </c>
      <c r="C1578" t="s">
        <v>21</v>
      </c>
      <c r="D1578">
        <v>34</v>
      </c>
      <c r="E1578">
        <v>1</v>
      </c>
      <c r="F1578">
        <v>112572.39</v>
      </c>
      <c r="G1578">
        <v>1</v>
      </c>
      <c r="H1578" t="s">
        <v>23</v>
      </c>
      <c r="I1578" t="s">
        <v>23</v>
      </c>
      <c r="J1578">
        <v>165626.6</v>
      </c>
      <c r="K1578" t="s">
        <v>23</v>
      </c>
      <c r="L1578">
        <v>0.17166877912530881</v>
      </c>
      <c r="M1578" t="s">
        <v>23</v>
      </c>
      <c r="N1578">
        <v>0</v>
      </c>
      <c r="O1578">
        <v>0</v>
      </c>
      <c r="P1578" t="s">
        <v>34</v>
      </c>
      <c r="Q1578" t="s">
        <v>33</v>
      </c>
      <c r="R1578" t="s">
        <v>26</v>
      </c>
      <c r="S1578" t="s">
        <v>30</v>
      </c>
      <c r="T1578" t="s">
        <v>31</v>
      </c>
      <c r="U1578">
        <f t="shared" si="24"/>
        <v>1</v>
      </c>
    </row>
    <row r="1579" spans="1:21" x14ac:dyDescent="0.2">
      <c r="A1579">
        <v>701</v>
      </c>
      <c r="B1579" t="s">
        <v>42</v>
      </c>
      <c r="C1579" t="s">
        <v>32</v>
      </c>
      <c r="D1579">
        <v>35</v>
      </c>
      <c r="E1579">
        <v>2</v>
      </c>
      <c r="F1579">
        <v>0</v>
      </c>
      <c r="G1579">
        <v>2</v>
      </c>
      <c r="H1579" t="s">
        <v>22</v>
      </c>
      <c r="I1579" t="s">
        <v>22</v>
      </c>
      <c r="J1579">
        <v>65765.22</v>
      </c>
      <c r="K1579" t="s">
        <v>23</v>
      </c>
      <c r="L1579">
        <v>6.7018391214997322E-2</v>
      </c>
      <c r="M1579" t="s">
        <v>23</v>
      </c>
      <c r="N1579">
        <v>0</v>
      </c>
      <c r="O1579">
        <v>0</v>
      </c>
      <c r="P1579" t="s">
        <v>34</v>
      </c>
      <c r="Q1579" t="s">
        <v>33</v>
      </c>
      <c r="R1579" t="s">
        <v>29</v>
      </c>
      <c r="S1579" t="s">
        <v>37</v>
      </c>
      <c r="T1579" t="s">
        <v>40</v>
      </c>
      <c r="U1579">
        <f t="shared" si="24"/>
        <v>1</v>
      </c>
    </row>
    <row r="1580" spans="1:21" x14ac:dyDescent="0.2">
      <c r="A1580">
        <v>638</v>
      </c>
      <c r="B1580" t="s">
        <v>41</v>
      </c>
      <c r="C1580" t="s">
        <v>32</v>
      </c>
      <c r="D1580">
        <v>26</v>
      </c>
      <c r="E1580">
        <v>1</v>
      </c>
      <c r="F1580">
        <v>105249.76</v>
      </c>
      <c r="G1580">
        <v>2</v>
      </c>
      <c r="H1580" t="s">
        <v>22</v>
      </c>
      <c r="I1580" t="s">
        <v>22</v>
      </c>
      <c r="J1580">
        <v>23491.09</v>
      </c>
      <c r="K1580" t="s">
        <v>23</v>
      </c>
      <c r="L1580">
        <v>9.9893817389777359E-2</v>
      </c>
      <c r="M1580" t="s">
        <v>23</v>
      </c>
      <c r="N1580">
        <v>0</v>
      </c>
      <c r="O1580">
        <v>0</v>
      </c>
      <c r="P1580" t="s">
        <v>34</v>
      </c>
      <c r="Q1580" t="s">
        <v>36</v>
      </c>
      <c r="R1580" t="s">
        <v>26</v>
      </c>
      <c r="S1580" t="s">
        <v>27</v>
      </c>
      <c r="T1580" t="s">
        <v>35</v>
      </c>
      <c r="U1580">
        <f t="shared" si="24"/>
        <v>1</v>
      </c>
    </row>
    <row r="1581" spans="1:21" x14ac:dyDescent="0.2">
      <c r="A1581">
        <v>569</v>
      </c>
      <c r="B1581" t="s">
        <v>20</v>
      </c>
      <c r="C1581" t="s">
        <v>21</v>
      </c>
      <c r="D1581">
        <v>41</v>
      </c>
      <c r="E1581">
        <v>2</v>
      </c>
      <c r="F1581">
        <v>0</v>
      </c>
      <c r="G1581">
        <v>2</v>
      </c>
      <c r="H1581" t="s">
        <v>22</v>
      </c>
      <c r="I1581" t="s">
        <v>23</v>
      </c>
      <c r="J1581">
        <v>134272.57</v>
      </c>
      <c r="K1581" t="s">
        <v>23</v>
      </c>
      <c r="L1581">
        <v>0.1855895311262781</v>
      </c>
      <c r="M1581" t="s">
        <v>23</v>
      </c>
      <c r="N1581">
        <v>0</v>
      </c>
      <c r="O1581">
        <v>0</v>
      </c>
      <c r="P1581" t="s">
        <v>34</v>
      </c>
      <c r="Q1581" t="s">
        <v>25</v>
      </c>
      <c r="R1581" t="s">
        <v>29</v>
      </c>
      <c r="S1581" t="s">
        <v>30</v>
      </c>
      <c r="T1581" t="s">
        <v>28</v>
      </c>
      <c r="U1581">
        <f t="shared" si="24"/>
        <v>1</v>
      </c>
    </row>
    <row r="1582" spans="1:21" x14ac:dyDescent="0.2">
      <c r="A1582">
        <v>632</v>
      </c>
      <c r="B1582" t="s">
        <v>41</v>
      </c>
      <c r="C1582" t="s">
        <v>21</v>
      </c>
      <c r="D1582">
        <v>23</v>
      </c>
      <c r="E1582">
        <v>3</v>
      </c>
      <c r="F1582">
        <v>122478.51</v>
      </c>
      <c r="G1582">
        <v>1</v>
      </c>
      <c r="H1582" t="s">
        <v>22</v>
      </c>
      <c r="I1582" t="s">
        <v>23</v>
      </c>
      <c r="J1582">
        <v>147230.76999999999</v>
      </c>
      <c r="K1582" t="s">
        <v>22</v>
      </c>
      <c r="L1582">
        <v>0.15499904409383941</v>
      </c>
      <c r="M1582" t="s">
        <v>23</v>
      </c>
      <c r="N1582">
        <v>1</v>
      </c>
      <c r="O1582">
        <v>0</v>
      </c>
      <c r="P1582" t="s">
        <v>34</v>
      </c>
      <c r="Q1582" t="s">
        <v>36</v>
      </c>
      <c r="R1582" t="s">
        <v>26</v>
      </c>
      <c r="S1582" t="s">
        <v>27</v>
      </c>
      <c r="T1582" t="s">
        <v>28</v>
      </c>
      <c r="U1582">
        <f t="shared" si="24"/>
        <v>0</v>
      </c>
    </row>
    <row r="1583" spans="1:21" x14ac:dyDescent="0.2">
      <c r="A1583">
        <v>616</v>
      </c>
      <c r="B1583" t="s">
        <v>42</v>
      </c>
      <c r="C1583" t="s">
        <v>32</v>
      </c>
      <c r="D1583">
        <v>31</v>
      </c>
      <c r="E1583">
        <v>3</v>
      </c>
      <c r="F1583">
        <v>136789.14000000001</v>
      </c>
      <c r="G1583">
        <v>1</v>
      </c>
      <c r="H1583" t="s">
        <v>22</v>
      </c>
      <c r="I1583" t="s">
        <v>23</v>
      </c>
      <c r="J1583">
        <v>59346.400000000001</v>
      </c>
      <c r="K1583" t="s">
        <v>22</v>
      </c>
      <c r="L1583">
        <v>0.20653887255787429</v>
      </c>
      <c r="M1583" t="s">
        <v>23</v>
      </c>
      <c r="N1583">
        <v>1</v>
      </c>
      <c r="O1583">
        <v>0</v>
      </c>
      <c r="P1583" t="s">
        <v>24</v>
      </c>
      <c r="Q1583" t="s">
        <v>33</v>
      </c>
      <c r="R1583" t="s">
        <v>26</v>
      </c>
      <c r="S1583" t="s">
        <v>27</v>
      </c>
      <c r="T1583" t="s">
        <v>40</v>
      </c>
      <c r="U1583">
        <f t="shared" si="24"/>
        <v>0</v>
      </c>
    </row>
    <row r="1584" spans="1:21" x14ac:dyDescent="0.2">
      <c r="A1584">
        <v>664</v>
      </c>
      <c r="B1584" t="s">
        <v>42</v>
      </c>
      <c r="C1584" t="s">
        <v>21</v>
      </c>
      <c r="D1584">
        <v>36</v>
      </c>
      <c r="E1584">
        <v>1</v>
      </c>
      <c r="F1584">
        <v>0</v>
      </c>
      <c r="G1584">
        <v>2</v>
      </c>
      <c r="H1584" t="s">
        <v>22</v>
      </c>
      <c r="I1584" t="s">
        <v>22</v>
      </c>
      <c r="J1584">
        <v>95372.64</v>
      </c>
      <c r="K1584" t="s">
        <v>23</v>
      </c>
      <c r="L1584">
        <v>4.5436869860385108E-2</v>
      </c>
      <c r="M1584" t="s">
        <v>23</v>
      </c>
      <c r="N1584">
        <v>0</v>
      </c>
      <c r="O1584">
        <v>0</v>
      </c>
      <c r="P1584" t="s">
        <v>34</v>
      </c>
      <c r="Q1584" t="s">
        <v>33</v>
      </c>
      <c r="R1584" t="s">
        <v>29</v>
      </c>
      <c r="S1584" t="s">
        <v>27</v>
      </c>
      <c r="T1584" t="s">
        <v>40</v>
      </c>
      <c r="U1584">
        <f t="shared" si="24"/>
        <v>1</v>
      </c>
    </row>
    <row r="1585" spans="1:21" x14ac:dyDescent="0.2">
      <c r="A1585">
        <v>694</v>
      </c>
      <c r="B1585" t="s">
        <v>42</v>
      </c>
      <c r="C1585" t="s">
        <v>21</v>
      </c>
      <c r="D1585">
        <v>30</v>
      </c>
      <c r="E1585">
        <v>10</v>
      </c>
      <c r="F1585">
        <v>144684.03</v>
      </c>
      <c r="G1585">
        <v>1</v>
      </c>
      <c r="H1585" t="s">
        <v>22</v>
      </c>
      <c r="I1585" t="s">
        <v>22</v>
      </c>
      <c r="J1585">
        <v>31805.49</v>
      </c>
      <c r="K1585" t="s">
        <v>23</v>
      </c>
      <c r="L1585">
        <v>3.7517411356863387E-2</v>
      </c>
      <c r="M1585" t="s">
        <v>23</v>
      </c>
      <c r="N1585">
        <v>0</v>
      </c>
      <c r="O1585">
        <v>0</v>
      </c>
      <c r="P1585" t="s">
        <v>34</v>
      </c>
      <c r="Q1585" t="s">
        <v>36</v>
      </c>
      <c r="R1585" t="s">
        <v>26</v>
      </c>
      <c r="S1585" t="s">
        <v>27</v>
      </c>
      <c r="T1585" t="s">
        <v>35</v>
      </c>
      <c r="U1585">
        <f t="shared" si="24"/>
        <v>1</v>
      </c>
    </row>
    <row r="1586" spans="1:21" x14ac:dyDescent="0.2">
      <c r="A1586">
        <v>655</v>
      </c>
      <c r="B1586" t="s">
        <v>42</v>
      </c>
      <c r="C1586" t="s">
        <v>21</v>
      </c>
      <c r="D1586">
        <v>24</v>
      </c>
      <c r="E1586">
        <v>9</v>
      </c>
      <c r="F1586">
        <v>107065.31</v>
      </c>
      <c r="G1586">
        <v>1</v>
      </c>
      <c r="H1586" t="s">
        <v>22</v>
      </c>
      <c r="I1586" t="s">
        <v>22</v>
      </c>
      <c r="J1586">
        <v>51959.82</v>
      </c>
      <c r="K1586" t="s">
        <v>23</v>
      </c>
      <c r="L1586">
        <v>2.3474064540433579E-2</v>
      </c>
      <c r="M1586" t="s">
        <v>23</v>
      </c>
      <c r="N1586">
        <v>0</v>
      </c>
      <c r="O1586">
        <v>0</v>
      </c>
      <c r="P1586" t="s">
        <v>34</v>
      </c>
      <c r="Q1586" t="s">
        <v>36</v>
      </c>
      <c r="R1586" t="s">
        <v>26</v>
      </c>
      <c r="S1586" t="s">
        <v>27</v>
      </c>
      <c r="T1586" t="s">
        <v>40</v>
      </c>
      <c r="U1586">
        <f t="shared" si="24"/>
        <v>1</v>
      </c>
    </row>
    <row r="1587" spans="1:21" x14ac:dyDescent="0.2">
      <c r="A1587">
        <v>607</v>
      </c>
      <c r="B1587" t="s">
        <v>42</v>
      </c>
      <c r="C1587" t="s">
        <v>32</v>
      </c>
      <c r="D1587">
        <v>33</v>
      </c>
      <c r="E1587">
        <v>8</v>
      </c>
      <c r="F1587">
        <v>91301.72</v>
      </c>
      <c r="G1587">
        <v>1</v>
      </c>
      <c r="H1587" t="s">
        <v>23</v>
      </c>
      <c r="I1587" t="s">
        <v>22</v>
      </c>
      <c r="J1587">
        <v>130824.57</v>
      </c>
      <c r="K1587" t="s">
        <v>23</v>
      </c>
      <c r="L1587">
        <v>8.1196972255937208E-2</v>
      </c>
      <c r="M1587" t="s">
        <v>23</v>
      </c>
      <c r="N1587">
        <v>0</v>
      </c>
      <c r="O1587">
        <v>0</v>
      </c>
      <c r="P1587" t="s">
        <v>34</v>
      </c>
      <c r="Q1587" t="s">
        <v>33</v>
      </c>
      <c r="R1587" t="s">
        <v>38</v>
      </c>
      <c r="S1587" t="s">
        <v>27</v>
      </c>
      <c r="T1587" t="s">
        <v>28</v>
      </c>
      <c r="U1587">
        <f t="shared" si="24"/>
        <v>1</v>
      </c>
    </row>
    <row r="1588" spans="1:21" x14ac:dyDescent="0.2">
      <c r="A1588">
        <v>763</v>
      </c>
      <c r="B1588" t="s">
        <v>20</v>
      </c>
      <c r="C1588" t="s">
        <v>21</v>
      </c>
      <c r="D1588">
        <v>37</v>
      </c>
      <c r="E1588">
        <v>8</v>
      </c>
      <c r="F1588">
        <v>0</v>
      </c>
      <c r="G1588">
        <v>2</v>
      </c>
      <c r="H1588" t="s">
        <v>22</v>
      </c>
      <c r="I1588" t="s">
        <v>22</v>
      </c>
      <c r="J1588">
        <v>933.38</v>
      </c>
      <c r="K1588" t="s">
        <v>23</v>
      </c>
      <c r="L1588">
        <v>3.9452584139409351E-2</v>
      </c>
      <c r="M1588" t="s">
        <v>23</v>
      </c>
      <c r="N1588">
        <v>0</v>
      </c>
      <c r="O1588">
        <v>0</v>
      </c>
      <c r="P1588" t="s">
        <v>34</v>
      </c>
      <c r="Q1588" t="s">
        <v>33</v>
      </c>
      <c r="R1588" t="s">
        <v>29</v>
      </c>
      <c r="S1588" t="s">
        <v>37</v>
      </c>
      <c r="T1588" t="s">
        <v>35</v>
      </c>
      <c r="U1588">
        <f t="shared" si="24"/>
        <v>1</v>
      </c>
    </row>
    <row r="1589" spans="1:21" x14ac:dyDescent="0.2">
      <c r="A1589">
        <v>666</v>
      </c>
      <c r="B1589" t="s">
        <v>20</v>
      </c>
      <c r="C1589" t="s">
        <v>32</v>
      </c>
      <c r="D1589">
        <v>36</v>
      </c>
      <c r="E1589">
        <v>6</v>
      </c>
      <c r="F1589">
        <v>0</v>
      </c>
      <c r="G1589">
        <v>2</v>
      </c>
      <c r="H1589" t="s">
        <v>22</v>
      </c>
      <c r="I1589" t="s">
        <v>23</v>
      </c>
      <c r="J1589">
        <v>176692.87</v>
      </c>
      <c r="K1589" t="s">
        <v>23</v>
      </c>
      <c r="L1589">
        <v>0.19403632772282581</v>
      </c>
      <c r="M1589" t="s">
        <v>23</v>
      </c>
      <c r="N1589">
        <v>0</v>
      </c>
      <c r="O1589">
        <v>0</v>
      </c>
      <c r="P1589" t="s">
        <v>34</v>
      </c>
      <c r="Q1589" t="s">
        <v>33</v>
      </c>
      <c r="R1589" t="s">
        <v>29</v>
      </c>
      <c r="S1589" t="s">
        <v>27</v>
      </c>
      <c r="T1589" t="s">
        <v>31</v>
      </c>
      <c r="U1589">
        <f t="shared" si="24"/>
        <v>1</v>
      </c>
    </row>
    <row r="1590" spans="1:21" x14ac:dyDescent="0.2">
      <c r="A1590">
        <v>622</v>
      </c>
      <c r="B1590" t="s">
        <v>20</v>
      </c>
      <c r="C1590" t="s">
        <v>21</v>
      </c>
      <c r="D1590">
        <v>42</v>
      </c>
      <c r="E1590">
        <v>9</v>
      </c>
      <c r="F1590">
        <v>0</v>
      </c>
      <c r="G1590">
        <v>2</v>
      </c>
      <c r="H1590" t="s">
        <v>22</v>
      </c>
      <c r="I1590" t="s">
        <v>23</v>
      </c>
      <c r="J1590">
        <v>119127.06</v>
      </c>
      <c r="K1590" t="s">
        <v>23</v>
      </c>
      <c r="L1590">
        <v>0.16957885020505631</v>
      </c>
      <c r="M1590" t="s">
        <v>23</v>
      </c>
      <c r="N1590">
        <v>0</v>
      </c>
      <c r="O1590">
        <v>0</v>
      </c>
      <c r="P1590" t="s">
        <v>34</v>
      </c>
      <c r="Q1590" t="s">
        <v>25</v>
      </c>
      <c r="R1590" t="s">
        <v>29</v>
      </c>
      <c r="S1590" t="s">
        <v>27</v>
      </c>
      <c r="T1590" t="s">
        <v>28</v>
      </c>
      <c r="U1590">
        <f t="shared" si="24"/>
        <v>1</v>
      </c>
    </row>
    <row r="1591" spans="1:21" x14ac:dyDescent="0.2">
      <c r="A1591">
        <v>624</v>
      </c>
      <c r="B1591" t="s">
        <v>20</v>
      </c>
      <c r="C1591" t="s">
        <v>32</v>
      </c>
      <c r="D1591">
        <v>36</v>
      </c>
      <c r="E1591">
        <v>10</v>
      </c>
      <c r="F1591">
        <v>0</v>
      </c>
      <c r="G1591">
        <v>2</v>
      </c>
      <c r="H1591" t="s">
        <v>23</v>
      </c>
      <c r="I1591" t="s">
        <v>22</v>
      </c>
      <c r="J1591">
        <v>186180.42</v>
      </c>
      <c r="K1591" t="s">
        <v>23</v>
      </c>
      <c r="L1591">
        <v>7.4027267275547398E-2</v>
      </c>
      <c r="M1591" t="s">
        <v>23</v>
      </c>
      <c r="N1591">
        <v>0</v>
      </c>
      <c r="O1591">
        <v>0</v>
      </c>
      <c r="P1591" t="s">
        <v>34</v>
      </c>
      <c r="Q1591" t="s">
        <v>33</v>
      </c>
      <c r="R1591" t="s">
        <v>29</v>
      </c>
      <c r="S1591" t="s">
        <v>27</v>
      </c>
      <c r="T1591" t="s">
        <v>31</v>
      </c>
      <c r="U1591">
        <f t="shared" si="24"/>
        <v>1</v>
      </c>
    </row>
    <row r="1592" spans="1:21" x14ac:dyDescent="0.2">
      <c r="A1592">
        <v>811</v>
      </c>
      <c r="B1592" t="s">
        <v>42</v>
      </c>
      <c r="C1592" t="s">
        <v>32</v>
      </c>
      <c r="D1592">
        <v>47</v>
      </c>
      <c r="E1592">
        <v>3</v>
      </c>
      <c r="F1592">
        <v>123365.34</v>
      </c>
      <c r="G1592">
        <v>2</v>
      </c>
      <c r="H1592" t="s">
        <v>23</v>
      </c>
      <c r="I1592" t="s">
        <v>23</v>
      </c>
      <c r="J1592">
        <v>171995.34</v>
      </c>
      <c r="K1592" t="s">
        <v>23</v>
      </c>
      <c r="L1592">
        <v>0.41576234200267298</v>
      </c>
      <c r="M1592" t="s">
        <v>23</v>
      </c>
      <c r="N1592">
        <v>0</v>
      </c>
      <c r="O1592">
        <v>0</v>
      </c>
      <c r="P1592" t="s">
        <v>24</v>
      </c>
      <c r="Q1592" t="s">
        <v>25</v>
      </c>
      <c r="R1592" t="s">
        <v>26</v>
      </c>
      <c r="S1592" t="s">
        <v>39</v>
      </c>
      <c r="T1592" t="s">
        <v>31</v>
      </c>
      <c r="U1592">
        <f t="shared" si="24"/>
        <v>1</v>
      </c>
    </row>
    <row r="1593" spans="1:21" x14ac:dyDescent="0.2">
      <c r="A1593">
        <v>548</v>
      </c>
      <c r="B1593" t="s">
        <v>20</v>
      </c>
      <c r="C1593" t="s">
        <v>21</v>
      </c>
      <c r="D1593">
        <v>33</v>
      </c>
      <c r="E1593">
        <v>6</v>
      </c>
      <c r="F1593">
        <v>0</v>
      </c>
      <c r="G1593">
        <v>1</v>
      </c>
      <c r="H1593" t="s">
        <v>22</v>
      </c>
      <c r="I1593" t="s">
        <v>22</v>
      </c>
      <c r="J1593">
        <v>31728.35</v>
      </c>
      <c r="K1593" t="s">
        <v>23</v>
      </c>
      <c r="L1593">
        <v>3.995943515892833E-2</v>
      </c>
      <c r="M1593" t="s">
        <v>23</v>
      </c>
      <c r="N1593">
        <v>0</v>
      </c>
      <c r="O1593">
        <v>0</v>
      </c>
      <c r="P1593" t="s">
        <v>34</v>
      </c>
      <c r="Q1593" t="s">
        <v>33</v>
      </c>
      <c r="R1593" t="s">
        <v>29</v>
      </c>
      <c r="S1593" t="s">
        <v>30</v>
      </c>
      <c r="T1593" t="s">
        <v>35</v>
      </c>
      <c r="U1593">
        <f t="shared" si="24"/>
        <v>1</v>
      </c>
    </row>
    <row r="1594" spans="1:21" x14ac:dyDescent="0.2">
      <c r="A1594">
        <v>707</v>
      </c>
      <c r="B1594" t="s">
        <v>42</v>
      </c>
      <c r="C1594" t="s">
        <v>21</v>
      </c>
      <c r="D1594">
        <v>33</v>
      </c>
      <c r="E1594">
        <v>2</v>
      </c>
      <c r="F1594">
        <v>0</v>
      </c>
      <c r="G1594">
        <v>2</v>
      </c>
      <c r="H1594" t="s">
        <v>23</v>
      </c>
      <c r="I1594" t="s">
        <v>23</v>
      </c>
      <c r="J1594">
        <v>130866.95</v>
      </c>
      <c r="K1594" t="s">
        <v>23</v>
      </c>
      <c r="L1594">
        <v>0.1020612751229808</v>
      </c>
      <c r="M1594" t="s">
        <v>23</v>
      </c>
      <c r="N1594">
        <v>0</v>
      </c>
      <c r="O1594">
        <v>0</v>
      </c>
      <c r="P1594" t="s">
        <v>34</v>
      </c>
      <c r="Q1594" t="s">
        <v>33</v>
      </c>
      <c r="R1594" t="s">
        <v>29</v>
      </c>
      <c r="S1594" t="s">
        <v>37</v>
      </c>
      <c r="T1594" t="s">
        <v>28</v>
      </c>
      <c r="U1594">
        <f t="shared" si="24"/>
        <v>1</v>
      </c>
    </row>
    <row r="1595" spans="1:21" x14ac:dyDescent="0.2">
      <c r="A1595">
        <v>605</v>
      </c>
      <c r="B1595" t="s">
        <v>41</v>
      </c>
      <c r="C1595" t="s">
        <v>32</v>
      </c>
      <c r="D1595">
        <v>56</v>
      </c>
      <c r="E1595">
        <v>1</v>
      </c>
      <c r="F1595">
        <v>74129.179999999993</v>
      </c>
      <c r="G1595">
        <v>2</v>
      </c>
      <c r="H1595" t="s">
        <v>22</v>
      </c>
      <c r="I1595" t="s">
        <v>22</v>
      </c>
      <c r="J1595">
        <v>62199.78</v>
      </c>
      <c r="K1595" t="s">
        <v>22</v>
      </c>
      <c r="L1595">
        <v>0.49630864364041272</v>
      </c>
      <c r="M1595" t="s">
        <v>23</v>
      </c>
      <c r="N1595">
        <v>1</v>
      </c>
      <c r="O1595">
        <v>0</v>
      </c>
      <c r="P1595" t="s">
        <v>24</v>
      </c>
      <c r="Q1595" t="s">
        <v>44</v>
      </c>
      <c r="R1595" t="s">
        <v>38</v>
      </c>
      <c r="S1595" t="s">
        <v>27</v>
      </c>
      <c r="T1595" t="s">
        <v>40</v>
      </c>
      <c r="U1595">
        <f t="shared" si="24"/>
        <v>0</v>
      </c>
    </row>
    <row r="1596" spans="1:21" x14ac:dyDescent="0.2">
      <c r="A1596">
        <v>686</v>
      </c>
      <c r="B1596" t="s">
        <v>41</v>
      </c>
      <c r="C1596" t="s">
        <v>21</v>
      </c>
      <c r="D1596">
        <v>29</v>
      </c>
      <c r="E1596">
        <v>3</v>
      </c>
      <c r="F1596">
        <v>185379.02</v>
      </c>
      <c r="G1596">
        <v>1</v>
      </c>
      <c r="H1596" t="s">
        <v>22</v>
      </c>
      <c r="I1596" t="s">
        <v>23</v>
      </c>
      <c r="J1596">
        <v>64679.07</v>
      </c>
      <c r="K1596" t="s">
        <v>23</v>
      </c>
      <c r="L1596">
        <v>0.23640225269135129</v>
      </c>
      <c r="M1596" t="s">
        <v>23</v>
      </c>
      <c r="N1596">
        <v>0</v>
      </c>
      <c r="O1596">
        <v>0</v>
      </c>
      <c r="P1596" t="s">
        <v>24</v>
      </c>
      <c r="Q1596" t="s">
        <v>36</v>
      </c>
      <c r="R1596" t="s">
        <v>47</v>
      </c>
      <c r="S1596" t="s">
        <v>27</v>
      </c>
      <c r="T1596" t="s">
        <v>40</v>
      </c>
      <c r="U1596">
        <f t="shared" si="24"/>
        <v>1</v>
      </c>
    </row>
    <row r="1597" spans="1:21" x14ac:dyDescent="0.2">
      <c r="A1597">
        <v>525</v>
      </c>
      <c r="B1597" t="s">
        <v>41</v>
      </c>
      <c r="C1597" t="s">
        <v>32</v>
      </c>
      <c r="D1597">
        <v>47</v>
      </c>
      <c r="E1597">
        <v>1</v>
      </c>
      <c r="F1597">
        <v>118087.67999999999</v>
      </c>
      <c r="G1597">
        <v>1</v>
      </c>
      <c r="H1597" t="s">
        <v>22</v>
      </c>
      <c r="I1597" t="s">
        <v>23</v>
      </c>
      <c r="J1597">
        <v>88120.78</v>
      </c>
      <c r="K1597" t="s">
        <v>22</v>
      </c>
      <c r="L1597">
        <v>0.66743199077779336</v>
      </c>
      <c r="M1597" t="s">
        <v>22</v>
      </c>
      <c r="N1597">
        <v>1</v>
      </c>
      <c r="O1597">
        <v>1</v>
      </c>
      <c r="P1597" t="s">
        <v>43</v>
      </c>
      <c r="Q1597" t="s">
        <v>25</v>
      </c>
      <c r="R1597" t="s">
        <v>26</v>
      </c>
      <c r="S1597" t="s">
        <v>30</v>
      </c>
      <c r="T1597" t="s">
        <v>40</v>
      </c>
      <c r="U1597">
        <f t="shared" si="24"/>
        <v>1</v>
      </c>
    </row>
    <row r="1598" spans="1:21" x14ac:dyDescent="0.2">
      <c r="A1598">
        <v>484</v>
      </c>
      <c r="B1598" t="s">
        <v>42</v>
      </c>
      <c r="C1598" t="s">
        <v>32</v>
      </c>
      <c r="D1598">
        <v>50</v>
      </c>
      <c r="E1598">
        <v>2</v>
      </c>
      <c r="F1598">
        <v>90408.16</v>
      </c>
      <c r="G1598">
        <v>2</v>
      </c>
      <c r="H1598" t="s">
        <v>23</v>
      </c>
      <c r="I1598" t="s">
        <v>23</v>
      </c>
      <c r="J1598">
        <v>48170.57</v>
      </c>
      <c r="K1598" t="s">
        <v>23</v>
      </c>
      <c r="L1598">
        <v>0.49331762185853839</v>
      </c>
      <c r="M1598" t="s">
        <v>23</v>
      </c>
      <c r="N1598">
        <v>0</v>
      </c>
      <c r="O1598">
        <v>0</v>
      </c>
      <c r="P1598" t="s">
        <v>24</v>
      </c>
      <c r="Q1598" t="s">
        <v>25</v>
      </c>
      <c r="R1598" t="s">
        <v>38</v>
      </c>
      <c r="S1598" t="s">
        <v>45</v>
      </c>
      <c r="T1598" t="s">
        <v>35</v>
      </c>
      <c r="U1598">
        <f t="shared" si="24"/>
        <v>1</v>
      </c>
    </row>
    <row r="1599" spans="1:21" x14ac:dyDescent="0.2">
      <c r="A1599">
        <v>730</v>
      </c>
      <c r="B1599" t="s">
        <v>20</v>
      </c>
      <c r="C1599" t="s">
        <v>32</v>
      </c>
      <c r="D1599">
        <v>39</v>
      </c>
      <c r="E1599">
        <v>6</v>
      </c>
      <c r="F1599">
        <v>140094.59</v>
      </c>
      <c r="G1599">
        <v>1</v>
      </c>
      <c r="H1599" t="s">
        <v>22</v>
      </c>
      <c r="I1599" t="s">
        <v>23</v>
      </c>
      <c r="J1599">
        <v>172450.04</v>
      </c>
      <c r="K1599" t="s">
        <v>22</v>
      </c>
      <c r="L1599">
        <v>0.31389118348800399</v>
      </c>
      <c r="M1599" t="s">
        <v>23</v>
      </c>
      <c r="N1599">
        <v>1</v>
      </c>
      <c r="O1599">
        <v>0</v>
      </c>
      <c r="P1599" t="s">
        <v>24</v>
      </c>
      <c r="Q1599" t="s">
        <v>33</v>
      </c>
      <c r="R1599" t="s">
        <v>26</v>
      </c>
      <c r="S1599" t="s">
        <v>37</v>
      </c>
      <c r="T1599" t="s">
        <v>31</v>
      </c>
      <c r="U1599">
        <f t="shared" si="24"/>
        <v>0</v>
      </c>
    </row>
    <row r="1600" spans="1:21" x14ac:dyDescent="0.2">
      <c r="A1600">
        <v>430</v>
      </c>
      <c r="B1600" t="s">
        <v>41</v>
      </c>
      <c r="C1600" t="s">
        <v>21</v>
      </c>
      <c r="D1600">
        <v>49</v>
      </c>
      <c r="E1600">
        <v>3</v>
      </c>
      <c r="F1600">
        <v>137115.16</v>
      </c>
      <c r="G1600">
        <v>1</v>
      </c>
      <c r="H1600" t="s">
        <v>22</v>
      </c>
      <c r="I1600" t="s">
        <v>23</v>
      </c>
      <c r="J1600">
        <v>146516.85999999999</v>
      </c>
      <c r="K1600" t="s">
        <v>22</v>
      </c>
      <c r="L1600">
        <v>0.59995753706618637</v>
      </c>
      <c r="M1600" t="s">
        <v>22</v>
      </c>
      <c r="N1600">
        <v>1</v>
      </c>
      <c r="O1600">
        <v>1</v>
      </c>
      <c r="P1600" t="s">
        <v>43</v>
      </c>
      <c r="Q1600" t="s">
        <v>25</v>
      </c>
      <c r="R1600" t="s">
        <v>26</v>
      </c>
      <c r="S1600" t="s">
        <v>45</v>
      </c>
      <c r="T1600" t="s">
        <v>28</v>
      </c>
      <c r="U1600">
        <f t="shared" si="24"/>
        <v>1</v>
      </c>
    </row>
    <row r="1601" spans="1:21" x14ac:dyDescent="0.2">
      <c r="A1601">
        <v>609</v>
      </c>
      <c r="B1601" t="s">
        <v>42</v>
      </c>
      <c r="C1601" t="s">
        <v>21</v>
      </c>
      <c r="D1601">
        <v>48</v>
      </c>
      <c r="E1601">
        <v>1</v>
      </c>
      <c r="F1601">
        <v>108019.27</v>
      </c>
      <c r="G1601">
        <v>3</v>
      </c>
      <c r="H1601" t="s">
        <v>22</v>
      </c>
      <c r="I1601" t="s">
        <v>22</v>
      </c>
      <c r="J1601">
        <v>184524.65</v>
      </c>
      <c r="K1601" t="s">
        <v>22</v>
      </c>
      <c r="L1601">
        <v>0.13093647237555439</v>
      </c>
      <c r="M1601" t="s">
        <v>23</v>
      </c>
      <c r="N1601">
        <v>1</v>
      </c>
      <c r="O1601">
        <v>0</v>
      </c>
      <c r="P1601" t="s">
        <v>34</v>
      </c>
      <c r="Q1601" t="s">
        <v>25</v>
      </c>
      <c r="R1601" t="s">
        <v>26</v>
      </c>
      <c r="S1601" t="s">
        <v>27</v>
      </c>
      <c r="T1601" t="s">
        <v>31</v>
      </c>
      <c r="U1601">
        <f t="shared" si="24"/>
        <v>0</v>
      </c>
    </row>
    <row r="1602" spans="1:21" x14ac:dyDescent="0.2">
      <c r="A1602">
        <v>850</v>
      </c>
      <c r="B1602" t="s">
        <v>42</v>
      </c>
      <c r="C1602" t="s">
        <v>21</v>
      </c>
      <c r="D1602">
        <v>58</v>
      </c>
      <c r="E1602">
        <v>8</v>
      </c>
      <c r="F1602">
        <v>156652.13</v>
      </c>
      <c r="G1602">
        <v>1</v>
      </c>
      <c r="H1602" t="s">
        <v>23</v>
      </c>
      <c r="I1602" t="s">
        <v>23</v>
      </c>
      <c r="J1602">
        <v>25899.21</v>
      </c>
      <c r="K1602" t="s">
        <v>22</v>
      </c>
      <c r="L1602">
        <v>0.47713203277539967</v>
      </c>
      <c r="M1602" t="s">
        <v>23</v>
      </c>
      <c r="N1602">
        <v>1</v>
      </c>
      <c r="O1602">
        <v>0</v>
      </c>
      <c r="P1602" t="s">
        <v>24</v>
      </c>
      <c r="Q1602" t="s">
        <v>44</v>
      </c>
      <c r="R1602" t="s">
        <v>47</v>
      </c>
      <c r="S1602" t="s">
        <v>39</v>
      </c>
      <c r="T1602" t="s">
        <v>35</v>
      </c>
      <c r="U1602">
        <f t="shared" ref="U1602:U1665" si="25">IF(K1602=M1602,1,0)</f>
        <v>0</v>
      </c>
    </row>
    <row r="1603" spans="1:21" x14ac:dyDescent="0.2">
      <c r="A1603">
        <v>732</v>
      </c>
      <c r="B1603" t="s">
        <v>42</v>
      </c>
      <c r="C1603" t="s">
        <v>32</v>
      </c>
      <c r="D1603">
        <v>36</v>
      </c>
      <c r="E1603">
        <v>9</v>
      </c>
      <c r="F1603">
        <v>0</v>
      </c>
      <c r="G1603">
        <v>1</v>
      </c>
      <c r="H1603" t="s">
        <v>23</v>
      </c>
      <c r="I1603" t="s">
        <v>23</v>
      </c>
      <c r="J1603">
        <v>3749</v>
      </c>
      <c r="K1603" t="s">
        <v>22</v>
      </c>
      <c r="L1603">
        <v>0.1782269347768064</v>
      </c>
      <c r="M1603" t="s">
        <v>23</v>
      </c>
      <c r="N1603">
        <v>1</v>
      </c>
      <c r="O1603">
        <v>0</v>
      </c>
      <c r="P1603" t="s">
        <v>34</v>
      </c>
      <c r="Q1603" t="s">
        <v>33</v>
      </c>
      <c r="R1603" t="s">
        <v>29</v>
      </c>
      <c r="S1603" t="s">
        <v>37</v>
      </c>
      <c r="T1603" t="s">
        <v>35</v>
      </c>
      <c r="U1603">
        <f t="shared" si="25"/>
        <v>0</v>
      </c>
    </row>
    <row r="1604" spans="1:21" x14ac:dyDescent="0.2">
      <c r="A1604">
        <v>772</v>
      </c>
      <c r="B1604" t="s">
        <v>20</v>
      </c>
      <c r="C1604" t="s">
        <v>21</v>
      </c>
      <c r="D1604">
        <v>36</v>
      </c>
      <c r="E1604">
        <v>3</v>
      </c>
      <c r="F1604">
        <v>112029.83</v>
      </c>
      <c r="G1604">
        <v>1</v>
      </c>
      <c r="H1604" t="s">
        <v>22</v>
      </c>
      <c r="I1604" t="s">
        <v>22</v>
      </c>
      <c r="J1604">
        <v>186948.35</v>
      </c>
      <c r="K1604" t="s">
        <v>23</v>
      </c>
      <c r="L1604">
        <v>6.4425585008998573E-2</v>
      </c>
      <c r="M1604" t="s">
        <v>23</v>
      </c>
      <c r="N1604">
        <v>0</v>
      </c>
      <c r="O1604">
        <v>0</v>
      </c>
      <c r="P1604" t="s">
        <v>34</v>
      </c>
      <c r="Q1604" t="s">
        <v>33</v>
      </c>
      <c r="R1604" t="s">
        <v>26</v>
      </c>
      <c r="S1604" t="s">
        <v>37</v>
      </c>
      <c r="T1604" t="s">
        <v>31</v>
      </c>
      <c r="U1604">
        <f t="shared" si="25"/>
        <v>1</v>
      </c>
    </row>
    <row r="1605" spans="1:21" x14ac:dyDescent="0.2">
      <c r="A1605">
        <v>576</v>
      </c>
      <c r="B1605" t="s">
        <v>41</v>
      </c>
      <c r="C1605" t="s">
        <v>21</v>
      </c>
      <c r="D1605">
        <v>29</v>
      </c>
      <c r="E1605">
        <v>7</v>
      </c>
      <c r="F1605">
        <v>130575.26</v>
      </c>
      <c r="G1605">
        <v>1</v>
      </c>
      <c r="H1605" t="s">
        <v>23</v>
      </c>
      <c r="I1605" t="s">
        <v>22</v>
      </c>
      <c r="J1605">
        <v>173629.78</v>
      </c>
      <c r="K1605" t="s">
        <v>23</v>
      </c>
      <c r="L1605">
        <v>8.995054932328958E-2</v>
      </c>
      <c r="M1605" t="s">
        <v>23</v>
      </c>
      <c r="N1605">
        <v>0</v>
      </c>
      <c r="O1605">
        <v>0</v>
      </c>
      <c r="P1605" t="s">
        <v>34</v>
      </c>
      <c r="Q1605" t="s">
        <v>36</v>
      </c>
      <c r="R1605" t="s">
        <v>26</v>
      </c>
      <c r="S1605" t="s">
        <v>30</v>
      </c>
      <c r="T1605" t="s">
        <v>31</v>
      </c>
      <c r="U1605">
        <f t="shared" si="25"/>
        <v>1</v>
      </c>
    </row>
    <row r="1606" spans="1:21" x14ac:dyDescent="0.2">
      <c r="A1606">
        <v>593</v>
      </c>
      <c r="B1606" t="s">
        <v>42</v>
      </c>
      <c r="C1606" t="s">
        <v>21</v>
      </c>
      <c r="D1606">
        <v>50</v>
      </c>
      <c r="E1606">
        <v>6</v>
      </c>
      <c r="F1606">
        <v>171740.69</v>
      </c>
      <c r="G1606">
        <v>1</v>
      </c>
      <c r="H1606" t="s">
        <v>23</v>
      </c>
      <c r="I1606" t="s">
        <v>23</v>
      </c>
      <c r="J1606">
        <v>20893.61</v>
      </c>
      <c r="K1606" t="s">
        <v>23</v>
      </c>
      <c r="L1606">
        <v>0.3942047474466393</v>
      </c>
      <c r="M1606" t="s">
        <v>23</v>
      </c>
      <c r="N1606">
        <v>0</v>
      </c>
      <c r="O1606">
        <v>0</v>
      </c>
      <c r="P1606" t="s">
        <v>24</v>
      </c>
      <c r="Q1606" t="s">
        <v>25</v>
      </c>
      <c r="R1606" t="s">
        <v>47</v>
      </c>
      <c r="S1606" t="s">
        <v>30</v>
      </c>
      <c r="T1606" t="s">
        <v>35</v>
      </c>
      <c r="U1606">
        <f t="shared" si="25"/>
        <v>1</v>
      </c>
    </row>
    <row r="1607" spans="1:21" x14ac:dyDescent="0.2">
      <c r="A1607">
        <v>770</v>
      </c>
      <c r="B1607" t="s">
        <v>42</v>
      </c>
      <c r="C1607" t="s">
        <v>32</v>
      </c>
      <c r="D1607">
        <v>68</v>
      </c>
      <c r="E1607">
        <v>2</v>
      </c>
      <c r="F1607">
        <v>183555.24</v>
      </c>
      <c r="G1607">
        <v>1</v>
      </c>
      <c r="H1607" t="s">
        <v>23</v>
      </c>
      <c r="I1607" t="s">
        <v>23</v>
      </c>
      <c r="J1607">
        <v>159557.28</v>
      </c>
      <c r="K1607" t="s">
        <v>22</v>
      </c>
      <c r="L1607">
        <v>0.81972516827870934</v>
      </c>
      <c r="M1607" t="s">
        <v>22</v>
      </c>
      <c r="N1607">
        <v>1</v>
      </c>
      <c r="O1607">
        <v>1</v>
      </c>
      <c r="P1607" t="s">
        <v>43</v>
      </c>
      <c r="Q1607" t="s">
        <v>46</v>
      </c>
      <c r="R1607" t="s">
        <v>47</v>
      </c>
      <c r="S1607" t="s">
        <v>37</v>
      </c>
      <c r="T1607" t="s">
        <v>31</v>
      </c>
      <c r="U1607">
        <f t="shared" si="25"/>
        <v>1</v>
      </c>
    </row>
    <row r="1608" spans="1:21" x14ac:dyDescent="0.2">
      <c r="A1608">
        <v>769</v>
      </c>
      <c r="B1608" t="s">
        <v>42</v>
      </c>
      <c r="C1608" t="s">
        <v>32</v>
      </c>
      <c r="D1608">
        <v>31</v>
      </c>
      <c r="E1608">
        <v>6</v>
      </c>
      <c r="F1608">
        <v>117852.26</v>
      </c>
      <c r="G1608">
        <v>2</v>
      </c>
      <c r="H1608" t="s">
        <v>22</v>
      </c>
      <c r="I1608" t="s">
        <v>23</v>
      </c>
      <c r="J1608">
        <v>147668.64000000001</v>
      </c>
      <c r="K1608" t="s">
        <v>23</v>
      </c>
      <c r="L1608">
        <v>0.16596721791111721</v>
      </c>
      <c r="M1608" t="s">
        <v>23</v>
      </c>
      <c r="N1608">
        <v>0</v>
      </c>
      <c r="O1608">
        <v>0</v>
      </c>
      <c r="P1608" t="s">
        <v>34</v>
      </c>
      <c r="Q1608" t="s">
        <v>33</v>
      </c>
      <c r="R1608" t="s">
        <v>26</v>
      </c>
      <c r="S1608" t="s">
        <v>37</v>
      </c>
      <c r="T1608" t="s">
        <v>28</v>
      </c>
      <c r="U1608">
        <f t="shared" si="25"/>
        <v>1</v>
      </c>
    </row>
    <row r="1609" spans="1:21" x14ac:dyDescent="0.2">
      <c r="A1609">
        <v>590</v>
      </c>
      <c r="B1609" t="s">
        <v>20</v>
      </c>
      <c r="C1609" t="s">
        <v>32</v>
      </c>
      <c r="D1609">
        <v>51</v>
      </c>
      <c r="E1609">
        <v>10</v>
      </c>
      <c r="F1609">
        <v>84474.62</v>
      </c>
      <c r="G1609">
        <v>2</v>
      </c>
      <c r="H1609" t="s">
        <v>22</v>
      </c>
      <c r="I1609" t="s">
        <v>22</v>
      </c>
      <c r="J1609">
        <v>190937.09</v>
      </c>
      <c r="K1609" t="s">
        <v>23</v>
      </c>
      <c r="L1609">
        <v>0.23083764869583501</v>
      </c>
      <c r="M1609" t="s">
        <v>23</v>
      </c>
      <c r="N1609">
        <v>0</v>
      </c>
      <c r="O1609">
        <v>0</v>
      </c>
      <c r="P1609" t="s">
        <v>24</v>
      </c>
      <c r="Q1609" t="s">
        <v>44</v>
      </c>
      <c r="R1609" t="s">
        <v>38</v>
      </c>
      <c r="S1609" t="s">
        <v>30</v>
      </c>
      <c r="T1609" t="s">
        <v>31</v>
      </c>
      <c r="U1609">
        <f t="shared" si="25"/>
        <v>1</v>
      </c>
    </row>
    <row r="1610" spans="1:21" x14ac:dyDescent="0.2">
      <c r="A1610">
        <v>578</v>
      </c>
      <c r="B1610" t="s">
        <v>42</v>
      </c>
      <c r="C1610" t="s">
        <v>32</v>
      </c>
      <c r="D1610">
        <v>35</v>
      </c>
      <c r="E1610">
        <v>2</v>
      </c>
      <c r="F1610">
        <v>0</v>
      </c>
      <c r="G1610">
        <v>2</v>
      </c>
      <c r="H1610" t="s">
        <v>23</v>
      </c>
      <c r="I1610" t="s">
        <v>22</v>
      </c>
      <c r="J1610">
        <v>26389.919999999998</v>
      </c>
      <c r="K1610" t="s">
        <v>23</v>
      </c>
      <c r="L1610">
        <v>7.3231514376166817E-2</v>
      </c>
      <c r="M1610" t="s">
        <v>23</v>
      </c>
      <c r="N1610">
        <v>0</v>
      </c>
      <c r="O1610">
        <v>0</v>
      </c>
      <c r="P1610" t="s">
        <v>34</v>
      </c>
      <c r="Q1610" t="s">
        <v>33</v>
      </c>
      <c r="R1610" t="s">
        <v>29</v>
      </c>
      <c r="S1610" t="s">
        <v>30</v>
      </c>
      <c r="T1610" t="s">
        <v>35</v>
      </c>
      <c r="U1610">
        <f t="shared" si="25"/>
        <v>1</v>
      </c>
    </row>
    <row r="1611" spans="1:21" x14ac:dyDescent="0.2">
      <c r="A1611">
        <v>523</v>
      </c>
      <c r="B1611" t="s">
        <v>42</v>
      </c>
      <c r="C1611" t="s">
        <v>21</v>
      </c>
      <c r="D1611">
        <v>45</v>
      </c>
      <c r="E1611">
        <v>5</v>
      </c>
      <c r="F1611">
        <v>0</v>
      </c>
      <c r="G1611">
        <v>2</v>
      </c>
      <c r="H1611" t="s">
        <v>22</v>
      </c>
      <c r="I1611" t="s">
        <v>22</v>
      </c>
      <c r="J1611">
        <v>121428.2</v>
      </c>
      <c r="K1611" t="s">
        <v>23</v>
      </c>
      <c r="L1611">
        <v>8.7388443146473635E-2</v>
      </c>
      <c r="M1611" t="s">
        <v>23</v>
      </c>
      <c r="N1611">
        <v>0</v>
      </c>
      <c r="O1611">
        <v>0</v>
      </c>
      <c r="P1611" t="s">
        <v>34</v>
      </c>
      <c r="Q1611" t="s">
        <v>25</v>
      </c>
      <c r="R1611" t="s">
        <v>29</v>
      </c>
      <c r="S1611" t="s">
        <v>30</v>
      </c>
      <c r="T1611" t="s">
        <v>28</v>
      </c>
      <c r="U1611">
        <f t="shared" si="25"/>
        <v>1</v>
      </c>
    </row>
    <row r="1612" spans="1:21" x14ac:dyDescent="0.2">
      <c r="A1612">
        <v>729</v>
      </c>
      <c r="B1612" t="s">
        <v>41</v>
      </c>
      <c r="C1612" t="s">
        <v>21</v>
      </c>
      <c r="D1612">
        <v>39</v>
      </c>
      <c r="E1612">
        <v>6</v>
      </c>
      <c r="F1612">
        <v>127415.85</v>
      </c>
      <c r="G1612">
        <v>1</v>
      </c>
      <c r="H1612" t="s">
        <v>22</v>
      </c>
      <c r="I1612" t="s">
        <v>22</v>
      </c>
      <c r="J1612">
        <v>184977.2</v>
      </c>
      <c r="K1612" t="s">
        <v>22</v>
      </c>
      <c r="L1612">
        <v>0.155185031715182</v>
      </c>
      <c r="M1612" t="s">
        <v>23</v>
      </c>
      <c r="N1612">
        <v>1</v>
      </c>
      <c r="O1612">
        <v>0</v>
      </c>
      <c r="P1612" t="s">
        <v>34</v>
      </c>
      <c r="Q1612" t="s">
        <v>33</v>
      </c>
      <c r="R1612" t="s">
        <v>26</v>
      </c>
      <c r="S1612" t="s">
        <v>37</v>
      </c>
      <c r="T1612" t="s">
        <v>31</v>
      </c>
      <c r="U1612">
        <f t="shared" si="25"/>
        <v>0</v>
      </c>
    </row>
    <row r="1613" spans="1:21" x14ac:dyDescent="0.2">
      <c r="A1613">
        <v>720</v>
      </c>
      <c r="B1613" t="s">
        <v>42</v>
      </c>
      <c r="C1613" t="s">
        <v>32</v>
      </c>
      <c r="D1613">
        <v>34</v>
      </c>
      <c r="E1613">
        <v>3</v>
      </c>
      <c r="F1613">
        <v>118307.57</v>
      </c>
      <c r="G1613">
        <v>2</v>
      </c>
      <c r="H1613" t="s">
        <v>22</v>
      </c>
      <c r="I1613" t="s">
        <v>22</v>
      </c>
      <c r="J1613">
        <v>136120.29</v>
      </c>
      <c r="K1613" t="s">
        <v>23</v>
      </c>
      <c r="L1613">
        <v>8.3603529482756372E-2</v>
      </c>
      <c r="M1613" t="s">
        <v>23</v>
      </c>
      <c r="N1613">
        <v>0</v>
      </c>
      <c r="O1613">
        <v>0</v>
      </c>
      <c r="P1613" t="s">
        <v>34</v>
      </c>
      <c r="Q1613" t="s">
        <v>33</v>
      </c>
      <c r="R1613" t="s">
        <v>26</v>
      </c>
      <c r="S1613" t="s">
        <v>37</v>
      </c>
      <c r="T1613" t="s">
        <v>28</v>
      </c>
      <c r="U1613">
        <f t="shared" si="25"/>
        <v>1</v>
      </c>
    </row>
    <row r="1614" spans="1:21" x14ac:dyDescent="0.2">
      <c r="A1614">
        <v>605</v>
      </c>
      <c r="B1614" t="s">
        <v>42</v>
      </c>
      <c r="C1614" t="s">
        <v>32</v>
      </c>
      <c r="D1614">
        <v>36</v>
      </c>
      <c r="E1614">
        <v>6</v>
      </c>
      <c r="F1614">
        <v>0</v>
      </c>
      <c r="G1614">
        <v>1</v>
      </c>
      <c r="H1614" t="s">
        <v>23</v>
      </c>
      <c r="I1614" t="s">
        <v>22</v>
      </c>
      <c r="J1614">
        <v>690.84</v>
      </c>
      <c r="K1614" t="s">
        <v>23</v>
      </c>
      <c r="L1614">
        <v>7.779462908510261E-2</v>
      </c>
      <c r="M1614" t="s">
        <v>23</v>
      </c>
      <c r="N1614">
        <v>0</v>
      </c>
      <c r="O1614">
        <v>0</v>
      </c>
      <c r="P1614" t="s">
        <v>34</v>
      </c>
      <c r="Q1614" t="s">
        <v>33</v>
      </c>
      <c r="R1614" t="s">
        <v>29</v>
      </c>
      <c r="S1614" t="s">
        <v>27</v>
      </c>
      <c r="T1614" t="s">
        <v>35</v>
      </c>
      <c r="U1614">
        <f t="shared" si="25"/>
        <v>1</v>
      </c>
    </row>
    <row r="1615" spans="1:21" x14ac:dyDescent="0.2">
      <c r="A1615">
        <v>615</v>
      </c>
      <c r="B1615" t="s">
        <v>42</v>
      </c>
      <c r="C1615" t="s">
        <v>21</v>
      </c>
      <c r="D1615">
        <v>41</v>
      </c>
      <c r="E1615">
        <v>4</v>
      </c>
      <c r="F1615">
        <v>130385.82</v>
      </c>
      <c r="G1615">
        <v>1</v>
      </c>
      <c r="H1615" t="s">
        <v>23</v>
      </c>
      <c r="I1615" t="s">
        <v>22</v>
      </c>
      <c r="J1615">
        <v>130661.95</v>
      </c>
      <c r="K1615" t="s">
        <v>23</v>
      </c>
      <c r="L1615">
        <v>9.9132340107653996E-2</v>
      </c>
      <c r="M1615" t="s">
        <v>23</v>
      </c>
      <c r="N1615">
        <v>0</v>
      </c>
      <c r="O1615">
        <v>0</v>
      </c>
      <c r="P1615" t="s">
        <v>34</v>
      </c>
      <c r="Q1615" t="s">
        <v>25</v>
      </c>
      <c r="R1615" t="s">
        <v>26</v>
      </c>
      <c r="S1615" t="s">
        <v>27</v>
      </c>
      <c r="T1615" t="s">
        <v>28</v>
      </c>
      <c r="U1615">
        <f t="shared" si="25"/>
        <v>1</v>
      </c>
    </row>
    <row r="1616" spans="1:21" x14ac:dyDescent="0.2">
      <c r="A1616">
        <v>717</v>
      </c>
      <c r="B1616" t="s">
        <v>42</v>
      </c>
      <c r="C1616" t="s">
        <v>21</v>
      </c>
      <c r="D1616">
        <v>48</v>
      </c>
      <c r="E1616">
        <v>7</v>
      </c>
      <c r="F1616">
        <v>123764.95</v>
      </c>
      <c r="G1616">
        <v>1</v>
      </c>
      <c r="H1616" t="s">
        <v>22</v>
      </c>
      <c r="I1616" t="s">
        <v>22</v>
      </c>
      <c r="J1616">
        <v>169952.82</v>
      </c>
      <c r="K1616" t="s">
        <v>23</v>
      </c>
      <c r="L1616">
        <v>0.13630523119030799</v>
      </c>
      <c r="M1616" t="s">
        <v>23</v>
      </c>
      <c r="N1616">
        <v>0</v>
      </c>
      <c r="O1616">
        <v>0</v>
      </c>
      <c r="P1616" t="s">
        <v>34</v>
      </c>
      <c r="Q1616" t="s">
        <v>25</v>
      </c>
      <c r="R1616" t="s">
        <v>26</v>
      </c>
      <c r="S1616" t="s">
        <v>37</v>
      </c>
      <c r="T1616" t="s">
        <v>31</v>
      </c>
      <c r="U1616">
        <f t="shared" si="25"/>
        <v>1</v>
      </c>
    </row>
    <row r="1617" spans="1:21" x14ac:dyDescent="0.2">
      <c r="A1617">
        <v>492</v>
      </c>
      <c r="B1617" t="s">
        <v>41</v>
      </c>
      <c r="C1617" t="s">
        <v>32</v>
      </c>
      <c r="D1617">
        <v>38</v>
      </c>
      <c r="E1617">
        <v>8</v>
      </c>
      <c r="F1617">
        <v>57068.43</v>
      </c>
      <c r="G1617">
        <v>2</v>
      </c>
      <c r="H1617" t="s">
        <v>22</v>
      </c>
      <c r="I1617" t="s">
        <v>23</v>
      </c>
      <c r="J1617">
        <v>188974.81</v>
      </c>
      <c r="K1617" t="s">
        <v>23</v>
      </c>
      <c r="L1617">
        <v>0.42791884223582177</v>
      </c>
      <c r="M1617" t="s">
        <v>23</v>
      </c>
      <c r="N1617">
        <v>0</v>
      </c>
      <c r="O1617">
        <v>0</v>
      </c>
      <c r="P1617" t="s">
        <v>24</v>
      </c>
      <c r="Q1617" t="s">
        <v>33</v>
      </c>
      <c r="R1617" t="s">
        <v>38</v>
      </c>
      <c r="S1617" t="s">
        <v>45</v>
      </c>
      <c r="T1617" t="s">
        <v>31</v>
      </c>
      <c r="U1617">
        <f t="shared" si="25"/>
        <v>1</v>
      </c>
    </row>
    <row r="1618" spans="1:21" x14ac:dyDescent="0.2">
      <c r="A1618">
        <v>760</v>
      </c>
      <c r="B1618" t="s">
        <v>41</v>
      </c>
      <c r="C1618" t="s">
        <v>21</v>
      </c>
      <c r="D1618">
        <v>29</v>
      </c>
      <c r="E1618">
        <v>5</v>
      </c>
      <c r="F1618">
        <v>103607.24</v>
      </c>
      <c r="G1618">
        <v>2</v>
      </c>
      <c r="H1618" t="s">
        <v>23</v>
      </c>
      <c r="I1618" t="s">
        <v>22</v>
      </c>
      <c r="J1618">
        <v>86334.64</v>
      </c>
      <c r="K1618" t="s">
        <v>23</v>
      </c>
      <c r="L1618">
        <v>6.7584667653234967E-2</v>
      </c>
      <c r="M1618" t="s">
        <v>23</v>
      </c>
      <c r="N1618">
        <v>0</v>
      </c>
      <c r="O1618">
        <v>0</v>
      </c>
      <c r="P1618" t="s">
        <v>34</v>
      </c>
      <c r="Q1618" t="s">
        <v>36</v>
      </c>
      <c r="R1618" t="s">
        <v>26</v>
      </c>
      <c r="S1618" t="s">
        <v>37</v>
      </c>
      <c r="T1618" t="s">
        <v>40</v>
      </c>
      <c r="U1618">
        <f t="shared" si="25"/>
        <v>1</v>
      </c>
    </row>
    <row r="1619" spans="1:21" x14ac:dyDescent="0.2">
      <c r="A1619">
        <v>654</v>
      </c>
      <c r="B1619" t="s">
        <v>20</v>
      </c>
      <c r="C1619" t="s">
        <v>32</v>
      </c>
      <c r="D1619">
        <v>36</v>
      </c>
      <c r="E1619">
        <v>2</v>
      </c>
      <c r="F1619">
        <v>0</v>
      </c>
      <c r="G1619">
        <v>2</v>
      </c>
      <c r="H1619" t="s">
        <v>22</v>
      </c>
      <c r="I1619" t="s">
        <v>22</v>
      </c>
      <c r="J1619">
        <v>146652.10999999999</v>
      </c>
      <c r="K1619" t="s">
        <v>23</v>
      </c>
      <c r="L1619">
        <v>7.9936654195855925E-2</v>
      </c>
      <c r="M1619" t="s">
        <v>23</v>
      </c>
      <c r="N1619">
        <v>0</v>
      </c>
      <c r="O1619">
        <v>0</v>
      </c>
      <c r="P1619" t="s">
        <v>34</v>
      </c>
      <c r="Q1619" t="s">
        <v>33</v>
      </c>
      <c r="R1619" t="s">
        <v>29</v>
      </c>
      <c r="S1619" t="s">
        <v>27</v>
      </c>
      <c r="T1619" t="s">
        <v>28</v>
      </c>
      <c r="U1619">
        <f t="shared" si="25"/>
        <v>1</v>
      </c>
    </row>
    <row r="1620" spans="1:21" x14ac:dyDescent="0.2">
      <c r="A1620">
        <v>606</v>
      </c>
      <c r="B1620" t="s">
        <v>20</v>
      </c>
      <c r="C1620" t="s">
        <v>32</v>
      </c>
      <c r="D1620">
        <v>25</v>
      </c>
      <c r="E1620">
        <v>3</v>
      </c>
      <c r="F1620">
        <v>147386.72</v>
      </c>
      <c r="G1620">
        <v>3</v>
      </c>
      <c r="H1620" t="s">
        <v>22</v>
      </c>
      <c r="I1620" t="s">
        <v>23</v>
      </c>
      <c r="J1620">
        <v>45482.04</v>
      </c>
      <c r="K1620" t="s">
        <v>22</v>
      </c>
      <c r="L1620">
        <v>0.1265249852756615</v>
      </c>
      <c r="M1620" t="s">
        <v>23</v>
      </c>
      <c r="N1620">
        <v>1</v>
      </c>
      <c r="O1620">
        <v>0</v>
      </c>
      <c r="P1620" t="s">
        <v>34</v>
      </c>
      <c r="Q1620" t="s">
        <v>36</v>
      </c>
      <c r="R1620" t="s">
        <v>26</v>
      </c>
      <c r="S1620" t="s">
        <v>27</v>
      </c>
      <c r="T1620" t="s">
        <v>35</v>
      </c>
      <c r="U1620">
        <f t="shared" si="25"/>
        <v>0</v>
      </c>
    </row>
    <row r="1621" spans="1:21" x14ac:dyDescent="0.2">
      <c r="A1621">
        <v>719</v>
      </c>
      <c r="B1621" t="s">
        <v>20</v>
      </c>
      <c r="C1621" t="s">
        <v>32</v>
      </c>
      <c r="D1621">
        <v>32</v>
      </c>
      <c r="E1621">
        <v>7</v>
      </c>
      <c r="F1621">
        <v>0</v>
      </c>
      <c r="G1621">
        <v>1</v>
      </c>
      <c r="H1621" t="s">
        <v>23</v>
      </c>
      <c r="I1621" t="s">
        <v>23</v>
      </c>
      <c r="J1621">
        <v>76264.27</v>
      </c>
      <c r="K1621" t="s">
        <v>23</v>
      </c>
      <c r="L1621">
        <v>0.1548824609957517</v>
      </c>
      <c r="M1621" t="s">
        <v>23</v>
      </c>
      <c r="N1621">
        <v>0</v>
      </c>
      <c r="O1621">
        <v>0</v>
      </c>
      <c r="P1621" t="s">
        <v>34</v>
      </c>
      <c r="Q1621" t="s">
        <v>33</v>
      </c>
      <c r="R1621" t="s">
        <v>29</v>
      </c>
      <c r="S1621" t="s">
        <v>37</v>
      </c>
      <c r="T1621" t="s">
        <v>40</v>
      </c>
      <c r="U1621">
        <f t="shared" si="25"/>
        <v>1</v>
      </c>
    </row>
    <row r="1622" spans="1:21" x14ac:dyDescent="0.2">
      <c r="A1622">
        <v>641</v>
      </c>
      <c r="B1622" t="s">
        <v>42</v>
      </c>
      <c r="C1622" t="s">
        <v>32</v>
      </c>
      <c r="D1622">
        <v>37</v>
      </c>
      <c r="E1622">
        <v>2</v>
      </c>
      <c r="F1622">
        <v>0</v>
      </c>
      <c r="G1622">
        <v>2</v>
      </c>
      <c r="H1622" t="s">
        <v>22</v>
      </c>
      <c r="I1622" t="s">
        <v>23</v>
      </c>
      <c r="J1622">
        <v>3939.87</v>
      </c>
      <c r="K1622" t="s">
        <v>23</v>
      </c>
      <c r="L1622">
        <v>0.19962884951103421</v>
      </c>
      <c r="M1622" t="s">
        <v>23</v>
      </c>
      <c r="N1622">
        <v>0</v>
      </c>
      <c r="O1622">
        <v>0</v>
      </c>
      <c r="P1622" t="s">
        <v>34</v>
      </c>
      <c r="Q1622" t="s">
        <v>33</v>
      </c>
      <c r="R1622" t="s">
        <v>29</v>
      </c>
      <c r="S1622" t="s">
        <v>27</v>
      </c>
      <c r="T1622" t="s">
        <v>35</v>
      </c>
      <c r="U1622">
        <f t="shared" si="25"/>
        <v>1</v>
      </c>
    </row>
    <row r="1623" spans="1:21" x14ac:dyDescent="0.2">
      <c r="A1623">
        <v>597</v>
      </c>
      <c r="B1623" t="s">
        <v>20</v>
      </c>
      <c r="C1623" t="s">
        <v>32</v>
      </c>
      <c r="D1623">
        <v>33</v>
      </c>
      <c r="E1623">
        <v>2</v>
      </c>
      <c r="F1623">
        <v>0</v>
      </c>
      <c r="G1623">
        <v>2</v>
      </c>
      <c r="H1623" t="s">
        <v>22</v>
      </c>
      <c r="I1623" t="s">
        <v>22</v>
      </c>
      <c r="J1623">
        <v>4700.66</v>
      </c>
      <c r="K1623" t="s">
        <v>23</v>
      </c>
      <c r="L1623">
        <v>6.267055964304187E-2</v>
      </c>
      <c r="M1623" t="s">
        <v>23</v>
      </c>
      <c r="N1623">
        <v>0</v>
      </c>
      <c r="O1623">
        <v>0</v>
      </c>
      <c r="P1623" t="s">
        <v>34</v>
      </c>
      <c r="Q1623" t="s">
        <v>33</v>
      </c>
      <c r="R1623" t="s">
        <v>29</v>
      </c>
      <c r="S1623" t="s">
        <v>30</v>
      </c>
      <c r="T1623" t="s">
        <v>35</v>
      </c>
      <c r="U1623">
        <f t="shared" si="25"/>
        <v>1</v>
      </c>
    </row>
    <row r="1624" spans="1:21" x14ac:dyDescent="0.2">
      <c r="A1624">
        <v>599</v>
      </c>
      <c r="B1624" t="s">
        <v>41</v>
      </c>
      <c r="C1624" t="s">
        <v>21</v>
      </c>
      <c r="D1624">
        <v>61</v>
      </c>
      <c r="E1624">
        <v>1</v>
      </c>
      <c r="F1624">
        <v>124737.96</v>
      </c>
      <c r="G1624">
        <v>1</v>
      </c>
      <c r="H1624" t="s">
        <v>23</v>
      </c>
      <c r="I1624" t="s">
        <v>22</v>
      </c>
      <c r="J1624">
        <v>90389.61</v>
      </c>
      <c r="K1624" t="s">
        <v>22</v>
      </c>
      <c r="L1624">
        <v>0.52364348298651486</v>
      </c>
      <c r="M1624" t="s">
        <v>22</v>
      </c>
      <c r="N1624">
        <v>1</v>
      </c>
      <c r="O1624">
        <v>1</v>
      </c>
      <c r="P1624" t="s">
        <v>43</v>
      </c>
      <c r="Q1624" t="s">
        <v>46</v>
      </c>
      <c r="R1624" t="s">
        <v>26</v>
      </c>
      <c r="S1624" t="s">
        <v>30</v>
      </c>
      <c r="T1624" t="s">
        <v>40</v>
      </c>
      <c r="U1624">
        <f t="shared" si="25"/>
        <v>1</v>
      </c>
    </row>
    <row r="1625" spans="1:21" x14ac:dyDescent="0.2">
      <c r="A1625">
        <v>606</v>
      </c>
      <c r="B1625" t="s">
        <v>42</v>
      </c>
      <c r="C1625" t="s">
        <v>32</v>
      </c>
      <c r="D1625">
        <v>39</v>
      </c>
      <c r="E1625">
        <v>3</v>
      </c>
      <c r="F1625">
        <v>0</v>
      </c>
      <c r="G1625">
        <v>2</v>
      </c>
      <c r="H1625" t="s">
        <v>22</v>
      </c>
      <c r="I1625" t="s">
        <v>23</v>
      </c>
      <c r="J1625">
        <v>50560.45</v>
      </c>
      <c r="K1625" t="s">
        <v>22</v>
      </c>
      <c r="L1625">
        <v>0.2296828764803909</v>
      </c>
      <c r="M1625" t="s">
        <v>23</v>
      </c>
      <c r="N1625">
        <v>1</v>
      </c>
      <c r="O1625">
        <v>0</v>
      </c>
      <c r="P1625" t="s">
        <v>24</v>
      </c>
      <c r="Q1625" t="s">
        <v>33</v>
      </c>
      <c r="R1625" t="s">
        <v>29</v>
      </c>
      <c r="S1625" t="s">
        <v>27</v>
      </c>
      <c r="T1625" t="s">
        <v>40</v>
      </c>
      <c r="U1625">
        <f t="shared" si="25"/>
        <v>0</v>
      </c>
    </row>
    <row r="1626" spans="1:21" x14ac:dyDescent="0.2">
      <c r="A1626">
        <v>668</v>
      </c>
      <c r="B1626" t="s">
        <v>20</v>
      </c>
      <c r="C1626" t="s">
        <v>32</v>
      </c>
      <c r="D1626">
        <v>36</v>
      </c>
      <c r="E1626">
        <v>3</v>
      </c>
      <c r="F1626">
        <v>133686.51999999999</v>
      </c>
      <c r="G1626">
        <v>1</v>
      </c>
      <c r="H1626" t="s">
        <v>22</v>
      </c>
      <c r="I1626" t="s">
        <v>23</v>
      </c>
      <c r="J1626">
        <v>190958.48</v>
      </c>
      <c r="K1626" t="s">
        <v>22</v>
      </c>
      <c r="L1626">
        <v>0.28742254954265389</v>
      </c>
      <c r="M1626" t="s">
        <v>23</v>
      </c>
      <c r="N1626">
        <v>1</v>
      </c>
      <c r="O1626">
        <v>0</v>
      </c>
      <c r="P1626" t="s">
        <v>24</v>
      </c>
      <c r="Q1626" t="s">
        <v>33</v>
      </c>
      <c r="R1626" t="s">
        <v>26</v>
      </c>
      <c r="S1626" t="s">
        <v>27</v>
      </c>
      <c r="T1626" t="s">
        <v>31</v>
      </c>
      <c r="U1626">
        <f t="shared" si="25"/>
        <v>0</v>
      </c>
    </row>
    <row r="1627" spans="1:21" x14ac:dyDescent="0.2">
      <c r="A1627">
        <v>566</v>
      </c>
      <c r="B1627" t="s">
        <v>20</v>
      </c>
      <c r="C1627" t="s">
        <v>21</v>
      </c>
      <c r="D1627">
        <v>63</v>
      </c>
      <c r="E1627">
        <v>2</v>
      </c>
      <c r="F1627">
        <v>120787.18</v>
      </c>
      <c r="G1627">
        <v>2</v>
      </c>
      <c r="H1627" t="s">
        <v>22</v>
      </c>
      <c r="I1627" t="s">
        <v>22</v>
      </c>
      <c r="J1627">
        <v>52198.84</v>
      </c>
      <c r="K1627" t="s">
        <v>23</v>
      </c>
      <c r="L1627">
        <v>0.33810933432608209</v>
      </c>
      <c r="M1627" t="s">
        <v>23</v>
      </c>
      <c r="N1627">
        <v>0</v>
      </c>
      <c r="O1627">
        <v>0</v>
      </c>
      <c r="P1627" t="s">
        <v>24</v>
      </c>
      <c r="Q1627" t="s">
        <v>46</v>
      </c>
      <c r="R1627" t="s">
        <v>26</v>
      </c>
      <c r="S1627" t="s">
        <v>30</v>
      </c>
      <c r="T1627" t="s">
        <v>40</v>
      </c>
      <c r="U1627">
        <f t="shared" si="25"/>
        <v>1</v>
      </c>
    </row>
    <row r="1628" spans="1:21" x14ac:dyDescent="0.2">
      <c r="A1628">
        <v>703</v>
      </c>
      <c r="B1628" t="s">
        <v>20</v>
      </c>
      <c r="C1628" t="s">
        <v>21</v>
      </c>
      <c r="D1628">
        <v>31</v>
      </c>
      <c r="E1628">
        <v>6</v>
      </c>
      <c r="F1628">
        <v>0</v>
      </c>
      <c r="G1628">
        <v>2</v>
      </c>
      <c r="H1628" t="s">
        <v>22</v>
      </c>
      <c r="I1628" t="s">
        <v>22</v>
      </c>
      <c r="J1628">
        <v>67667.19</v>
      </c>
      <c r="K1628" t="s">
        <v>23</v>
      </c>
      <c r="L1628">
        <v>2.880686339727247E-2</v>
      </c>
      <c r="M1628" t="s">
        <v>23</v>
      </c>
      <c r="N1628">
        <v>0</v>
      </c>
      <c r="O1628">
        <v>0</v>
      </c>
      <c r="P1628" t="s">
        <v>34</v>
      </c>
      <c r="Q1628" t="s">
        <v>33</v>
      </c>
      <c r="R1628" t="s">
        <v>29</v>
      </c>
      <c r="S1628" t="s">
        <v>37</v>
      </c>
      <c r="T1628" t="s">
        <v>40</v>
      </c>
      <c r="U1628">
        <f t="shared" si="25"/>
        <v>1</v>
      </c>
    </row>
    <row r="1629" spans="1:21" x14ac:dyDescent="0.2">
      <c r="A1629">
        <v>605</v>
      </c>
      <c r="B1629" t="s">
        <v>41</v>
      </c>
      <c r="C1629" t="s">
        <v>21</v>
      </c>
      <c r="D1629">
        <v>75</v>
      </c>
      <c r="E1629">
        <v>2</v>
      </c>
      <c r="F1629">
        <v>61319.63</v>
      </c>
      <c r="G1629">
        <v>1</v>
      </c>
      <c r="H1629" t="s">
        <v>23</v>
      </c>
      <c r="I1629" t="s">
        <v>22</v>
      </c>
      <c r="J1629">
        <v>186655.11</v>
      </c>
      <c r="K1629" t="s">
        <v>23</v>
      </c>
      <c r="L1629">
        <v>0.73029066744803084</v>
      </c>
      <c r="M1629" t="s">
        <v>22</v>
      </c>
      <c r="N1629">
        <v>0</v>
      </c>
      <c r="O1629">
        <v>1</v>
      </c>
      <c r="P1629" t="s">
        <v>43</v>
      </c>
      <c r="Q1629" t="s">
        <v>46</v>
      </c>
      <c r="R1629" t="s">
        <v>38</v>
      </c>
      <c r="S1629" t="s">
        <v>27</v>
      </c>
      <c r="T1629" t="s">
        <v>31</v>
      </c>
      <c r="U1629">
        <f t="shared" si="25"/>
        <v>0</v>
      </c>
    </row>
    <row r="1630" spans="1:21" x14ac:dyDescent="0.2">
      <c r="A1630">
        <v>516</v>
      </c>
      <c r="B1630" t="s">
        <v>42</v>
      </c>
      <c r="C1630" t="s">
        <v>32</v>
      </c>
      <c r="D1630">
        <v>40</v>
      </c>
      <c r="E1630">
        <v>9</v>
      </c>
      <c r="F1630">
        <v>0</v>
      </c>
      <c r="G1630">
        <v>2</v>
      </c>
      <c r="H1630" t="s">
        <v>23</v>
      </c>
      <c r="I1630" t="s">
        <v>22</v>
      </c>
      <c r="J1630">
        <v>33266.29</v>
      </c>
      <c r="K1630" t="s">
        <v>23</v>
      </c>
      <c r="L1630">
        <v>9.4502766381933181E-2</v>
      </c>
      <c r="M1630" t="s">
        <v>23</v>
      </c>
      <c r="N1630">
        <v>0</v>
      </c>
      <c r="O1630">
        <v>0</v>
      </c>
      <c r="P1630" t="s">
        <v>34</v>
      </c>
      <c r="Q1630" t="s">
        <v>33</v>
      </c>
      <c r="R1630" t="s">
        <v>29</v>
      </c>
      <c r="S1630" t="s">
        <v>30</v>
      </c>
      <c r="T1630" t="s">
        <v>35</v>
      </c>
      <c r="U1630">
        <f t="shared" si="25"/>
        <v>1</v>
      </c>
    </row>
    <row r="1631" spans="1:21" x14ac:dyDescent="0.2">
      <c r="A1631">
        <v>572</v>
      </c>
      <c r="B1631" t="s">
        <v>42</v>
      </c>
      <c r="C1631" t="s">
        <v>32</v>
      </c>
      <c r="D1631">
        <v>39</v>
      </c>
      <c r="E1631">
        <v>2</v>
      </c>
      <c r="F1631">
        <v>0</v>
      </c>
      <c r="G1631">
        <v>2</v>
      </c>
      <c r="H1631" t="s">
        <v>22</v>
      </c>
      <c r="I1631" t="s">
        <v>22</v>
      </c>
      <c r="J1631">
        <v>555.28</v>
      </c>
      <c r="K1631" t="s">
        <v>23</v>
      </c>
      <c r="L1631">
        <v>9.2404836643611502E-2</v>
      </c>
      <c r="M1631" t="s">
        <v>23</v>
      </c>
      <c r="N1631">
        <v>0</v>
      </c>
      <c r="O1631">
        <v>0</v>
      </c>
      <c r="P1631" t="s">
        <v>34</v>
      </c>
      <c r="Q1631" t="s">
        <v>33</v>
      </c>
      <c r="R1631" t="s">
        <v>29</v>
      </c>
      <c r="S1631" t="s">
        <v>30</v>
      </c>
      <c r="T1631" t="s">
        <v>35</v>
      </c>
      <c r="U1631">
        <f t="shared" si="25"/>
        <v>1</v>
      </c>
    </row>
    <row r="1632" spans="1:21" x14ac:dyDescent="0.2">
      <c r="A1632">
        <v>557</v>
      </c>
      <c r="B1632" t="s">
        <v>42</v>
      </c>
      <c r="C1632" t="s">
        <v>21</v>
      </c>
      <c r="D1632">
        <v>42</v>
      </c>
      <c r="E1632">
        <v>6</v>
      </c>
      <c r="F1632">
        <v>177822.03</v>
      </c>
      <c r="G1632">
        <v>1</v>
      </c>
      <c r="H1632" t="s">
        <v>22</v>
      </c>
      <c r="I1632" t="s">
        <v>23</v>
      </c>
      <c r="J1632">
        <v>150944.31</v>
      </c>
      <c r="K1632" t="s">
        <v>22</v>
      </c>
      <c r="L1632">
        <v>0.28082254137532747</v>
      </c>
      <c r="M1632" t="s">
        <v>23</v>
      </c>
      <c r="N1632">
        <v>1</v>
      </c>
      <c r="O1632">
        <v>0</v>
      </c>
      <c r="P1632" t="s">
        <v>24</v>
      </c>
      <c r="Q1632" t="s">
        <v>25</v>
      </c>
      <c r="R1632" t="s">
        <v>47</v>
      </c>
      <c r="S1632" t="s">
        <v>30</v>
      </c>
      <c r="T1632" t="s">
        <v>31</v>
      </c>
      <c r="U1632">
        <f t="shared" si="25"/>
        <v>0</v>
      </c>
    </row>
    <row r="1633" spans="1:21" x14ac:dyDescent="0.2">
      <c r="A1633">
        <v>588</v>
      </c>
      <c r="B1633" t="s">
        <v>41</v>
      </c>
      <c r="C1633" t="s">
        <v>32</v>
      </c>
      <c r="D1633">
        <v>37</v>
      </c>
      <c r="E1633">
        <v>7</v>
      </c>
      <c r="F1633">
        <v>70258.880000000005</v>
      </c>
      <c r="G1633">
        <v>2</v>
      </c>
      <c r="H1633" t="s">
        <v>22</v>
      </c>
      <c r="I1633" t="s">
        <v>23</v>
      </c>
      <c r="J1633">
        <v>139607.60999999999</v>
      </c>
      <c r="K1633" t="s">
        <v>23</v>
      </c>
      <c r="L1633">
        <v>0.40024393450536899</v>
      </c>
      <c r="M1633" t="s">
        <v>23</v>
      </c>
      <c r="N1633">
        <v>0</v>
      </c>
      <c r="O1633">
        <v>0</v>
      </c>
      <c r="P1633" t="s">
        <v>24</v>
      </c>
      <c r="Q1633" t="s">
        <v>33</v>
      </c>
      <c r="R1633" t="s">
        <v>38</v>
      </c>
      <c r="S1633" t="s">
        <v>30</v>
      </c>
      <c r="T1633" t="s">
        <v>28</v>
      </c>
      <c r="U1633">
        <f t="shared" si="25"/>
        <v>1</v>
      </c>
    </row>
    <row r="1634" spans="1:21" x14ac:dyDescent="0.2">
      <c r="A1634">
        <v>633</v>
      </c>
      <c r="B1634" t="s">
        <v>20</v>
      </c>
      <c r="C1634" t="s">
        <v>32</v>
      </c>
      <c r="D1634">
        <v>33</v>
      </c>
      <c r="E1634">
        <v>4</v>
      </c>
      <c r="F1634">
        <v>92855.02</v>
      </c>
      <c r="G1634">
        <v>1</v>
      </c>
      <c r="H1634" t="s">
        <v>22</v>
      </c>
      <c r="I1634" t="s">
        <v>22</v>
      </c>
      <c r="J1634">
        <v>159813.18</v>
      </c>
      <c r="K1634" t="s">
        <v>23</v>
      </c>
      <c r="L1634">
        <v>8.7977052295116306E-2</v>
      </c>
      <c r="M1634" t="s">
        <v>23</v>
      </c>
      <c r="N1634">
        <v>0</v>
      </c>
      <c r="O1634">
        <v>0</v>
      </c>
      <c r="P1634" t="s">
        <v>34</v>
      </c>
      <c r="Q1634" t="s">
        <v>33</v>
      </c>
      <c r="R1634" t="s">
        <v>38</v>
      </c>
      <c r="S1634" t="s">
        <v>27</v>
      </c>
      <c r="T1634" t="s">
        <v>31</v>
      </c>
      <c r="U1634">
        <f t="shared" si="25"/>
        <v>1</v>
      </c>
    </row>
    <row r="1635" spans="1:21" x14ac:dyDescent="0.2">
      <c r="A1635">
        <v>766</v>
      </c>
      <c r="B1635" t="s">
        <v>41</v>
      </c>
      <c r="C1635" t="s">
        <v>21</v>
      </c>
      <c r="D1635">
        <v>47</v>
      </c>
      <c r="E1635">
        <v>9</v>
      </c>
      <c r="F1635">
        <v>129289.98</v>
      </c>
      <c r="G1635">
        <v>1</v>
      </c>
      <c r="H1635" t="s">
        <v>22</v>
      </c>
      <c r="I1635" t="s">
        <v>23</v>
      </c>
      <c r="J1635">
        <v>169935.46</v>
      </c>
      <c r="K1635" t="s">
        <v>22</v>
      </c>
      <c r="L1635">
        <v>0.47471527956303239</v>
      </c>
      <c r="M1635" t="s">
        <v>23</v>
      </c>
      <c r="N1635">
        <v>1</v>
      </c>
      <c r="O1635">
        <v>0</v>
      </c>
      <c r="P1635" t="s">
        <v>24</v>
      </c>
      <c r="Q1635" t="s">
        <v>25</v>
      </c>
      <c r="R1635" t="s">
        <v>26</v>
      </c>
      <c r="S1635" t="s">
        <v>37</v>
      </c>
      <c r="T1635" t="s">
        <v>31</v>
      </c>
      <c r="U1635">
        <f t="shared" si="25"/>
        <v>0</v>
      </c>
    </row>
    <row r="1636" spans="1:21" x14ac:dyDescent="0.2">
      <c r="A1636">
        <v>602</v>
      </c>
      <c r="B1636" t="s">
        <v>20</v>
      </c>
      <c r="C1636" t="s">
        <v>21</v>
      </c>
      <c r="D1636">
        <v>37</v>
      </c>
      <c r="E1636">
        <v>3</v>
      </c>
      <c r="F1636">
        <v>107592.89</v>
      </c>
      <c r="G1636">
        <v>2</v>
      </c>
      <c r="H1636" t="s">
        <v>23</v>
      </c>
      <c r="I1636" t="s">
        <v>22</v>
      </c>
      <c r="J1636">
        <v>153122.73000000001</v>
      </c>
      <c r="K1636" t="s">
        <v>23</v>
      </c>
      <c r="L1636">
        <v>7.0059049704211271E-2</v>
      </c>
      <c r="M1636" t="s">
        <v>23</v>
      </c>
      <c r="N1636">
        <v>0</v>
      </c>
      <c r="O1636">
        <v>0</v>
      </c>
      <c r="P1636" t="s">
        <v>34</v>
      </c>
      <c r="Q1636" t="s">
        <v>33</v>
      </c>
      <c r="R1636" t="s">
        <v>26</v>
      </c>
      <c r="S1636" t="s">
        <v>27</v>
      </c>
      <c r="T1636" t="s">
        <v>31</v>
      </c>
      <c r="U1636">
        <f t="shared" si="25"/>
        <v>1</v>
      </c>
    </row>
    <row r="1637" spans="1:21" x14ac:dyDescent="0.2">
      <c r="A1637">
        <v>679</v>
      </c>
      <c r="B1637" t="s">
        <v>20</v>
      </c>
      <c r="C1637" t="s">
        <v>32</v>
      </c>
      <c r="D1637">
        <v>40</v>
      </c>
      <c r="E1637">
        <v>7</v>
      </c>
      <c r="F1637">
        <v>0</v>
      </c>
      <c r="G1637">
        <v>2</v>
      </c>
      <c r="H1637" t="s">
        <v>22</v>
      </c>
      <c r="I1637" t="s">
        <v>22</v>
      </c>
      <c r="J1637">
        <v>163757.29</v>
      </c>
      <c r="K1637" t="s">
        <v>23</v>
      </c>
      <c r="L1637">
        <v>9.5012517975736399E-2</v>
      </c>
      <c r="M1637" t="s">
        <v>23</v>
      </c>
      <c r="N1637">
        <v>0</v>
      </c>
      <c r="O1637">
        <v>0</v>
      </c>
      <c r="P1637" t="s">
        <v>34</v>
      </c>
      <c r="Q1637" t="s">
        <v>33</v>
      </c>
      <c r="R1637" t="s">
        <v>29</v>
      </c>
      <c r="S1637" t="s">
        <v>27</v>
      </c>
      <c r="T1637" t="s">
        <v>31</v>
      </c>
      <c r="U1637">
        <f t="shared" si="25"/>
        <v>1</v>
      </c>
    </row>
    <row r="1638" spans="1:21" x14ac:dyDescent="0.2">
      <c r="A1638">
        <v>639</v>
      </c>
      <c r="B1638" t="s">
        <v>20</v>
      </c>
      <c r="C1638" t="s">
        <v>21</v>
      </c>
      <c r="D1638">
        <v>34</v>
      </c>
      <c r="E1638">
        <v>7</v>
      </c>
      <c r="F1638">
        <v>149940.04</v>
      </c>
      <c r="G1638">
        <v>2</v>
      </c>
      <c r="H1638" t="s">
        <v>23</v>
      </c>
      <c r="I1638" t="s">
        <v>23</v>
      </c>
      <c r="J1638">
        <v>156648.81</v>
      </c>
      <c r="K1638" t="s">
        <v>23</v>
      </c>
      <c r="L1638">
        <v>0.15304250295067709</v>
      </c>
      <c r="M1638" t="s">
        <v>23</v>
      </c>
      <c r="N1638">
        <v>0</v>
      </c>
      <c r="O1638">
        <v>0</v>
      </c>
      <c r="P1638" t="s">
        <v>34</v>
      </c>
      <c r="Q1638" t="s">
        <v>33</v>
      </c>
      <c r="R1638" t="s">
        <v>26</v>
      </c>
      <c r="S1638" t="s">
        <v>27</v>
      </c>
      <c r="T1638" t="s">
        <v>31</v>
      </c>
      <c r="U1638">
        <f t="shared" si="25"/>
        <v>1</v>
      </c>
    </row>
    <row r="1639" spans="1:21" x14ac:dyDescent="0.2">
      <c r="A1639">
        <v>565</v>
      </c>
      <c r="B1639" t="s">
        <v>42</v>
      </c>
      <c r="C1639" t="s">
        <v>21</v>
      </c>
      <c r="D1639">
        <v>32</v>
      </c>
      <c r="E1639">
        <v>9</v>
      </c>
      <c r="F1639">
        <v>0</v>
      </c>
      <c r="G1639">
        <v>2</v>
      </c>
      <c r="H1639" t="s">
        <v>22</v>
      </c>
      <c r="I1639" t="s">
        <v>23</v>
      </c>
      <c r="J1639">
        <v>5388.3</v>
      </c>
      <c r="K1639" t="s">
        <v>23</v>
      </c>
      <c r="L1639">
        <v>8.3850707842449412E-2</v>
      </c>
      <c r="M1639" t="s">
        <v>23</v>
      </c>
      <c r="N1639">
        <v>0</v>
      </c>
      <c r="O1639">
        <v>0</v>
      </c>
      <c r="P1639" t="s">
        <v>34</v>
      </c>
      <c r="Q1639" t="s">
        <v>33</v>
      </c>
      <c r="R1639" t="s">
        <v>29</v>
      </c>
      <c r="S1639" t="s">
        <v>30</v>
      </c>
      <c r="T1639" t="s">
        <v>35</v>
      </c>
      <c r="U1639">
        <f t="shared" si="25"/>
        <v>1</v>
      </c>
    </row>
    <row r="1640" spans="1:21" x14ac:dyDescent="0.2">
      <c r="A1640">
        <v>663</v>
      </c>
      <c r="B1640" t="s">
        <v>42</v>
      </c>
      <c r="C1640" t="s">
        <v>21</v>
      </c>
      <c r="D1640">
        <v>24</v>
      </c>
      <c r="E1640">
        <v>7</v>
      </c>
      <c r="F1640">
        <v>0</v>
      </c>
      <c r="G1640">
        <v>2</v>
      </c>
      <c r="H1640" t="s">
        <v>22</v>
      </c>
      <c r="I1640" t="s">
        <v>22</v>
      </c>
      <c r="J1640">
        <v>166310.82</v>
      </c>
      <c r="K1640" t="s">
        <v>23</v>
      </c>
      <c r="L1640">
        <v>1.7789565100203689E-2</v>
      </c>
      <c r="M1640" t="s">
        <v>23</v>
      </c>
      <c r="N1640">
        <v>0</v>
      </c>
      <c r="O1640">
        <v>0</v>
      </c>
      <c r="P1640" t="s">
        <v>34</v>
      </c>
      <c r="Q1640" t="s">
        <v>36</v>
      </c>
      <c r="R1640" t="s">
        <v>29</v>
      </c>
      <c r="S1640" t="s">
        <v>27</v>
      </c>
      <c r="T1640" t="s">
        <v>31</v>
      </c>
      <c r="U1640">
        <f t="shared" si="25"/>
        <v>1</v>
      </c>
    </row>
    <row r="1641" spans="1:21" x14ac:dyDescent="0.2">
      <c r="A1641">
        <v>671</v>
      </c>
      <c r="B1641" t="s">
        <v>20</v>
      </c>
      <c r="C1641" t="s">
        <v>21</v>
      </c>
      <c r="D1641">
        <v>58</v>
      </c>
      <c r="E1641">
        <v>1</v>
      </c>
      <c r="F1641">
        <v>178713.98</v>
      </c>
      <c r="G1641">
        <v>1</v>
      </c>
      <c r="H1641" t="s">
        <v>22</v>
      </c>
      <c r="I1641" t="s">
        <v>22</v>
      </c>
      <c r="J1641">
        <v>21768.21</v>
      </c>
      <c r="K1641" t="s">
        <v>23</v>
      </c>
      <c r="L1641">
        <v>0.29778177035218678</v>
      </c>
      <c r="M1641" t="s">
        <v>23</v>
      </c>
      <c r="N1641">
        <v>0</v>
      </c>
      <c r="O1641">
        <v>0</v>
      </c>
      <c r="P1641" t="s">
        <v>24</v>
      </c>
      <c r="Q1641" t="s">
        <v>44</v>
      </c>
      <c r="R1641" t="s">
        <v>47</v>
      </c>
      <c r="S1641" t="s">
        <v>27</v>
      </c>
      <c r="T1641" t="s">
        <v>35</v>
      </c>
      <c r="U1641">
        <f t="shared" si="25"/>
        <v>1</v>
      </c>
    </row>
    <row r="1642" spans="1:21" x14ac:dyDescent="0.2">
      <c r="A1642">
        <v>590</v>
      </c>
      <c r="B1642" t="s">
        <v>42</v>
      </c>
      <c r="C1642" t="s">
        <v>21</v>
      </c>
      <c r="D1642">
        <v>41</v>
      </c>
      <c r="E1642">
        <v>1</v>
      </c>
      <c r="F1642">
        <v>89086.31</v>
      </c>
      <c r="G1642">
        <v>1</v>
      </c>
      <c r="H1642" t="s">
        <v>22</v>
      </c>
      <c r="I1642" t="s">
        <v>23</v>
      </c>
      <c r="J1642">
        <v>24499.97</v>
      </c>
      <c r="K1642" t="s">
        <v>23</v>
      </c>
      <c r="L1642">
        <v>0.224607834524053</v>
      </c>
      <c r="M1642" t="s">
        <v>23</v>
      </c>
      <c r="N1642">
        <v>0</v>
      </c>
      <c r="O1642">
        <v>0</v>
      </c>
      <c r="P1642" t="s">
        <v>24</v>
      </c>
      <c r="Q1642" t="s">
        <v>25</v>
      </c>
      <c r="R1642" t="s">
        <v>38</v>
      </c>
      <c r="S1642" t="s">
        <v>30</v>
      </c>
      <c r="T1642" t="s">
        <v>35</v>
      </c>
      <c r="U1642">
        <f t="shared" si="25"/>
        <v>1</v>
      </c>
    </row>
    <row r="1643" spans="1:21" x14ac:dyDescent="0.2">
      <c r="A1643">
        <v>640</v>
      </c>
      <c r="B1643" t="s">
        <v>41</v>
      </c>
      <c r="C1643" t="s">
        <v>32</v>
      </c>
      <c r="D1643">
        <v>30</v>
      </c>
      <c r="E1643">
        <v>5</v>
      </c>
      <c r="F1643">
        <v>32197.64</v>
      </c>
      <c r="G1643">
        <v>1</v>
      </c>
      <c r="H1643" t="s">
        <v>23</v>
      </c>
      <c r="I1643" t="s">
        <v>22</v>
      </c>
      <c r="J1643">
        <v>141446.01</v>
      </c>
      <c r="K1643" t="s">
        <v>23</v>
      </c>
      <c r="L1643">
        <v>0.1223366798405186</v>
      </c>
      <c r="M1643" t="s">
        <v>23</v>
      </c>
      <c r="N1643">
        <v>0</v>
      </c>
      <c r="O1643">
        <v>0</v>
      </c>
      <c r="P1643" t="s">
        <v>34</v>
      </c>
      <c r="Q1643" t="s">
        <v>36</v>
      </c>
      <c r="R1643" t="s">
        <v>48</v>
      </c>
      <c r="S1643" t="s">
        <v>27</v>
      </c>
      <c r="T1643" t="s">
        <v>28</v>
      </c>
      <c r="U1643">
        <f t="shared" si="25"/>
        <v>1</v>
      </c>
    </row>
    <row r="1644" spans="1:21" x14ac:dyDescent="0.2">
      <c r="A1644">
        <v>654</v>
      </c>
      <c r="B1644" t="s">
        <v>42</v>
      </c>
      <c r="C1644" t="s">
        <v>21</v>
      </c>
      <c r="D1644">
        <v>38</v>
      </c>
      <c r="E1644">
        <v>8</v>
      </c>
      <c r="F1644">
        <v>0</v>
      </c>
      <c r="G1644">
        <v>2</v>
      </c>
      <c r="H1644" t="s">
        <v>22</v>
      </c>
      <c r="I1644" t="s">
        <v>23</v>
      </c>
      <c r="J1644">
        <v>88659.44</v>
      </c>
      <c r="K1644" t="s">
        <v>23</v>
      </c>
      <c r="L1644">
        <v>0.12538181471683921</v>
      </c>
      <c r="M1644" t="s">
        <v>23</v>
      </c>
      <c r="N1644">
        <v>0</v>
      </c>
      <c r="O1644">
        <v>0</v>
      </c>
      <c r="P1644" t="s">
        <v>34</v>
      </c>
      <c r="Q1644" t="s">
        <v>33</v>
      </c>
      <c r="R1644" t="s">
        <v>29</v>
      </c>
      <c r="S1644" t="s">
        <v>27</v>
      </c>
      <c r="T1644" t="s">
        <v>40</v>
      </c>
      <c r="U1644">
        <f t="shared" si="25"/>
        <v>1</v>
      </c>
    </row>
    <row r="1645" spans="1:21" x14ac:dyDescent="0.2">
      <c r="A1645">
        <v>580</v>
      </c>
      <c r="B1645" t="s">
        <v>20</v>
      </c>
      <c r="C1645" t="s">
        <v>21</v>
      </c>
      <c r="D1645">
        <v>32</v>
      </c>
      <c r="E1645">
        <v>9</v>
      </c>
      <c r="F1645">
        <v>142188.20000000001</v>
      </c>
      <c r="G1645">
        <v>2</v>
      </c>
      <c r="H1645" t="s">
        <v>23</v>
      </c>
      <c r="I1645" t="s">
        <v>22</v>
      </c>
      <c r="J1645">
        <v>128028.6</v>
      </c>
      <c r="K1645" t="s">
        <v>23</v>
      </c>
      <c r="L1645">
        <v>4.8171406218865731E-2</v>
      </c>
      <c r="M1645" t="s">
        <v>23</v>
      </c>
      <c r="N1645">
        <v>0</v>
      </c>
      <c r="O1645">
        <v>0</v>
      </c>
      <c r="P1645" t="s">
        <v>34</v>
      </c>
      <c r="Q1645" t="s">
        <v>33</v>
      </c>
      <c r="R1645" t="s">
        <v>26</v>
      </c>
      <c r="S1645" t="s">
        <v>30</v>
      </c>
      <c r="T1645" t="s">
        <v>28</v>
      </c>
      <c r="U1645">
        <f t="shared" si="25"/>
        <v>1</v>
      </c>
    </row>
    <row r="1646" spans="1:21" x14ac:dyDescent="0.2">
      <c r="A1646">
        <v>624</v>
      </c>
      <c r="B1646" t="s">
        <v>41</v>
      </c>
      <c r="C1646" t="s">
        <v>32</v>
      </c>
      <c r="D1646">
        <v>40</v>
      </c>
      <c r="E1646">
        <v>3</v>
      </c>
      <c r="F1646">
        <v>149961.99</v>
      </c>
      <c r="G1646">
        <v>2</v>
      </c>
      <c r="H1646" t="s">
        <v>22</v>
      </c>
      <c r="I1646" t="s">
        <v>23</v>
      </c>
      <c r="J1646">
        <v>104610.86</v>
      </c>
      <c r="K1646" t="s">
        <v>23</v>
      </c>
      <c r="L1646">
        <v>0.51468369700876127</v>
      </c>
      <c r="M1646" t="s">
        <v>22</v>
      </c>
      <c r="N1646">
        <v>0</v>
      </c>
      <c r="O1646">
        <v>1</v>
      </c>
      <c r="P1646" t="s">
        <v>43</v>
      </c>
      <c r="Q1646" t="s">
        <v>33</v>
      </c>
      <c r="R1646" t="s">
        <v>26</v>
      </c>
      <c r="S1646" t="s">
        <v>27</v>
      </c>
      <c r="T1646" t="s">
        <v>28</v>
      </c>
      <c r="U1646">
        <f t="shared" si="25"/>
        <v>0</v>
      </c>
    </row>
    <row r="1647" spans="1:21" x14ac:dyDescent="0.2">
      <c r="A1647">
        <v>605</v>
      </c>
      <c r="B1647" t="s">
        <v>42</v>
      </c>
      <c r="C1647" t="s">
        <v>32</v>
      </c>
      <c r="D1647">
        <v>34</v>
      </c>
      <c r="E1647">
        <v>2</v>
      </c>
      <c r="F1647">
        <v>0</v>
      </c>
      <c r="G1647">
        <v>1</v>
      </c>
      <c r="H1647" t="s">
        <v>23</v>
      </c>
      <c r="I1647" t="s">
        <v>23</v>
      </c>
      <c r="J1647">
        <v>35982.42</v>
      </c>
      <c r="K1647" t="s">
        <v>23</v>
      </c>
      <c r="L1647">
        <v>0.19279978028738731</v>
      </c>
      <c r="M1647" t="s">
        <v>23</v>
      </c>
      <c r="N1647">
        <v>0</v>
      </c>
      <c r="O1647">
        <v>0</v>
      </c>
      <c r="P1647" t="s">
        <v>34</v>
      </c>
      <c r="Q1647" t="s">
        <v>33</v>
      </c>
      <c r="R1647" t="s">
        <v>29</v>
      </c>
      <c r="S1647" t="s">
        <v>27</v>
      </c>
      <c r="T1647" t="s">
        <v>35</v>
      </c>
      <c r="U1647">
        <f t="shared" si="25"/>
        <v>1</v>
      </c>
    </row>
    <row r="1648" spans="1:21" x14ac:dyDescent="0.2">
      <c r="A1648">
        <v>567</v>
      </c>
      <c r="B1648" t="s">
        <v>20</v>
      </c>
      <c r="C1648" t="s">
        <v>21</v>
      </c>
      <c r="D1648">
        <v>40</v>
      </c>
      <c r="E1648">
        <v>8</v>
      </c>
      <c r="F1648">
        <v>28649.64</v>
      </c>
      <c r="G1648">
        <v>1</v>
      </c>
      <c r="H1648" t="s">
        <v>22</v>
      </c>
      <c r="I1648" t="s">
        <v>22</v>
      </c>
      <c r="J1648">
        <v>95140.62</v>
      </c>
      <c r="K1648" t="s">
        <v>23</v>
      </c>
      <c r="L1648">
        <v>6.8871353685279468E-2</v>
      </c>
      <c r="M1648" t="s">
        <v>23</v>
      </c>
      <c r="N1648">
        <v>0</v>
      </c>
      <c r="O1648">
        <v>0</v>
      </c>
      <c r="P1648" t="s">
        <v>34</v>
      </c>
      <c r="Q1648" t="s">
        <v>33</v>
      </c>
      <c r="R1648" t="s">
        <v>48</v>
      </c>
      <c r="S1648" t="s">
        <v>30</v>
      </c>
      <c r="T1648" t="s">
        <v>40</v>
      </c>
      <c r="U1648">
        <f t="shared" si="25"/>
        <v>1</v>
      </c>
    </row>
    <row r="1649" spans="1:21" x14ac:dyDescent="0.2">
      <c r="A1649">
        <v>725</v>
      </c>
      <c r="B1649" t="s">
        <v>42</v>
      </c>
      <c r="C1649" t="s">
        <v>32</v>
      </c>
      <c r="D1649">
        <v>36</v>
      </c>
      <c r="E1649">
        <v>1</v>
      </c>
      <c r="F1649">
        <v>118851.05</v>
      </c>
      <c r="G1649">
        <v>1</v>
      </c>
      <c r="H1649" t="s">
        <v>22</v>
      </c>
      <c r="I1649" t="s">
        <v>22</v>
      </c>
      <c r="J1649">
        <v>102747.02</v>
      </c>
      <c r="K1649" t="s">
        <v>23</v>
      </c>
      <c r="L1649">
        <v>0.1067940343317281</v>
      </c>
      <c r="M1649" t="s">
        <v>23</v>
      </c>
      <c r="N1649">
        <v>0</v>
      </c>
      <c r="O1649">
        <v>0</v>
      </c>
      <c r="P1649" t="s">
        <v>34</v>
      </c>
      <c r="Q1649" t="s">
        <v>33</v>
      </c>
      <c r="R1649" t="s">
        <v>26</v>
      </c>
      <c r="S1649" t="s">
        <v>37</v>
      </c>
      <c r="T1649" t="s">
        <v>28</v>
      </c>
      <c r="U1649">
        <f t="shared" si="25"/>
        <v>1</v>
      </c>
    </row>
    <row r="1650" spans="1:21" x14ac:dyDescent="0.2">
      <c r="A1650">
        <v>692</v>
      </c>
      <c r="B1650" t="s">
        <v>42</v>
      </c>
      <c r="C1650" t="s">
        <v>32</v>
      </c>
      <c r="D1650">
        <v>34</v>
      </c>
      <c r="E1650">
        <v>7</v>
      </c>
      <c r="F1650">
        <v>0</v>
      </c>
      <c r="G1650">
        <v>2</v>
      </c>
      <c r="H1650" t="s">
        <v>22</v>
      </c>
      <c r="I1650" t="s">
        <v>23</v>
      </c>
      <c r="J1650">
        <v>195074.62</v>
      </c>
      <c r="K1650" t="s">
        <v>23</v>
      </c>
      <c r="L1650">
        <v>0.16274999933851381</v>
      </c>
      <c r="M1650" t="s">
        <v>23</v>
      </c>
      <c r="N1650">
        <v>0</v>
      </c>
      <c r="O1650">
        <v>0</v>
      </c>
      <c r="P1650" t="s">
        <v>34</v>
      </c>
      <c r="Q1650" t="s">
        <v>33</v>
      </c>
      <c r="R1650" t="s">
        <v>29</v>
      </c>
      <c r="S1650" t="s">
        <v>27</v>
      </c>
      <c r="T1650" t="s">
        <v>31</v>
      </c>
      <c r="U1650">
        <f t="shared" si="25"/>
        <v>1</v>
      </c>
    </row>
    <row r="1651" spans="1:21" x14ac:dyDescent="0.2">
      <c r="A1651">
        <v>584</v>
      </c>
      <c r="B1651" t="s">
        <v>42</v>
      </c>
      <c r="C1651" t="s">
        <v>32</v>
      </c>
      <c r="D1651">
        <v>35</v>
      </c>
      <c r="E1651">
        <v>2</v>
      </c>
      <c r="F1651">
        <v>114321.28</v>
      </c>
      <c r="G1651">
        <v>2</v>
      </c>
      <c r="H1651" t="s">
        <v>23</v>
      </c>
      <c r="I1651" t="s">
        <v>23</v>
      </c>
      <c r="J1651">
        <v>15959.01</v>
      </c>
      <c r="K1651" t="s">
        <v>23</v>
      </c>
      <c r="L1651">
        <v>0.23832140611501229</v>
      </c>
      <c r="M1651" t="s">
        <v>23</v>
      </c>
      <c r="N1651">
        <v>0</v>
      </c>
      <c r="O1651">
        <v>0</v>
      </c>
      <c r="P1651" t="s">
        <v>24</v>
      </c>
      <c r="Q1651" t="s">
        <v>33</v>
      </c>
      <c r="R1651" t="s">
        <v>26</v>
      </c>
      <c r="S1651" t="s">
        <v>30</v>
      </c>
      <c r="T1651" t="s">
        <v>35</v>
      </c>
      <c r="U1651">
        <f t="shared" si="25"/>
        <v>1</v>
      </c>
    </row>
    <row r="1652" spans="1:21" x14ac:dyDescent="0.2">
      <c r="A1652">
        <v>644</v>
      </c>
      <c r="B1652" t="s">
        <v>41</v>
      </c>
      <c r="C1652" t="s">
        <v>32</v>
      </c>
      <c r="D1652">
        <v>51</v>
      </c>
      <c r="E1652">
        <v>4</v>
      </c>
      <c r="F1652">
        <v>95560.04</v>
      </c>
      <c r="G1652">
        <v>1</v>
      </c>
      <c r="H1652" t="s">
        <v>23</v>
      </c>
      <c r="I1652" t="s">
        <v>23</v>
      </c>
      <c r="J1652">
        <v>72628.84</v>
      </c>
      <c r="K1652" t="s">
        <v>22</v>
      </c>
      <c r="L1652">
        <v>0.69338132106329586</v>
      </c>
      <c r="M1652" t="s">
        <v>22</v>
      </c>
      <c r="N1652">
        <v>1</v>
      </c>
      <c r="O1652">
        <v>1</v>
      </c>
      <c r="P1652" t="s">
        <v>43</v>
      </c>
      <c r="Q1652" t="s">
        <v>44</v>
      </c>
      <c r="R1652" t="s">
        <v>38</v>
      </c>
      <c r="S1652" t="s">
        <v>27</v>
      </c>
      <c r="T1652" t="s">
        <v>40</v>
      </c>
      <c r="U1652">
        <f t="shared" si="25"/>
        <v>1</v>
      </c>
    </row>
    <row r="1653" spans="1:21" x14ac:dyDescent="0.2">
      <c r="A1653">
        <v>675</v>
      </c>
      <c r="B1653" t="s">
        <v>42</v>
      </c>
      <c r="C1653" t="s">
        <v>21</v>
      </c>
      <c r="D1653">
        <v>69</v>
      </c>
      <c r="E1653">
        <v>1</v>
      </c>
      <c r="F1653">
        <v>0</v>
      </c>
      <c r="G1653">
        <v>2</v>
      </c>
      <c r="H1653" t="s">
        <v>22</v>
      </c>
      <c r="I1653" t="s">
        <v>23</v>
      </c>
      <c r="J1653">
        <v>157097.09</v>
      </c>
      <c r="K1653" t="s">
        <v>23</v>
      </c>
      <c r="L1653">
        <v>0.62565650931919226</v>
      </c>
      <c r="M1653" t="s">
        <v>22</v>
      </c>
      <c r="N1653">
        <v>0</v>
      </c>
      <c r="O1653">
        <v>1</v>
      </c>
      <c r="P1653" t="s">
        <v>43</v>
      </c>
      <c r="Q1653" t="s">
        <v>46</v>
      </c>
      <c r="R1653" t="s">
        <v>29</v>
      </c>
      <c r="S1653" t="s">
        <v>27</v>
      </c>
      <c r="T1653" t="s">
        <v>31</v>
      </c>
      <c r="U1653">
        <f t="shared" si="25"/>
        <v>0</v>
      </c>
    </row>
    <row r="1654" spans="1:21" x14ac:dyDescent="0.2">
      <c r="A1654">
        <v>746</v>
      </c>
      <c r="B1654" t="s">
        <v>42</v>
      </c>
      <c r="C1654" t="s">
        <v>21</v>
      </c>
      <c r="D1654">
        <v>58</v>
      </c>
      <c r="E1654">
        <v>3</v>
      </c>
      <c r="F1654">
        <v>0</v>
      </c>
      <c r="G1654">
        <v>3</v>
      </c>
      <c r="H1654" t="s">
        <v>22</v>
      </c>
      <c r="I1654" t="s">
        <v>22</v>
      </c>
      <c r="J1654">
        <v>80344.960000000006</v>
      </c>
      <c r="K1654" t="s">
        <v>22</v>
      </c>
      <c r="L1654">
        <v>0.16445519152705429</v>
      </c>
      <c r="M1654" t="s">
        <v>23</v>
      </c>
      <c r="N1654">
        <v>1</v>
      </c>
      <c r="O1654">
        <v>0</v>
      </c>
      <c r="P1654" t="s">
        <v>34</v>
      </c>
      <c r="Q1654" t="s">
        <v>44</v>
      </c>
      <c r="R1654" t="s">
        <v>29</v>
      </c>
      <c r="S1654" t="s">
        <v>37</v>
      </c>
      <c r="T1654" t="s">
        <v>40</v>
      </c>
      <c r="U1654">
        <f t="shared" si="25"/>
        <v>0</v>
      </c>
    </row>
    <row r="1655" spans="1:21" x14ac:dyDescent="0.2">
      <c r="A1655">
        <v>556</v>
      </c>
      <c r="B1655" t="s">
        <v>42</v>
      </c>
      <c r="C1655" t="s">
        <v>21</v>
      </c>
      <c r="D1655">
        <v>36</v>
      </c>
      <c r="E1655">
        <v>7</v>
      </c>
      <c r="F1655">
        <v>154872.07999999999</v>
      </c>
      <c r="G1655">
        <v>2</v>
      </c>
      <c r="H1655" t="s">
        <v>22</v>
      </c>
      <c r="I1655" t="s">
        <v>22</v>
      </c>
      <c r="J1655">
        <v>32044.639999999999</v>
      </c>
      <c r="K1655" t="s">
        <v>23</v>
      </c>
      <c r="L1655">
        <v>6.1634384027015758E-2</v>
      </c>
      <c r="M1655" t="s">
        <v>23</v>
      </c>
      <c r="N1655">
        <v>0</v>
      </c>
      <c r="O1655">
        <v>0</v>
      </c>
      <c r="P1655" t="s">
        <v>34</v>
      </c>
      <c r="Q1655" t="s">
        <v>33</v>
      </c>
      <c r="R1655" t="s">
        <v>47</v>
      </c>
      <c r="S1655" t="s">
        <v>30</v>
      </c>
      <c r="T1655" t="s">
        <v>35</v>
      </c>
      <c r="U1655">
        <f t="shared" si="25"/>
        <v>1</v>
      </c>
    </row>
    <row r="1656" spans="1:21" x14ac:dyDescent="0.2">
      <c r="A1656">
        <v>639</v>
      </c>
      <c r="B1656" t="s">
        <v>42</v>
      </c>
      <c r="C1656" t="s">
        <v>21</v>
      </c>
      <c r="D1656">
        <v>38</v>
      </c>
      <c r="E1656">
        <v>3</v>
      </c>
      <c r="F1656">
        <v>0</v>
      </c>
      <c r="G1656">
        <v>1</v>
      </c>
      <c r="H1656" t="s">
        <v>22</v>
      </c>
      <c r="I1656" t="s">
        <v>23</v>
      </c>
      <c r="J1656">
        <v>42862.82</v>
      </c>
      <c r="K1656" t="s">
        <v>23</v>
      </c>
      <c r="L1656">
        <v>0.1474036799545243</v>
      </c>
      <c r="M1656" t="s">
        <v>23</v>
      </c>
      <c r="N1656">
        <v>0</v>
      </c>
      <c r="O1656">
        <v>0</v>
      </c>
      <c r="P1656" t="s">
        <v>34</v>
      </c>
      <c r="Q1656" t="s">
        <v>33</v>
      </c>
      <c r="R1656" t="s">
        <v>29</v>
      </c>
      <c r="S1656" t="s">
        <v>27</v>
      </c>
      <c r="T1656" t="s">
        <v>35</v>
      </c>
      <c r="U1656">
        <f t="shared" si="25"/>
        <v>1</v>
      </c>
    </row>
    <row r="1657" spans="1:21" x14ac:dyDescent="0.2">
      <c r="A1657">
        <v>666</v>
      </c>
      <c r="B1657" t="s">
        <v>42</v>
      </c>
      <c r="C1657" t="s">
        <v>32</v>
      </c>
      <c r="D1657">
        <v>27</v>
      </c>
      <c r="E1657">
        <v>4</v>
      </c>
      <c r="F1657">
        <v>0</v>
      </c>
      <c r="G1657">
        <v>2</v>
      </c>
      <c r="H1657" t="s">
        <v>23</v>
      </c>
      <c r="I1657" t="s">
        <v>23</v>
      </c>
      <c r="J1657">
        <v>88751.45</v>
      </c>
      <c r="K1657" t="s">
        <v>23</v>
      </c>
      <c r="L1657">
        <v>0.108537571886584</v>
      </c>
      <c r="M1657" t="s">
        <v>23</v>
      </c>
      <c r="N1657">
        <v>0</v>
      </c>
      <c r="O1657">
        <v>0</v>
      </c>
      <c r="P1657" t="s">
        <v>34</v>
      </c>
      <c r="Q1657" t="s">
        <v>36</v>
      </c>
      <c r="R1657" t="s">
        <v>29</v>
      </c>
      <c r="S1657" t="s">
        <v>27</v>
      </c>
      <c r="T1657" t="s">
        <v>40</v>
      </c>
      <c r="U1657">
        <f t="shared" si="25"/>
        <v>1</v>
      </c>
    </row>
    <row r="1658" spans="1:21" x14ac:dyDescent="0.2">
      <c r="A1658">
        <v>586</v>
      </c>
      <c r="B1658" t="s">
        <v>42</v>
      </c>
      <c r="C1658" t="s">
        <v>21</v>
      </c>
      <c r="D1658">
        <v>64</v>
      </c>
      <c r="E1658">
        <v>1</v>
      </c>
      <c r="F1658">
        <v>0</v>
      </c>
      <c r="G1658">
        <v>2</v>
      </c>
      <c r="H1658" t="s">
        <v>22</v>
      </c>
      <c r="I1658" t="s">
        <v>22</v>
      </c>
      <c r="J1658">
        <v>53710.23</v>
      </c>
      <c r="K1658" t="s">
        <v>23</v>
      </c>
      <c r="L1658">
        <v>0.28040979188703141</v>
      </c>
      <c r="M1658" t="s">
        <v>23</v>
      </c>
      <c r="N1658">
        <v>0</v>
      </c>
      <c r="O1658">
        <v>0</v>
      </c>
      <c r="P1658" t="s">
        <v>24</v>
      </c>
      <c r="Q1658" t="s">
        <v>46</v>
      </c>
      <c r="R1658" t="s">
        <v>29</v>
      </c>
      <c r="S1658" t="s">
        <v>30</v>
      </c>
      <c r="T1658" t="s">
        <v>40</v>
      </c>
      <c r="U1658">
        <f t="shared" si="25"/>
        <v>1</v>
      </c>
    </row>
    <row r="1659" spans="1:21" x14ac:dyDescent="0.2">
      <c r="A1659">
        <v>654</v>
      </c>
      <c r="B1659" t="s">
        <v>42</v>
      </c>
      <c r="C1659" t="s">
        <v>21</v>
      </c>
      <c r="D1659">
        <v>55</v>
      </c>
      <c r="E1659">
        <v>3</v>
      </c>
      <c r="F1659">
        <v>87485.67</v>
      </c>
      <c r="G1659">
        <v>1</v>
      </c>
      <c r="H1659" t="s">
        <v>22</v>
      </c>
      <c r="I1659" t="s">
        <v>22</v>
      </c>
      <c r="J1659">
        <v>3299.01</v>
      </c>
      <c r="K1659" t="s">
        <v>23</v>
      </c>
      <c r="L1659">
        <v>0.19894996754473379</v>
      </c>
      <c r="M1659" t="s">
        <v>23</v>
      </c>
      <c r="N1659">
        <v>0</v>
      </c>
      <c r="O1659">
        <v>0</v>
      </c>
      <c r="P1659" t="s">
        <v>34</v>
      </c>
      <c r="Q1659" t="s">
        <v>44</v>
      </c>
      <c r="R1659" t="s">
        <v>38</v>
      </c>
      <c r="S1659" t="s">
        <v>27</v>
      </c>
      <c r="T1659" t="s">
        <v>35</v>
      </c>
      <c r="U1659">
        <f t="shared" si="25"/>
        <v>1</v>
      </c>
    </row>
    <row r="1660" spans="1:21" x14ac:dyDescent="0.2">
      <c r="A1660">
        <v>705</v>
      </c>
      <c r="B1660" t="s">
        <v>42</v>
      </c>
      <c r="C1660" t="s">
        <v>32</v>
      </c>
      <c r="D1660">
        <v>37</v>
      </c>
      <c r="E1660">
        <v>10</v>
      </c>
      <c r="F1660">
        <v>0</v>
      </c>
      <c r="G1660">
        <v>2</v>
      </c>
      <c r="H1660" t="s">
        <v>22</v>
      </c>
      <c r="I1660" t="s">
        <v>22</v>
      </c>
      <c r="J1660">
        <v>13935.53</v>
      </c>
      <c r="K1660" t="s">
        <v>22</v>
      </c>
      <c r="L1660">
        <v>6.4434570699694146E-2</v>
      </c>
      <c r="M1660" t="s">
        <v>23</v>
      </c>
      <c r="N1660">
        <v>1</v>
      </c>
      <c r="O1660">
        <v>0</v>
      </c>
      <c r="P1660" t="s">
        <v>34</v>
      </c>
      <c r="Q1660" t="s">
        <v>33</v>
      </c>
      <c r="R1660" t="s">
        <v>29</v>
      </c>
      <c r="S1660" t="s">
        <v>37</v>
      </c>
      <c r="T1660" t="s">
        <v>35</v>
      </c>
      <c r="U1660">
        <f t="shared" si="25"/>
        <v>0</v>
      </c>
    </row>
    <row r="1661" spans="1:21" x14ac:dyDescent="0.2">
      <c r="A1661">
        <v>553</v>
      </c>
      <c r="B1661" t="s">
        <v>41</v>
      </c>
      <c r="C1661" t="s">
        <v>32</v>
      </c>
      <c r="D1661">
        <v>25</v>
      </c>
      <c r="E1661">
        <v>7</v>
      </c>
      <c r="F1661">
        <v>128524.19</v>
      </c>
      <c r="G1661">
        <v>2</v>
      </c>
      <c r="H1661" t="s">
        <v>22</v>
      </c>
      <c r="I1661" t="s">
        <v>23</v>
      </c>
      <c r="J1661">
        <v>20682.46</v>
      </c>
      <c r="K1661" t="s">
        <v>23</v>
      </c>
      <c r="L1661">
        <v>0.23439490882651159</v>
      </c>
      <c r="M1661" t="s">
        <v>23</v>
      </c>
      <c r="N1661">
        <v>0</v>
      </c>
      <c r="O1661">
        <v>0</v>
      </c>
      <c r="P1661" t="s">
        <v>24</v>
      </c>
      <c r="Q1661" t="s">
        <v>36</v>
      </c>
      <c r="R1661" t="s">
        <v>26</v>
      </c>
      <c r="S1661" t="s">
        <v>30</v>
      </c>
      <c r="T1661" t="s">
        <v>35</v>
      </c>
      <c r="U1661">
        <f t="shared" si="25"/>
        <v>1</v>
      </c>
    </row>
    <row r="1662" spans="1:21" x14ac:dyDescent="0.2">
      <c r="A1662">
        <v>655</v>
      </c>
      <c r="B1662" t="s">
        <v>42</v>
      </c>
      <c r="C1662" t="s">
        <v>32</v>
      </c>
      <c r="D1662">
        <v>34</v>
      </c>
      <c r="E1662">
        <v>3</v>
      </c>
      <c r="F1662">
        <v>0</v>
      </c>
      <c r="G1662">
        <v>2</v>
      </c>
      <c r="H1662" t="s">
        <v>22</v>
      </c>
      <c r="I1662" t="s">
        <v>23</v>
      </c>
      <c r="J1662">
        <v>159638.76999999999</v>
      </c>
      <c r="K1662" t="s">
        <v>23</v>
      </c>
      <c r="L1662">
        <v>0.17465832129190981</v>
      </c>
      <c r="M1662" t="s">
        <v>23</v>
      </c>
      <c r="N1662">
        <v>0</v>
      </c>
      <c r="O1662">
        <v>0</v>
      </c>
      <c r="P1662" t="s">
        <v>34</v>
      </c>
      <c r="Q1662" t="s">
        <v>33</v>
      </c>
      <c r="R1662" t="s">
        <v>29</v>
      </c>
      <c r="S1662" t="s">
        <v>27</v>
      </c>
      <c r="T1662" t="s">
        <v>31</v>
      </c>
      <c r="U1662">
        <f t="shared" si="25"/>
        <v>1</v>
      </c>
    </row>
    <row r="1663" spans="1:21" x14ac:dyDescent="0.2">
      <c r="A1663">
        <v>520</v>
      </c>
      <c r="B1663" t="s">
        <v>41</v>
      </c>
      <c r="C1663" t="s">
        <v>21</v>
      </c>
      <c r="D1663">
        <v>43</v>
      </c>
      <c r="E1663">
        <v>3</v>
      </c>
      <c r="F1663">
        <v>150805.17000000001</v>
      </c>
      <c r="G1663">
        <v>3</v>
      </c>
      <c r="H1663" t="s">
        <v>23</v>
      </c>
      <c r="I1663" t="s">
        <v>22</v>
      </c>
      <c r="J1663">
        <v>25333.03</v>
      </c>
      <c r="K1663" t="s">
        <v>22</v>
      </c>
      <c r="L1663">
        <v>0.198106288985816</v>
      </c>
      <c r="M1663" t="s">
        <v>23</v>
      </c>
      <c r="N1663">
        <v>1</v>
      </c>
      <c r="O1663">
        <v>0</v>
      </c>
      <c r="P1663" t="s">
        <v>34</v>
      </c>
      <c r="Q1663" t="s">
        <v>25</v>
      </c>
      <c r="R1663" t="s">
        <v>47</v>
      </c>
      <c r="S1663" t="s">
        <v>30</v>
      </c>
      <c r="T1663" t="s">
        <v>35</v>
      </c>
      <c r="U1663">
        <f t="shared" si="25"/>
        <v>0</v>
      </c>
    </row>
    <row r="1664" spans="1:21" x14ac:dyDescent="0.2">
      <c r="A1664">
        <v>695</v>
      </c>
      <c r="B1664" t="s">
        <v>20</v>
      </c>
      <c r="C1664" t="s">
        <v>21</v>
      </c>
      <c r="D1664">
        <v>32</v>
      </c>
      <c r="E1664">
        <v>9</v>
      </c>
      <c r="F1664">
        <v>0</v>
      </c>
      <c r="G1664">
        <v>3</v>
      </c>
      <c r="H1664" t="s">
        <v>23</v>
      </c>
      <c r="I1664" t="s">
        <v>22</v>
      </c>
      <c r="J1664">
        <v>38533.79</v>
      </c>
      <c r="K1664" t="s">
        <v>23</v>
      </c>
      <c r="L1664">
        <v>2.6976562434234991E-2</v>
      </c>
      <c r="M1664" t="s">
        <v>23</v>
      </c>
      <c r="N1664">
        <v>0</v>
      </c>
      <c r="O1664">
        <v>0</v>
      </c>
      <c r="P1664" t="s">
        <v>34</v>
      </c>
      <c r="Q1664" t="s">
        <v>33</v>
      </c>
      <c r="R1664" t="s">
        <v>29</v>
      </c>
      <c r="S1664" t="s">
        <v>27</v>
      </c>
      <c r="T1664" t="s">
        <v>35</v>
      </c>
      <c r="U1664">
        <f t="shared" si="25"/>
        <v>1</v>
      </c>
    </row>
    <row r="1665" spans="1:21" x14ac:dyDescent="0.2">
      <c r="A1665">
        <v>585</v>
      </c>
      <c r="B1665" t="s">
        <v>42</v>
      </c>
      <c r="C1665" t="s">
        <v>32</v>
      </c>
      <c r="D1665">
        <v>30</v>
      </c>
      <c r="E1665">
        <v>6</v>
      </c>
      <c r="F1665">
        <v>0</v>
      </c>
      <c r="G1665">
        <v>2</v>
      </c>
      <c r="H1665" t="s">
        <v>22</v>
      </c>
      <c r="I1665" t="s">
        <v>22</v>
      </c>
      <c r="J1665">
        <v>137757.69</v>
      </c>
      <c r="K1665" t="s">
        <v>23</v>
      </c>
      <c r="L1665">
        <v>4.9174877675334877E-2</v>
      </c>
      <c r="M1665" t="s">
        <v>23</v>
      </c>
      <c r="N1665">
        <v>0</v>
      </c>
      <c r="O1665">
        <v>0</v>
      </c>
      <c r="P1665" t="s">
        <v>34</v>
      </c>
      <c r="Q1665" t="s">
        <v>36</v>
      </c>
      <c r="R1665" t="s">
        <v>29</v>
      </c>
      <c r="S1665" t="s">
        <v>30</v>
      </c>
      <c r="T1665" t="s">
        <v>28</v>
      </c>
      <c r="U1665">
        <f t="shared" si="25"/>
        <v>1</v>
      </c>
    </row>
    <row r="1666" spans="1:21" x14ac:dyDescent="0.2">
      <c r="A1666">
        <v>587</v>
      </c>
      <c r="B1666" t="s">
        <v>41</v>
      </c>
      <c r="C1666" t="s">
        <v>32</v>
      </c>
      <c r="D1666">
        <v>49</v>
      </c>
      <c r="E1666">
        <v>7</v>
      </c>
      <c r="F1666">
        <v>155393.98000000001</v>
      </c>
      <c r="G1666">
        <v>2</v>
      </c>
      <c r="H1666" t="s">
        <v>22</v>
      </c>
      <c r="I1666" t="s">
        <v>23</v>
      </c>
      <c r="J1666">
        <v>13308.2</v>
      </c>
      <c r="K1666" t="s">
        <v>22</v>
      </c>
      <c r="L1666">
        <v>0.65343032726940309</v>
      </c>
      <c r="M1666" t="s">
        <v>22</v>
      </c>
      <c r="N1666">
        <v>1</v>
      </c>
      <c r="O1666">
        <v>1</v>
      </c>
      <c r="P1666" t="s">
        <v>43</v>
      </c>
      <c r="Q1666" t="s">
        <v>25</v>
      </c>
      <c r="R1666" t="s">
        <v>47</v>
      </c>
      <c r="S1666" t="s">
        <v>30</v>
      </c>
      <c r="T1666" t="s">
        <v>35</v>
      </c>
      <c r="U1666">
        <f t="shared" ref="U1666:U1729" si="26">IF(K1666=M1666,1,0)</f>
        <v>1</v>
      </c>
    </row>
    <row r="1667" spans="1:21" x14ac:dyDescent="0.2">
      <c r="A1667">
        <v>556</v>
      </c>
      <c r="B1667" t="s">
        <v>41</v>
      </c>
      <c r="C1667" t="s">
        <v>32</v>
      </c>
      <c r="D1667">
        <v>31</v>
      </c>
      <c r="E1667">
        <v>1</v>
      </c>
      <c r="F1667">
        <v>128663.81</v>
      </c>
      <c r="G1667">
        <v>2</v>
      </c>
      <c r="H1667" t="s">
        <v>22</v>
      </c>
      <c r="I1667" t="s">
        <v>23</v>
      </c>
      <c r="J1667">
        <v>125083.29</v>
      </c>
      <c r="K1667" t="s">
        <v>23</v>
      </c>
      <c r="L1667">
        <v>0.36255786110062432</v>
      </c>
      <c r="M1667" t="s">
        <v>23</v>
      </c>
      <c r="N1667">
        <v>0</v>
      </c>
      <c r="O1667">
        <v>0</v>
      </c>
      <c r="P1667" t="s">
        <v>24</v>
      </c>
      <c r="Q1667" t="s">
        <v>33</v>
      </c>
      <c r="R1667" t="s">
        <v>26</v>
      </c>
      <c r="S1667" t="s">
        <v>30</v>
      </c>
      <c r="T1667" t="s">
        <v>28</v>
      </c>
      <c r="U1667">
        <f t="shared" si="26"/>
        <v>1</v>
      </c>
    </row>
    <row r="1668" spans="1:21" x14ac:dyDescent="0.2">
      <c r="A1668">
        <v>690</v>
      </c>
      <c r="B1668" t="s">
        <v>42</v>
      </c>
      <c r="C1668" t="s">
        <v>32</v>
      </c>
      <c r="D1668">
        <v>35</v>
      </c>
      <c r="E1668">
        <v>9</v>
      </c>
      <c r="F1668">
        <v>107944.33</v>
      </c>
      <c r="G1668">
        <v>2</v>
      </c>
      <c r="H1668" t="s">
        <v>23</v>
      </c>
      <c r="I1668" t="s">
        <v>23</v>
      </c>
      <c r="J1668">
        <v>48478.47</v>
      </c>
      <c r="K1668" t="s">
        <v>23</v>
      </c>
      <c r="L1668">
        <v>0.20227445481919229</v>
      </c>
      <c r="M1668" t="s">
        <v>23</v>
      </c>
      <c r="N1668">
        <v>0</v>
      </c>
      <c r="O1668">
        <v>0</v>
      </c>
      <c r="P1668" t="s">
        <v>24</v>
      </c>
      <c r="Q1668" t="s">
        <v>33</v>
      </c>
      <c r="R1668" t="s">
        <v>26</v>
      </c>
      <c r="S1668" t="s">
        <v>27</v>
      </c>
      <c r="T1668" t="s">
        <v>35</v>
      </c>
      <c r="U1668">
        <f t="shared" si="26"/>
        <v>1</v>
      </c>
    </row>
    <row r="1669" spans="1:21" x14ac:dyDescent="0.2">
      <c r="A1669">
        <v>557</v>
      </c>
      <c r="B1669" t="s">
        <v>41</v>
      </c>
      <c r="C1669" t="s">
        <v>21</v>
      </c>
      <c r="D1669">
        <v>57</v>
      </c>
      <c r="E1669">
        <v>1</v>
      </c>
      <c r="F1669">
        <v>120043.13</v>
      </c>
      <c r="G1669">
        <v>1</v>
      </c>
      <c r="H1669" t="s">
        <v>22</v>
      </c>
      <c r="I1669" t="s">
        <v>23</v>
      </c>
      <c r="J1669">
        <v>132370.75</v>
      </c>
      <c r="K1669" t="s">
        <v>22</v>
      </c>
      <c r="L1669">
        <v>0.710275370425965</v>
      </c>
      <c r="M1669" t="s">
        <v>22</v>
      </c>
      <c r="N1669">
        <v>1</v>
      </c>
      <c r="O1669">
        <v>1</v>
      </c>
      <c r="P1669" t="s">
        <v>43</v>
      </c>
      <c r="Q1669" t="s">
        <v>44</v>
      </c>
      <c r="R1669" t="s">
        <v>26</v>
      </c>
      <c r="S1669" t="s">
        <v>30</v>
      </c>
      <c r="T1669" t="s">
        <v>28</v>
      </c>
      <c r="U1669">
        <f t="shared" si="26"/>
        <v>1</v>
      </c>
    </row>
    <row r="1670" spans="1:21" x14ac:dyDescent="0.2">
      <c r="A1670">
        <v>637</v>
      </c>
      <c r="B1670" t="s">
        <v>42</v>
      </c>
      <c r="C1670" t="s">
        <v>21</v>
      </c>
      <c r="D1670">
        <v>41</v>
      </c>
      <c r="E1670">
        <v>2</v>
      </c>
      <c r="F1670">
        <v>0</v>
      </c>
      <c r="G1670">
        <v>2</v>
      </c>
      <c r="H1670" t="s">
        <v>23</v>
      </c>
      <c r="I1670" t="s">
        <v>22</v>
      </c>
      <c r="J1670">
        <v>102515.42</v>
      </c>
      <c r="K1670" t="s">
        <v>23</v>
      </c>
      <c r="L1670">
        <v>6.661741534187543E-2</v>
      </c>
      <c r="M1670" t="s">
        <v>23</v>
      </c>
      <c r="N1670">
        <v>0</v>
      </c>
      <c r="O1670">
        <v>0</v>
      </c>
      <c r="P1670" t="s">
        <v>34</v>
      </c>
      <c r="Q1670" t="s">
        <v>25</v>
      </c>
      <c r="R1670" t="s">
        <v>29</v>
      </c>
      <c r="S1670" t="s">
        <v>27</v>
      </c>
      <c r="T1670" t="s">
        <v>28</v>
      </c>
      <c r="U1670">
        <f t="shared" si="26"/>
        <v>1</v>
      </c>
    </row>
    <row r="1671" spans="1:21" x14ac:dyDescent="0.2">
      <c r="A1671">
        <v>499</v>
      </c>
      <c r="B1671" t="s">
        <v>42</v>
      </c>
      <c r="C1671" t="s">
        <v>21</v>
      </c>
      <c r="D1671">
        <v>60</v>
      </c>
      <c r="E1671">
        <v>7</v>
      </c>
      <c r="F1671">
        <v>76961.600000000006</v>
      </c>
      <c r="G1671">
        <v>2</v>
      </c>
      <c r="H1671" t="s">
        <v>22</v>
      </c>
      <c r="I1671" t="s">
        <v>22</v>
      </c>
      <c r="J1671">
        <v>83643.87</v>
      </c>
      <c r="K1671" t="s">
        <v>23</v>
      </c>
      <c r="L1671">
        <v>0.25337714633672448</v>
      </c>
      <c r="M1671" t="s">
        <v>23</v>
      </c>
      <c r="N1671">
        <v>0</v>
      </c>
      <c r="O1671">
        <v>0</v>
      </c>
      <c r="P1671" t="s">
        <v>24</v>
      </c>
      <c r="Q1671" t="s">
        <v>44</v>
      </c>
      <c r="R1671" t="s">
        <v>38</v>
      </c>
      <c r="S1671" t="s">
        <v>45</v>
      </c>
      <c r="T1671" t="s">
        <v>40</v>
      </c>
      <c r="U1671">
        <f t="shared" si="26"/>
        <v>1</v>
      </c>
    </row>
    <row r="1672" spans="1:21" x14ac:dyDescent="0.2">
      <c r="A1672">
        <v>813</v>
      </c>
      <c r="B1672" t="s">
        <v>41</v>
      </c>
      <c r="C1672" t="s">
        <v>32</v>
      </c>
      <c r="D1672">
        <v>29</v>
      </c>
      <c r="E1672">
        <v>5</v>
      </c>
      <c r="F1672">
        <v>106059.4</v>
      </c>
      <c r="G1672">
        <v>1</v>
      </c>
      <c r="H1672" t="s">
        <v>23</v>
      </c>
      <c r="I1672" t="s">
        <v>23</v>
      </c>
      <c r="J1672">
        <v>187976.88</v>
      </c>
      <c r="K1672" t="s">
        <v>22</v>
      </c>
      <c r="L1672">
        <v>0.29798363330186001</v>
      </c>
      <c r="M1672" t="s">
        <v>23</v>
      </c>
      <c r="N1672">
        <v>1</v>
      </c>
      <c r="O1672">
        <v>0</v>
      </c>
      <c r="P1672" t="s">
        <v>24</v>
      </c>
      <c r="Q1672" t="s">
        <v>36</v>
      </c>
      <c r="R1672" t="s">
        <v>26</v>
      </c>
      <c r="S1672" t="s">
        <v>39</v>
      </c>
      <c r="T1672" t="s">
        <v>31</v>
      </c>
      <c r="U1672">
        <f t="shared" si="26"/>
        <v>0</v>
      </c>
    </row>
    <row r="1673" spans="1:21" x14ac:dyDescent="0.2">
      <c r="A1673">
        <v>850</v>
      </c>
      <c r="B1673" t="s">
        <v>41</v>
      </c>
      <c r="C1673" t="s">
        <v>21</v>
      </c>
      <c r="D1673">
        <v>44</v>
      </c>
      <c r="E1673">
        <v>2</v>
      </c>
      <c r="F1673">
        <v>112755.34</v>
      </c>
      <c r="G1673">
        <v>2</v>
      </c>
      <c r="H1673" t="s">
        <v>23</v>
      </c>
      <c r="I1673" t="s">
        <v>23</v>
      </c>
      <c r="J1673">
        <v>158171.35999999999</v>
      </c>
      <c r="K1673" t="s">
        <v>23</v>
      </c>
      <c r="L1673">
        <v>0.41006927738810678</v>
      </c>
      <c r="M1673" t="s">
        <v>23</v>
      </c>
      <c r="N1673">
        <v>0</v>
      </c>
      <c r="O1673">
        <v>0</v>
      </c>
      <c r="P1673" t="s">
        <v>24</v>
      </c>
      <c r="Q1673" t="s">
        <v>25</v>
      </c>
      <c r="R1673" t="s">
        <v>26</v>
      </c>
      <c r="S1673" t="s">
        <v>39</v>
      </c>
      <c r="T1673" t="s">
        <v>31</v>
      </c>
      <c r="U1673">
        <f t="shared" si="26"/>
        <v>1</v>
      </c>
    </row>
    <row r="1674" spans="1:21" x14ac:dyDescent="0.2">
      <c r="A1674">
        <v>601</v>
      </c>
      <c r="B1674" t="s">
        <v>42</v>
      </c>
      <c r="C1674" t="s">
        <v>21</v>
      </c>
      <c r="D1674">
        <v>39</v>
      </c>
      <c r="E1674">
        <v>3</v>
      </c>
      <c r="F1674">
        <v>72647.64</v>
      </c>
      <c r="G1674">
        <v>1</v>
      </c>
      <c r="H1674" t="s">
        <v>22</v>
      </c>
      <c r="I1674" t="s">
        <v>23</v>
      </c>
      <c r="J1674">
        <v>41777.9</v>
      </c>
      <c r="K1674" t="s">
        <v>22</v>
      </c>
      <c r="L1674">
        <v>0.18737933176352231</v>
      </c>
      <c r="M1674" t="s">
        <v>23</v>
      </c>
      <c r="N1674">
        <v>1</v>
      </c>
      <c r="O1674">
        <v>0</v>
      </c>
      <c r="P1674" t="s">
        <v>34</v>
      </c>
      <c r="Q1674" t="s">
        <v>33</v>
      </c>
      <c r="R1674" t="s">
        <v>38</v>
      </c>
      <c r="S1674" t="s">
        <v>27</v>
      </c>
      <c r="T1674" t="s">
        <v>35</v>
      </c>
      <c r="U1674">
        <f t="shared" si="26"/>
        <v>0</v>
      </c>
    </row>
    <row r="1675" spans="1:21" x14ac:dyDescent="0.2">
      <c r="A1675">
        <v>614</v>
      </c>
      <c r="B1675" t="s">
        <v>41</v>
      </c>
      <c r="C1675" t="s">
        <v>32</v>
      </c>
      <c r="D1675">
        <v>37</v>
      </c>
      <c r="E1675">
        <v>6</v>
      </c>
      <c r="F1675">
        <v>96340.81</v>
      </c>
      <c r="G1675">
        <v>2</v>
      </c>
      <c r="H1675" t="s">
        <v>22</v>
      </c>
      <c r="I1675" t="s">
        <v>22</v>
      </c>
      <c r="J1675">
        <v>139377.24</v>
      </c>
      <c r="K1675" t="s">
        <v>22</v>
      </c>
      <c r="L1675">
        <v>0.19386984437564669</v>
      </c>
      <c r="M1675" t="s">
        <v>23</v>
      </c>
      <c r="N1675">
        <v>1</v>
      </c>
      <c r="O1675">
        <v>0</v>
      </c>
      <c r="P1675" t="s">
        <v>34</v>
      </c>
      <c r="Q1675" t="s">
        <v>33</v>
      </c>
      <c r="R1675" t="s">
        <v>38</v>
      </c>
      <c r="S1675" t="s">
        <v>27</v>
      </c>
      <c r="T1675" t="s">
        <v>28</v>
      </c>
      <c r="U1675">
        <f t="shared" si="26"/>
        <v>0</v>
      </c>
    </row>
    <row r="1676" spans="1:21" x14ac:dyDescent="0.2">
      <c r="A1676">
        <v>599</v>
      </c>
      <c r="B1676" t="s">
        <v>20</v>
      </c>
      <c r="C1676" t="s">
        <v>21</v>
      </c>
      <c r="D1676">
        <v>25</v>
      </c>
      <c r="E1676">
        <v>3</v>
      </c>
      <c r="F1676">
        <v>0</v>
      </c>
      <c r="G1676">
        <v>2</v>
      </c>
      <c r="H1676" t="s">
        <v>22</v>
      </c>
      <c r="I1676" t="s">
        <v>22</v>
      </c>
      <c r="J1676">
        <v>120790.02</v>
      </c>
      <c r="K1676" t="s">
        <v>23</v>
      </c>
      <c r="L1676">
        <v>2.1864487676271489E-2</v>
      </c>
      <c r="M1676" t="s">
        <v>23</v>
      </c>
      <c r="N1676">
        <v>0</v>
      </c>
      <c r="O1676">
        <v>0</v>
      </c>
      <c r="P1676" t="s">
        <v>34</v>
      </c>
      <c r="Q1676" t="s">
        <v>36</v>
      </c>
      <c r="R1676" t="s">
        <v>29</v>
      </c>
      <c r="S1676" t="s">
        <v>30</v>
      </c>
      <c r="T1676" t="s">
        <v>28</v>
      </c>
      <c r="U1676">
        <f t="shared" si="26"/>
        <v>1</v>
      </c>
    </row>
    <row r="1677" spans="1:21" x14ac:dyDescent="0.2">
      <c r="A1677">
        <v>755</v>
      </c>
      <c r="B1677" t="s">
        <v>42</v>
      </c>
      <c r="C1677" t="s">
        <v>21</v>
      </c>
      <c r="D1677">
        <v>34</v>
      </c>
      <c r="E1677">
        <v>3</v>
      </c>
      <c r="F1677">
        <v>0</v>
      </c>
      <c r="G1677">
        <v>2</v>
      </c>
      <c r="H1677" t="s">
        <v>22</v>
      </c>
      <c r="I1677" t="s">
        <v>22</v>
      </c>
      <c r="J1677">
        <v>158816.03</v>
      </c>
      <c r="K1677" t="s">
        <v>23</v>
      </c>
      <c r="L1677">
        <v>3.6969267162257242E-2</v>
      </c>
      <c r="M1677" t="s">
        <v>23</v>
      </c>
      <c r="N1677">
        <v>0</v>
      </c>
      <c r="O1677">
        <v>0</v>
      </c>
      <c r="P1677" t="s">
        <v>34</v>
      </c>
      <c r="Q1677" t="s">
        <v>33</v>
      </c>
      <c r="R1677" t="s">
        <v>29</v>
      </c>
      <c r="S1677" t="s">
        <v>37</v>
      </c>
      <c r="T1677" t="s">
        <v>31</v>
      </c>
      <c r="U1677">
        <f t="shared" si="26"/>
        <v>1</v>
      </c>
    </row>
    <row r="1678" spans="1:21" x14ac:dyDescent="0.2">
      <c r="A1678">
        <v>660</v>
      </c>
      <c r="B1678" t="s">
        <v>42</v>
      </c>
      <c r="C1678" t="s">
        <v>32</v>
      </c>
      <c r="D1678">
        <v>48</v>
      </c>
      <c r="E1678">
        <v>0</v>
      </c>
      <c r="F1678">
        <v>90044.32</v>
      </c>
      <c r="G1678">
        <v>2</v>
      </c>
      <c r="H1678" t="s">
        <v>23</v>
      </c>
      <c r="I1678" t="s">
        <v>22</v>
      </c>
      <c r="J1678">
        <v>187604.97</v>
      </c>
      <c r="K1678" t="s">
        <v>22</v>
      </c>
      <c r="L1678">
        <v>0.21929304587684481</v>
      </c>
      <c r="M1678" t="s">
        <v>23</v>
      </c>
      <c r="N1678">
        <v>1</v>
      </c>
      <c r="O1678">
        <v>0</v>
      </c>
      <c r="P1678" t="s">
        <v>24</v>
      </c>
      <c r="Q1678" t="s">
        <v>25</v>
      </c>
      <c r="R1678" t="s">
        <v>38</v>
      </c>
      <c r="S1678" t="s">
        <v>27</v>
      </c>
      <c r="T1678" t="s">
        <v>31</v>
      </c>
      <c r="U1678">
        <f t="shared" si="26"/>
        <v>0</v>
      </c>
    </row>
    <row r="1679" spans="1:21" x14ac:dyDescent="0.2">
      <c r="A1679">
        <v>769</v>
      </c>
      <c r="B1679" t="s">
        <v>41</v>
      </c>
      <c r="C1679" t="s">
        <v>21</v>
      </c>
      <c r="D1679">
        <v>60</v>
      </c>
      <c r="E1679">
        <v>9</v>
      </c>
      <c r="F1679">
        <v>148846.39000000001</v>
      </c>
      <c r="G1679">
        <v>1</v>
      </c>
      <c r="H1679" t="s">
        <v>22</v>
      </c>
      <c r="I1679" t="s">
        <v>23</v>
      </c>
      <c r="J1679">
        <v>192831.67</v>
      </c>
      <c r="K1679" t="s">
        <v>22</v>
      </c>
      <c r="L1679">
        <v>0.71547070499203524</v>
      </c>
      <c r="M1679" t="s">
        <v>22</v>
      </c>
      <c r="N1679">
        <v>1</v>
      </c>
      <c r="O1679">
        <v>1</v>
      </c>
      <c r="P1679" t="s">
        <v>43</v>
      </c>
      <c r="Q1679" t="s">
        <v>44</v>
      </c>
      <c r="R1679" t="s">
        <v>26</v>
      </c>
      <c r="S1679" t="s">
        <v>37</v>
      </c>
      <c r="T1679" t="s">
        <v>31</v>
      </c>
      <c r="U1679">
        <f t="shared" si="26"/>
        <v>1</v>
      </c>
    </row>
    <row r="1680" spans="1:21" x14ac:dyDescent="0.2">
      <c r="A1680">
        <v>607</v>
      </c>
      <c r="B1680" t="s">
        <v>42</v>
      </c>
      <c r="C1680" t="s">
        <v>32</v>
      </c>
      <c r="D1680">
        <v>48</v>
      </c>
      <c r="E1680">
        <v>4</v>
      </c>
      <c r="F1680">
        <v>112070.86</v>
      </c>
      <c r="G1680">
        <v>3</v>
      </c>
      <c r="H1680" t="s">
        <v>22</v>
      </c>
      <c r="I1680" t="s">
        <v>23</v>
      </c>
      <c r="J1680">
        <v>173568.3</v>
      </c>
      <c r="K1680" t="s">
        <v>22</v>
      </c>
      <c r="L1680">
        <v>0.42336571780602988</v>
      </c>
      <c r="M1680" t="s">
        <v>23</v>
      </c>
      <c r="N1680">
        <v>1</v>
      </c>
      <c r="O1680">
        <v>0</v>
      </c>
      <c r="P1680" t="s">
        <v>24</v>
      </c>
      <c r="Q1680" t="s">
        <v>25</v>
      </c>
      <c r="R1680" t="s">
        <v>26</v>
      </c>
      <c r="S1680" t="s">
        <v>27</v>
      </c>
      <c r="T1680" t="s">
        <v>31</v>
      </c>
      <c r="U1680">
        <f t="shared" si="26"/>
        <v>0</v>
      </c>
    </row>
    <row r="1681" spans="1:21" x14ac:dyDescent="0.2">
      <c r="A1681">
        <v>767</v>
      </c>
      <c r="B1681" t="s">
        <v>41</v>
      </c>
      <c r="C1681" t="s">
        <v>32</v>
      </c>
      <c r="D1681">
        <v>45</v>
      </c>
      <c r="E1681">
        <v>7</v>
      </c>
      <c r="F1681">
        <v>132746.20000000001</v>
      </c>
      <c r="G1681">
        <v>2</v>
      </c>
      <c r="H1681" t="s">
        <v>22</v>
      </c>
      <c r="I1681" t="s">
        <v>23</v>
      </c>
      <c r="J1681">
        <v>26628.880000000001</v>
      </c>
      <c r="K1681" t="s">
        <v>22</v>
      </c>
      <c r="L1681">
        <v>0.54048992318517841</v>
      </c>
      <c r="M1681" t="s">
        <v>22</v>
      </c>
      <c r="N1681">
        <v>1</v>
      </c>
      <c r="O1681">
        <v>1</v>
      </c>
      <c r="P1681" t="s">
        <v>43</v>
      </c>
      <c r="Q1681" t="s">
        <v>25</v>
      </c>
      <c r="R1681" t="s">
        <v>26</v>
      </c>
      <c r="S1681" t="s">
        <v>37</v>
      </c>
      <c r="T1681" t="s">
        <v>35</v>
      </c>
      <c r="U1681">
        <f t="shared" si="26"/>
        <v>1</v>
      </c>
    </row>
    <row r="1682" spans="1:21" x14ac:dyDescent="0.2">
      <c r="A1682">
        <v>776</v>
      </c>
      <c r="B1682" t="s">
        <v>42</v>
      </c>
      <c r="C1682" t="s">
        <v>21</v>
      </c>
      <c r="D1682">
        <v>39</v>
      </c>
      <c r="E1682">
        <v>8</v>
      </c>
      <c r="F1682">
        <v>125211.55</v>
      </c>
      <c r="G1682">
        <v>2</v>
      </c>
      <c r="H1682" t="s">
        <v>22</v>
      </c>
      <c r="I1682" t="s">
        <v>23</v>
      </c>
      <c r="J1682">
        <v>144496.07</v>
      </c>
      <c r="K1682" t="s">
        <v>23</v>
      </c>
      <c r="L1682">
        <v>0.1683826435039586</v>
      </c>
      <c r="M1682" t="s">
        <v>23</v>
      </c>
      <c r="N1682">
        <v>0</v>
      </c>
      <c r="O1682">
        <v>0</v>
      </c>
      <c r="P1682" t="s">
        <v>34</v>
      </c>
      <c r="Q1682" t="s">
        <v>33</v>
      </c>
      <c r="R1682" t="s">
        <v>26</v>
      </c>
      <c r="S1682" t="s">
        <v>37</v>
      </c>
      <c r="T1682" t="s">
        <v>28</v>
      </c>
      <c r="U1682">
        <f t="shared" si="26"/>
        <v>1</v>
      </c>
    </row>
    <row r="1683" spans="1:21" x14ac:dyDescent="0.2">
      <c r="A1683">
        <v>743</v>
      </c>
      <c r="B1683" t="s">
        <v>42</v>
      </c>
      <c r="C1683" t="s">
        <v>32</v>
      </c>
      <c r="D1683">
        <v>46</v>
      </c>
      <c r="E1683">
        <v>9</v>
      </c>
      <c r="F1683">
        <v>0</v>
      </c>
      <c r="G1683">
        <v>1</v>
      </c>
      <c r="H1683" t="s">
        <v>22</v>
      </c>
      <c r="I1683" t="s">
        <v>23</v>
      </c>
      <c r="J1683">
        <v>113436.08</v>
      </c>
      <c r="K1683" t="s">
        <v>23</v>
      </c>
      <c r="L1683">
        <v>0.3171419304272336</v>
      </c>
      <c r="M1683" t="s">
        <v>23</v>
      </c>
      <c r="N1683">
        <v>0</v>
      </c>
      <c r="O1683">
        <v>0</v>
      </c>
      <c r="P1683" t="s">
        <v>24</v>
      </c>
      <c r="Q1683" t="s">
        <v>25</v>
      </c>
      <c r="R1683" t="s">
        <v>29</v>
      </c>
      <c r="S1683" t="s">
        <v>37</v>
      </c>
      <c r="T1683" t="s">
        <v>28</v>
      </c>
      <c r="U1683">
        <f t="shared" si="26"/>
        <v>1</v>
      </c>
    </row>
    <row r="1684" spans="1:21" x14ac:dyDescent="0.2">
      <c r="A1684">
        <v>699</v>
      </c>
      <c r="B1684" t="s">
        <v>42</v>
      </c>
      <c r="C1684" t="s">
        <v>21</v>
      </c>
      <c r="D1684">
        <v>22</v>
      </c>
      <c r="E1684">
        <v>9</v>
      </c>
      <c r="F1684">
        <v>99339</v>
      </c>
      <c r="G1684">
        <v>1</v>
      </c>
      <c r="H1684" t="s">
        <v>22</v>
      </c>
      <c r="I1684" t="s">
        <v>23</v>
      </c>
      <c r="J1684">
        <v>68297.61</v>
      </c>
      <c r="K1684" t="s">
        <v>22</v>
      </c>
      <c r="L1684">
        <v>5.5852319921957452E-2</v>
      </c>
      <c r="M1684" t="s">
        <v>23</v>
      </c>
      <c r="N1684">
        <v>1</v>
      </c>
      <c r="O1684">
        <v>0</v>
      </c>
      <c r="P1684" t="s">
        <v>34</v>
      </c>
      <c r="Q1684" t="s">
        <v>36</v>
      </c>
      <c r="R1684" t="s">
        <v>38</v>
      </c>
      <c r="S1684" t="s">
        <v>27</v>
      </c>
      <c r="T1684" t="s">
        <v>40</v>
      </c>
      <c r="U1684">
        <f t="shared" si="26"/>
        <v>0</v>
      </c>
    </row>
    <row r="1685" spans="1:21" x14ac:dyDescent="0.2">
      <c r="A1685">
        <v>600</v>
      </c>
      <c r="B1685" t="s">
        <v>41</v>
      </c>
      <c r="C1685" t="s">
        <v>32</v>
      </c>
      <c r="D1685">
        <v>29</v>
      </c>
      <c r="E1685">
        <v>6</v>
      </c>
      <c r="F1685">
        <v>74430.100000000006</v>
      </c>
      <c r="G1685">
        <v>2</v>
      </c>
      <c r="H1685" t="s">
        <v>22</v>
      </c>
      <c r="I1685" t="s">
        <v>22</v>
      </c>
      <c r="J1685">
        <v>96051.1</v>
      </c>
      <c r="K1685" t="s">
        <v>23</v>
      </c>
      <c r="L1685">
        <v>0.1102354374539707</v>
      </c>
      <c r="M1685" t="s">
        <v>23</v>
      </c>
      <c r="N1685">
        <v>0</v>
      </c>
      <c r="O1685">
        <v>0</v>
      </c>
      <c r="P1685" t="s">
        <v>34</v>
      </c>
      <c r="Q1685" t="s">
        <v>36</v>
      </c>
      <c r="R1685" t="s">
        <v>38</v>
      </c>
      <c r="S1685" t="s">
        <v>30</v>
      </c>
      <c r="T1685" t="s">
        <v>40</v>
      </c>
      <c r="U1685">
        <f t="shared" si="26"/>
        <v>1</v>
      </c>
    </row>
    <row r="1686" spans="1:21" x14ac:dyDescent="0.2">
      <c r="A1686">
        <v>528</v>
      </c>
      <c r="B1686" t="s">
        <v>41</v>
      </c>
      <c r="C1686" t="s">
        <v>21</v>
      </c>
      <c r="D1686">
        <v>32</v>
      </c>
      <c r="E1686">
        <v>2</v>
      </c>
      <c r="F1686">
        <v>99092.45</v>
      </c>
      <c r="G1686">
        <v>1</v>
      </c>
      <c r="H1686" t="s">
        <v>23</v>
      </c>
      <c r="I1686" t="s">
        <v>22</v>
      </c>
      <c r="J1686">
        <v>111149.98</v>
      </c>
      <c r="K1686" t="s">
        <v>23</v>
      </c>
      <c r="L1686">
        <v>0.11138793499982751</v>
      </c>
      <c r="M1686" t="s">
        <v>23</v>
      </c>
      <c r="N1686">
        <v>0</v>
      </c>
      <c r="O1686">
        <v>0</v>
      </c>
      <c r="P1686" t="s">
        <v>34</v>
      </c>
      <c r="Q1686" t="s">
        <v>33</v>
      </c>
      <c r="R1686" t="s">
        <v>38</v>
      </c>
      <c r="S1686" t="s">
        <v>30</v>
      </c>
      <c r="T1686" t="s">
        <v>28</v>
      </c>
      <c r="U1686">
        <f t="shared" si="26"/>
        <v>1</v>
      </c>
    </row>
    <row r="1687" spans="1:21" x14ac:dyDescent="0.2">
      <c r="A1687">
        <v>677</v>
      </c>
      <c r="B1687" t="s">
        <v>41</v>
      </c>
      <c r="C1687" t="s">
        <v>32</v>
      </c>
      <c r="D1687">
        <v>26</v>
      </c>
      <c r="E1687">
        <v>6</v>
      </c>
      <c r="F1687">
        <v>98723.67</v>
      </c>
      <c r="G1687">
        <v>1</v>
      </c>
      <c r="H1687" t="s">
        <v>23</v>
      </c>
      <c r="I1687" t="s">
        <v>22</v>
      </c>
      <c r="J1687">
        <v>151146.67000000001</v>
      </c>
      <c r="K1687" t="s">
        <v>23</v>
      </c>
      <c r="L1687">
        <v>0.1058345526843877</v>
      </c>
      <c r="M1687" t="s">
        <v>23</v>
      </c>
      <c r="N1687">
        <v>0</v>
      </c>
      <c r="O1687">
        <v>0</v>
      </c>
      <c r="P1687" t="s">
        <v>34</v>
      </c>
      <c r="Q1687" t="s">
        <v>36</v>
      </c>
      <c r="R1687" t="s">
        <v>38</v>
      </c>
      <c r="S1687" t="s">
        <v>27</v>
      </c>
      <c r="T1687" t="s">
        <v>31</v>
      </c>
      <c r="U1687">
        <f t="shared" si="26"/>
        <v>1</v>
      </c>
    </row>
    <row r="1688" spans="1:21" x14ac:dyDescent="0.2">
      <c r="A1688">
        <v>702</v>
      </c>
      <c r="B1688" t="s">
        <v>42</v>
      </c>
      <c r="C1688" t="s">
        <v>21</v>
      </c>
      <c r="D1688">
        <v>26</v>
      </c>
      <c r="E1688">
        <v>2</v>
      </c>
      <c r="F1688">
        <v>71281.289999999994</v>
      </c>
      <c r="G1688">
        <v>1</v>
      </c>
      <c r="H1688" t="s">
        <v>22</v>
      </c>
      <c r="I1688" t="s">
        <v>22</v>
      </c>
      <c r="J1688">
        <v>108747.12</v>
      </c>
      <c r="K1688" t="s">
        <v>22</v>
      </c>
      <c r="L1688">
        <v>2.8329376171183921E-2</v>
      </c>
      <c r="M1688" t="s">
        <v>23</v>
      </c>
      <c r="N1688">
        <v>1</v>
      </c>
      <c r="O1688">
        <v>0</v>
      </c>
      <c r="P1688" t="s">
        <v>34</v>
      </c>
      <c r="Q1688" t="s">
        <v>36</v>
      </c>
      <c r="R1688" t="s">
        <v>38</v>
      </c>
      <c r="S1688" t="s">
        <v>37</v>
      </c>
      <c r="T1688" t="s">
        <v>28</v>
      </c>
      <c r="U1688">
        <f t="shared" si="26"/>
        <v>0</v>
      </c>
    </row>
    <row r="1689" spans="1:21" x14ac:dyDescent="0.2">
      <c r="A1689">
        <v>850</v>
      </c>
      <c r="B1689" t="s">
        <v>41</v>
      </c>
      <c r="C1689" t="s">
        <v>21</v>
      </c>
      <c r="D1689">
        <v>28</v>
      </c>
      <c r="E1689">
        <v>2</v>
      </c>
      <c r="F1689">
        <v>101100.22</v>
      </c>
      <c r="G1689">
        <v>2</v>
      </c>
      <c r="H1689" t="s">
        <v>22</v>
      </c>
      <c r="I1689" t="s">
        <v>22</v>
      </c>
      <c r="J1689">
        <v>35337.31</v>
      </c>
      <c r="K1689" t="s">
        <v>23</v>
      </c>
      <c r="L1689">
        <v>5.9045878089518139E-2</v>
      </c>
      <c r="M1689" t="s">
        <v>23</v>
      </c>
      <c r="N1689">
        <v>0</v>
      </c>
      <c r="O1689">
        <v>0</v>
      </c>
      <c r="P1689" t="s">
        <v>34</v>
      </c>
      <c r="Q1689" t="s">
        <v>36</v>
      </c>
      <c r="R1689" t="s">
        <v>26</v>
      </c>
      <c r="S1689" t="s">
        <v>39</v>
      </c>
      <c r="T1689" t="s">
        <v>35</v>
      </c>
      <c r="U1689">
        <f t="shared" si="26"/>
        <v>1</v>
      </c>
    </row>
    <row r="1690" spans="1:21" x14ac:dyDescent="0.2">
      <c r="A1690">
        <v>638</v>
      </c>
      <c r="B1690" t="s">
        <v>42</v>
      </c>
      <c r="C1690" t="s">
        <v>32</v>
      </c>
      <c r="D1690">
        <v>43</v>
      </c>
      <c r="E1690">
        <v>3</v>
      </c>
      <c r="F1690">
        <v>145860.98000000001</v>
      </c>
      <c r="G1690">
        <v>1</v>
      </c>
      <c r="H1690" t="s">
        <v>22</v>
      </c>
      <c r="I1690" t="s">
        <v>22</v>
      </c>
      <c r="J1690">
        <v>142763.51</v>
      </c>
      <c r="K1690" t="s">
        <v>22</v>
      </c>
      <c r="L1690">
        <v>0.18348474152169311</v>
      </c>
      <c r="M1690" t="s">
        <v>23</v>
      </c>
      <c r="N1690">
        <v>1</v>
      </c>
      <c r="O1690">
        <v>0</v>
      </c>
      <c r="P1690" t="s">
        <v>34</v>
      </c>
      <c r="Q1690" t="s">
        <v>25</v>
      </c>
      <c r="R1690" t="s">
        <v>26</v>
      </c>
      <c r="S1690" t="s">
        <v>27</v>
      </c>
      <c r="T1690" t="s">
        <v>28</v>
      </c>
      <c r="U1690">
        <f t="shared" si="26"/>
        <v>0</v>
      </c>
    </row>
    <row r="1691" spans="1:21" x14ac:dyDescent="0.2">
      <c r="A1691">
        <v>834</v>
      </c>
      <c r="B1691" t="s">
        <v>20</v>
      </c>
      <c r="C1691" t="s">
        <v>21</v>
      </c>
      <c r="D1691">
        <v>40</v>
      </c>
      <c r="E1691">
        <v>7</v>
      </c>
      <c r="F1691">
        <v>0</v>
      </c>
      <c r="G1691">
        <v>2</v>
      </c>
      <c r="H1691" t="s">
        <v>23</v>
      </c>
      <c r="I1691" t="s">
        <v>23</v>
      </c>
      <c r="J1691">
        <v>45038.74</v>
      </c>
      <c r="K1691" t="s">
        <v>23</v>
      </c>
      <c r="L1691">
        <v>0.1355168815531955</v>
      </c>
      <c r="M1691" t="s">
        <v>23</v>
      </c>
      <c r="N1691">
        <v>0</v>
      </c>
      <c r="O1691">
        <v>0</v>
      </c>
      <c r="P1691" t="s">
        <v>34</v>
      </c>
      <c r="Q1691" t="s">
        <v>33</v>
      </c>
      <c r="R1691" t="s">
        <v>29</v>
      </c>
      <c r="S1691" t="s">
        <v>39</v>
      </c>
      <c r="T1691" t="s">
        <v>35</v>
      </c>
      <c r="U1691">
        <f t="shared" si="26"/>
        <v>1</v>
      </c>
    </row>
    <row r="1692" spans="1:21" x14ac:dyDescent="0.2">
      <c r="A1692">
        <v>508</v>
      </c>
      <c r="B1692" t="s">
        <v>42</v>
      </c>
      <c r="C1692" t="s">
        <v>21</v>
      </c>
      <c r="D1692">
        <v>49</v>
      </c>
      <c r="E1692">
        <v>1</v>
      </c>
      <c r="F1692">
        <v>93817.41</v>
      </c>
      <c r="G1692">
        <v>2</v>
      </c>
      <c r="H1692" t="s">
        <v>22</v>
      </c>
      <c r="I1692" t="s">
        <v>22</v>
      </c>
      <c r="J1692">
        <v>132468.76</v>
      </c>
      <c r="K1692" t="s">
        <v>22</v>
      </c>
      <c r="L1692">
        <v>0.15302018205945539</v>
      </c>
      <c r="M1692" t="s">
        <v>23</v>
      </c>
      <c r="N1692">
        <v>1</v>
      </c>
      <c r="O1692">
        <v>0</v>
      </c>
      <c r="P1692" t="s">
        <v>34</v>
      </c>
      <c r="Q1692" t="s">
        <v>25</v>
      </c>
      <c r="R1692" t="s">
        <v>38</v>
      </c>
      <c r="S1692" t="s">
        <v>30</v>
      </c>
      <c r="T1692" t="s">
        <v>28</v>
      </c>
      <c r="U1692">
        <f t="shared" si="26"/>
        <v>0</v>
      </c>
    </row>
    <row r="1693" spans="1:21" x14ac:dyDescent="0.2">
      <c r="A1693">
        <v>609</v>
      </c>
      <c r="B1693" t="s">
        <v>42</v>
      </c>
      <c r="C1693" t="s">
        <v>32</v>
      </c>
      <c r="D1693">
        <v>53</v>
      </c>
      <c r="E1693">
        <v>6</v>
      </c>
      <c r="F1693">
        <v>0</v>
      </c>
      <c r="G1693">
        <v>2</v>
      </c>
      <c r="H1693" t="s">
        <v>22</v>
      </c>
      <c r="I1693" t="s">
        <v>22</v>
      </c>
      <c r="J1693">
        <v>124218.27</v>
      </c>
      <c r="K1693" t="s">
        <v>23</v>
      </c>
      <c r="L1693">
        <v>0.2168198304013757</v>
      </c>
      <c r="M1693" t="s">
        <v>23</v>
      </c>
      <c r="N1693">
        <v>0</v>
      </c>
      <c r="O1693">
        <v>0</v>
      </c>
      <c r="P1693" t="s">
        <v>24</v>
      </c>
      <c r="Q1693" t="s">
        <v>44</v>
      </c>
      <c r="R1693" t="s">
        <v>29</v>
      </c>
      <c r="S1693" t="s">
        <v>27</v>
      </c>
      <c r="T1693" t="s">
        <v>28</v>
      </c>
      <c r="U1693">
        <f t="shared" si="26"/>
        <v>1</v>
      </c>
    </row>
    <row r="1694" spans="1:21" x14ac:dyDescent="0.2">
      <c r="A1694">
        <v>850</v>
      </c>
      <c r="B1694" t="s">
        <v>42</v>
      </c>
      <c r="C1694" t="s">
        <v>32</v>
      </c>
      <c r="D1694">
        <v>34</v>
      </c>
      <c r="E1694">
        <v>4</v>
      </c>
      <c r="F1694">
        <v>71379.53</v>
      </c>
      <c r="G1694">
        <v>2</v>
      </c>
      <c r="H1694" t="s">
        <v>22</v>
      </c>
      <c r="I1694" t="s">
        <v>22</v>
      </c>
      <c r="J1694">
        <v>154000.99</v>
      </c>
      <c r="K1694" t="s">
        <v>23</v>
      </c>
      <c r="L1694">
        <v>6.8129897550346194E-2</v>
      </c>
      <c r="M1694" t="s">
        <v>23</v>
      </c>
      <c r="N1694">
        <v>0</v>
      </c>
      <c r="O1694">
        <v>0</v>
      </c>
      <c r="P1694" t="s">
        <v>34</v>
      </c>
      <c r="Q1694" t="s">
        <v>33</v>
      </c>
      <c r="R1694" t="s">
        <v>38</v>
      </c>
      <c r="S1694" t="s">
        <v>39</v>
      </c>
      <c r="T1694" t="s">
        <v>31</v>
      </c>
      <c r="U1694">
        <f t="shared" si="26"/>
        <v>1</v>
      </c>
    </row>
    <row r="1695" spans="1:21" x14ac:dyDescent="0.2">
      <c r="A1695">
        <v>613</v>
      </c>
      <c r="B1695" t="s">
        <v>42</v>
      </c>
      <c r="C1695" t="s">
        <v>21</v>
      </c>
      <c r="D1695">
        <v>36</v>
      </c>
      <c r="E1695">
        <v>9</v>
      </c>
      <c r="F1695">
        <v>131307.10999999999</v>
      </c>
      <c r="G1695">
        <v>1</v>
      </c>
      <c r="H1695" t="s">
        <v>23</v>
      </c>
      <c r="I1695" t="s">
        <v>23</v>
      </c>
      <c r="J1695">
        <v>83343.73</v>
      </c>
      <c r="K1695" t="s">
        <v>23</v>
      </c>
      <c r="L1695">
        <v>0.16677733729120059</v>
      </c>
      <c r="M1695" t="s">
        <v>23</v>
      </c>
      <c r="N1695">
        <v>0</v>
      </c>
      <c r="O1695">
        <v>0</v>
      </c>
      <c r="P1695" t="s">
        <v>34</v>
      </c>
      <c r="Q1695" t="s">
        <v>33</v>
      </c>
      <c r="R1695" t="s">
        <v>26</v>
      </c>
      <c r="S1695" t="s">
        <v>27</v>
      </c>
      <c r="T1695" t="s">
        <v>40</v>
      </c>
      <c r="U1695">
        <f t="shared" si="26"/>
        <v>1</v>
      </c>
    </row>
    <row r="1696" spans="1:21" x14ac:dyDescent="0.2">
      <c r="A1696">
        <v>709</v>
      </c>
      <c r="B1696" t="s">
        <v>20</v>
      </c>
      <c r="C1696" t="s">
        <v>21</v>
      </c>
      <c r="D1696">
        <v>62</v>
      </c>
      <c r="E1696">
        <v>3</v>
      </c>
      <c r="F1696">
        <v>0</v>
      </c>
      <c r="G1696">
        <v>2</v>
      </c>
      <c r="H1696" t="s">
        <v>22</v>
      </c>
      <c r="I1696" t="s">
        <v>22</v>
      </c>
      <c r="J1696">
        <v>82195.149999999994</v>
      </c>
      <c r="K1696" t="s">
        <v>23</v>
      </c>
      <c r="L1696">
        <v>0.2385242568868757</v>
      </c>
      <c r="M1696" t="s">
        <v>23</v>
      </c>
      <c r="N1696">
        <v>0</v>
      </c>
      <c r="O1696">
        <v>0</v>
      </c>
      <c r="P1696" t="s">
        <v>24</v>
      </c>
      <c r="Q1696" t="s">
        <v>46</v>
      </c>
      <c r="R1696" t="s">
        <v>29</v>
      </c>
      <c r="S1696" t="s">
        <v>37</v>
      </c>
      <c r="T1696" t="s">
        <v>40</v>
      </c>
      <c r="U1696">
        <f t="shared" si="26"/>
        <v>1</v>
      </c>
    </row>
    <row r="1697" spans="1:21" x14ac:dyDescent="0.2">
      <c r="A1697">
        <v>525</v>
      </c>
      <c r="B1697" t="s">
        <v>42</v>
      </c>
      <c r="C1697" t="s">
        <v>21</v>
      </c>
      <c r="D1697">
        <v>51</v>
      </c>
      <c r="E1697">
        <v>10</v>
      </c>
      <c r="F1697">
        <v>0</v>
      </c>
      <c r="G1697">
        <v>3</v>
      </c>
      <c r="H1697" t="s">
        <v>22</v>
      </c>
      <c r="I1697" t="s">
        <v>23</v>
      </c>
      <c r="J1697">
        <v>171045.35</v>
      </c>
      <c r="K1697" t="s">
        <v>22</v>
      </c>
      <c r="L1697">
        <v>0.27124863228679502</v>
      </c>
      <c r="M1697" t="s">
        <v>23</v>
      </c>
      <c r="N1697">
        <v>1</v>
      </c>
      <c r="O1697">
        <v>0</v>
      </c>
      <c r="P1697" t="s">
        <v>24</v>
      </c>
      <c r="Q1697" t="s">
        <v>44</v>
      </c>
      <c r="R1697" t="s">
        <v>29</v>
      </c>
      <c r="S1697" t="s">
        <v>30</v>
      </c>
      <c r="T1697" t="s">
        <v>31</v>
      </c>
      <c r="U1697">
        <f t="shared" si="26"/>
        <v>0</v>
      </c>
    </row>
    <row r="1698" spans="1:21" x14ac:dyDescent="0.2">
      <c r="A1698">
        <v>662</v>
      </c>
      <c r="B1698" t="s">
        <v>42</v>
      </c>
      <c r="C1698" t="s">
        <v>21</v>
      </c>
      <c r="D1698">
        <v>31</v>
      </c>
      <c r="E1698">
        <v>3</v>
      </c>
      <c r="F1698">
        <v>0</v>
      </c>
      <c r="G1698">
        <v>2</v>
      </c>
      <c r="H1698" t="s">
        <v>23</v>
      </c>
      <c r="I1698" t="s">
        <v>22</v>
      </c>
      <c r="J1698">
        <v>27731.05</v>
      </c>
      <c r="K1698" t="s">
        <v>23</v>
      </c>
      <c r="L1698">
        <v>3.0509981537210819E-2</v>
      </c>
      <c r="M1698" t="s">
        <v>23</v>
      </c>
      <c r="N1698">
        <v>0</v>
      </c>
      <c r="O1698">
        <v>0</v>
      </c>
      <c r="P1698" t="s">
        <v>34</v>
      </c>
      <c r="Q1698" t="s">
        <v>33</v>
      </c>
      <c r="R1698" t="s">
        <v>29</v>
      </c>
      <c r="S1698" t="s">
        <v>27</v>
      </c>
      <c r="T1698" t="s">
        <v>35</v>
      </c>
      <c r="U1698">
        <f t="shared" si="26"/>
        <v>1</v>
      </c>
    </row>
    <row r="1699" spans="1:21" x14ac:dyDescent="0.2">
      <c r="A1699">
        <v>433</v>
      </c>
      <c r="B1699" t="s">
        <v>20</v>
      </c>
      <c r="C1699" t="s">
        <v>21</v>
      </c>
      <c r="D1699">
        <v>34</v>
      </c>
      <c r="E1699">
        <v>9</v>
      </c>
      <c r="F1699">
        <v>152806.74</v>
      </c>
      <c r="G1699">
        <v>1</v>
      </c>
      <c r="H1699" t="s">
        <v>22</v>
      </c>
      <c r="I1699" t="s">
        <v>23</v>
      </c>
      <c r="J1699">
        <v>19687.990000000002</v>
      </c>
      <c r="K1699" t="s">
        <v>23</v>
      </c>
      <c r="L1699">
        <v>0.16718784088732189</v>
      </c>
      <c r="M1699" t="s">
        <v>23</v>
      </c>
      <c r="N1699">
        <v>0</v>
      </c>
      <c r="O1699">
        <v>0</v>
      </c>
      <c r="P1699" t="s">
        <v>34</v>
      </c>
      <c r="Q1699" t="s">
        <v>33</v>
      </c>
      <c r="R1699" t="s">
        <v>47</v>
      </c>
      <c r="S1699" t="s">
        <v>45</v>
      </c>
      <c r="T1699" t="s">
        <v>35</v>
      </c>
      <c r="U1699">
        <f t="shared" si="26"/>
        <v>1</v>
      </c>
    </row>
    <row r="1700" spans="1:21" x14ac:dyDescent="0.2">
      <c r="A1700">
        <v>592</v>
      </c>
      <c r="B1700" t="s">
        <v>41</v>
      </c>
      <c r="C1700" t="s">
        <v>32</v>
      </c>
      <c r="D1700">
        <v>70</v>
      </c>
      <c r="E1700">
        <v>5</v>
      </c>
      <c r="F1700">
        <v>71816.740000000005</v>
      </c>
      <c r="G1700">
        <v>2</v>
      </c>
      <c r="H1700" t="s">
        <v>22</v>
      </c>
      <c r="I1700" t="s">
        <v>23</v>
      </c>
      <c r="J1700">
        <v>105096.82</v>
      </c>
      <c r="K1700" t="s">
        <v>22</v>
      </c>
      <c r="L1700">
        <v>0.88683986132196935</v>
      </c>
      <c r="M1700" t="s">
        <v>22</v>
      </c>
      <c r="N1700">
        <v>1</v>
      </c>
      <c r="O1700">
        <v>1</v>
      </c>
      <c r="P1700" t="s">
        <v>43</v>
      </c>
      <c r="Q1700" t="s">
        <v>46</v>
      </c>
      <c r="R1700" t="s">
        <v>38</v>
      </c>
      <c r="S1700" t="s">
        <v>30</v>
      </c>
      <c r="T1700" t="s">
        <v>28</v>
      </c>
      <c r="U1700">
        <f t="shared" si="26"/>
        <v>1</v>
      </c>
    </row>
    <row r="1701" spans="1:21" x14ac:dyDescent="0.2">
      <c r="A1701">
        <v>651</v>
      </c>
      <c r="B1701" t="s">
        <v>20</v>
      </c>
      <c r="C1701" t="s">
        <v>21</v>
      </c>
      <c r="D1701">
        <v>42</v>
      </c>
      <c r="E1701">
        <v>2</v>
      </c>
      <c r="F1701">
        <v>143145.87</v>
      </c>
      <c r="G1701">
        <v>2</v>
      </c>
      <c r="H1701" t="s">
        <v>22</v>
      </c>
      <c r="I1701" t="s">
        <v>23</v>
      </c>
      <c r="J1701">
        <v>43612.06</v>
      </c>
      <c r="K1701" t="s">
        <v>23</v>
      </c>
      <c r="L1701">
        <v>0.24205918916929661</v>
      </c>
      <c r="M1701" t="s">
        <v>23</v>
      </c>
      <c r="N1701">
        <v>0</v>
      </c>
      <c r="O1701">
        <v>0</v>
      </c>
      <c r="P1701" t="s">
        <v>24</v>
      </c>
      <c r="Q1701" t="s">
        <v>25</v>
      </c>
      <c r="R1701" t="s">
        <v>26</v>
      </c>
      <c r="S1701" t="s">
        <v>27</v>
      </c>
      <c r="T1701" t="s">
        <v>35</v>
      </c>
      <c r="U1701">
        <f t="shared" si="26"/>
        <v>1</v>
      </c>
    </row>
    <row r="1702" spans="1:21" x14ac:dyDescent="0.2">
      <c r="A1702">
        <v>660</v>
      </c>
      <c r="B1702" t="s">
        <v>42</v>
      </c>
      <c r="C1702" t="s">
        <v>21</v>
      </c>
      <c r="D1702">
        <v>37</v>
      </c>
      <c r="E1702">
        <v>2</v>
      </c>
      <c r="F1702">
        <v>97324.91</v>
      </c>
      <c r="G1702">
        <v>1</v>
      </c>
      <c r="H1702" t="s">
        <v>22</v>
      </c>
      <c r="I1702" t="s">
        <v>23</v>
      </c>
      <c r="J1702">
        <v>23291.83</v>
      </c>
      <c r="K1702" t="s">
        <v>23</v>
      </c>
      <c r="L1702">
        <v>0.17043332734493269</v>
      </c>
      <c r="M1702" t="s">
        <v>23</v>
      </c>
      <c r="N1702">
        <v>0</v>
      </c>
      <c r="O1702">
        <v>0</v>
      </c>
      <c r="P1702" t="s">
        <v>34</v>
      </c>
      <c r="Q1702" t="s">
        <v>33</v>
      </c>
      <c r="R1702" t="s">
        <v>38</v>
      </c>
      <c r="S1702" t="s">
        <v>27</v>
      </c>
      <c r="T1702" t="s">
        <v>35</v>
      </c>
      <c r="U1702">
        <f t="shared" si="26"/>
        <v>1</v>
      </c>
    </row>
    <row r="1703" spans="1:21" x14ac:dyDescent="0.2">
      <c r="A1703">
        <v>559</v>
      </c>
      <c r="B1703" t="s">
        <v>42</v>
      </c>
      <c r="C1703" t="s">
        <v>32</v>
      </c>
      <c r="D1703">
        <v>48</v>
      </c>
      <c r="E1703">
        <v>2</v>
      </c>
      <c r="F1703">
        <v>0</v>
      </c>
      <c r="G1703">
        <v>2</v>
      </c>
      <c r="H1703" t="s">
        <v>23</v>
      </c>
      <c r="I1703" t="s">
        <v>22</v>
      </c>
      <c r="J1703">
        <v>137961.41</v>
      </c>
      <c r="K1703" t="s">
        <v>23</v>
      </c>
      <c r="L1703">
        <v>0.18233729808203311</v>
      </c>
      <c r="M1703" t="s">
        <v>23</v>
      </c>
      <c r="N1703">
        <v>0</v>
      </c>
      <c r="O1703">
        <v>0</v>
      </c>
      <c r="P1703" t="s">
        <v>34</v>
      </c>
      <c r="Q1703" t="s">
        <v>25</v>
      </c>
      <c r="R1703" t="s">
        <v>29</v>
      </c>
      <c r="S1703" t="s">
        <v>30</v>
      </c>
      <c r="T1703" t="s">
        <v>28</v>
      </c>
      <c r="U1703">
        <f t="shared" si="26"/>
        <v>1</v>
      </c>
    </row>
    <row r="1704" spans="1:21" x14ac:dyDescent="0.2">
      <c r="A1704">
        <v>712</v>
      </c>
      <c r="B1704" t="s">
        <v>42</v>
      </c>
      <c r="C1704" t="s">
        <v>32</v>
      </c>
      <c r="D1704">
        <v>29</v>
      </c>
      <c r="E1704">
        <v>8</v>
      </c>
      <c r="F1704">
        <v>140170.60999999999</v>
      </c>
      <c r="G1704">
        <v>1</v>
      </c>
      <c r="H1704" t="s">
        <v>22</v>
      </c>
      <c r="I1704" t="s">
        <v>22</v>
      </c>
      <c r="J1704">
        <v>38170.04</v>
      </c>
      <c r="K1704" t="s">
        <v>23</v>
      </c>
      <c r="L1704">
        <v>5.9959457531546502E-2</v>
      </c>
      <c r="M1704" t="s">
        <v>23</v>
      </c>
      <c r="N1704">
        <v>0</v>
      </c>
      <c r="O1704">
        <v>0</v>
      </c>
      <c r="P1704" t="s">
        <v>34</v>
      </c>
      <c r="Q1704" t="s">
        <v>36</v>
      </c>
      <c r="R1704" t="s">
        <v>26</v>
      </c>
      <c r="S1704" t="s">
        <v>37</v>
      </c>
      <c r="T1704" t="s">
        <v>35</v>
      </c>
      <c r="U1704">
        <f t="shared" si="26"/>
        <v>1</v>
      </c>
    </row>
    <row r="1705" spans="1:21" x14ac:dyDescent="0.2">
      <c r="A1705">
        <v>646</v>
      </c>
      <c r="B1705" t="s">
        <v>42</v>
      </c>
      <c r="C1705" t="s">
        <v>32</v>
      </c>
      <c r="D1705">
        <v>43</v>
      </c>
      <c r="E1705">
        <v>8</v>
      </c>
      <c r="F1705">
        <v>143061.88</v>
      </c>
      <c r="G1705">
        <v>1</v>
      </c>
      <c r="H1705" t="s">
        <v>22</v>
      </c>
      <c r="I1705" t="s">
        <v>23</v>
      </c>
      <c r="J1705">
        <v>61937.599999999999</v>
      </c>
      <c r="K1705" t="s">
        <v>23</v>
      </c>
      <c r="L1705">
        <v>0.36354757431121859</v>
      </c>
      <c r="M1705" t="s">
        <v>23</v>
      </c>
      <c r="N1705">
        <v>0</v>
      </c>
      <c r="O1705">
        <v>0</v>
      </c>
      <c r="P1705" t="s">
        <v>24</v>
      </c>
      <c r="Q1705" t="s">
        <v>25</v>
      </c>
      <c r="R1705" t="s">
        <v>26</v>
      </c>
      <c r="S1705" t="s">
        <v>27</v>
      </c>
      <c r="T1705" t="s">
        <v>40</v>
      </c>
      <c r="U1705">
        <f t="shared" si="26"/>
        <v>1</v>
      </c>
    </row>
    <row r="1706" spans="1:21" x14ac:dyDescent="0.2">
      <c r="A1706">
        <v>801</v>
      </c>
      <c r="B1706" t="s">
        <v>20</v>
      </c>
      <c r="C1706" t="s">
        <v>32</v>
      </c>
      <c r="D1706">
        <v>46</v>
      </c>
      <c r="E1706">
        <v>6</v>
      </c>
      <c r="F1706">
        <v>0</v>
      </c>
      <c r="G1706">
        <v>2</v>
      </c>
      <c r="H1706" t="s">
        <v>22</v>
      </c>
      <c r="I1706" t="s">
        <v>22</v>
      </c>
      <c r="J1706">
        <v>170008.74</v>
      </c>
      <c r="K1706" t="s">
        <v>23</v>
      </c>
      <c r="L1706">
        <v>0.13341077350185779</v>
      </c>
      <c r="M1706" t="s">
        <v>23</v>
      </c>
      <c r="N1706">
        <v>0</v>
      </c>
      <c r="O1706">
        <v>0</v>
      </c>
      <c r="P1706" t="s">
        <v>34</v>
      </c>
      <c r="Q1706" t="s">
        <v>25</v>
      </c>
      <c r="R1706" t="s">
        <v>29</v>
      </c>
      <c r="S1706" t="s">
        <v>39</v>
      </c>
      <c r="T1706" t="s">
        <v>31</v>
      </c>
      <c r="U1706">
        <f t="shared" si="26"/>
        <v>1</v>
      </c>
    </row>
    <row r="1707" spans="1:21" x14ac:dyDescent="0.2">
      <c r="A1707">
        <v>620</v>
      </c>
      <c r="B1707" t="s">
        <v>41</v>
      </c>
      <c r="C1707" t="s">
        <v>32</v>
      </c>
      <c r="D1707">
        <v>25</v>
      </c>
      <c r="E1707">
        <v>1</v>
      </c>
      <c r="F1707">
        <v>137712.01</v>
      </c>
      <c r="G1707">
        <v>1</v>
      </c>
      <c r="H1707" t="s">
        <v>22</v>
      </c>
      <c r="I1707" t="s">
        <v>22</v>
      </c>
      <c r="J1707">
        <v>76197.05</v>
      </c>
      <c r="K1707" t="s">
        <v>23</v>
      </c>
      <c r="L1707">
        <v>0.114791856904373</v>
      </c>
      <c r="M1707" t="s">
        <v>23</v>
      </c>
      <c r="N1707">
        <v>0</v>
      </c>
      <c r="O1707">
        <v>0</v>
      </c>
      <c r="P1707" t="s">
        <v>34</v>
      </c>
      <c r="Q1707" t="s">
        <v>36</v>
      </c>
      <c r="R1707" t="s">
        <v>26</v>
      </c>
      <c r="S1707" t="s">
        <v>27</v>
      </c>
      <c r="T1707" t="s">
        <v>40</v>
      </c>
      <c r="U1707">
        <f t="shared" si="26"/>
        <v>1</v>
      </c>
    </row>
    <row r="1708" spans="1:21" x14ac:dyDescent="0.2">
      <c r="A1708">
        <v>484</v>
      </c>
      <c r="B1708" t="s">
        <v>41</v>
      </c>
      <c r="C1708" t="s">
        <v>21</v>
      </c>
      <c r="D1708">
        <v>40</v>
      </c>
      <c r="E1708">
        <v>7</v>
      </c>
      <c r="F1708">
        <v>106901.42</v>
      </c>
      <c r="G1708">
        <v>2</v>
      </c>
      <c r="H1708" t="s">
        <v>23</v>
      </c>
      <c r="I1708" t="s">
        <v>23</v>
      </c>
      <c r="J1708">
        <v>118045.98</v>
      </c>
      <c r="K1708" t="s">
        <v>23</v>
      </c>
      <c r="L1708">
        <v>0.3675317919666139</v>
      </c>
      <c r="M1708" t="s">
        <v>23</v>
      </c>
      <c r="N1708">
        <v>0</v>
      </c>
      <c r="O1708">
        <v>0</v>
      </c>
      <c r="P1708" t="s">
        <v>24</v>
      </c>
      <c r="Q1708" t="s">
        <v>33</v>
      </c>
      <c r="R1708" t="s">
        <v>26</v>
      </c>
      <c r="S1708" t="s">
        <v>45</v>
      </c>
      <c r="T1708" t="s">
        <v>28</v>
      </c>
      <c r="U1708">
        <f t="shared" si="26"/>
        <v>1</v>
      </c>
    </row>
    <row r="1709" spans="1:21" x14ac:dyDescent="0.2">
      <c r="A1709">
        <v>647</v>
      </c>
      <c r="B1709" t="s">
        <v>20</v>
      </c>
      <c r="C1709" t="s">
        <v>21</v>
      </c>
      <c r="D1709">
        <v>47</v>
      </c>
      <c r="E1709">
        <v>5</v>
      </c>
      <c r="F1709">
        <v>105603.21</v>
      </c>
      <c r="G1709">
        <v>2</v>
      </c>
      <c r="H1709" t="s">
        <v>22</v>
      </c>
      <c r="I1709" t="s">
        <v>22</v>
      </c>
      <c r="J1709">
        <v>157360.9</v>
      </c>
      <c r="K1709" t="s">
        <v>23</v>
      </c>
      <c r="L1709">
        <v>0.1243810687053326</v>
      </c>
      <c r="M1709" t="s">
        <v>23</v>
      </c>
      <c r="N1709">
        <v>0</v>
      </c>
      <c r="O1709">
        <v>0</v>
      </c>
      <c r="P1709" t="s">
        <v>34</v>
      </c>
      <c r="Q1709" t="s">
        <v>25</v>
      </c>
      <c r="R1709" t="s">
        <v>26</v>
      </c>
      <c r="S1709" t="s">
        <v>27</v>
      </c>
      <c r="T1709" t="s">
        <v>31</v>
      </c>
      <c r="U1709">
        <f t="shared" si="26"/>
        <v>1</v>
      </c>
    </row>
    <row r="1710" spans="1:21" x14ac:dyDescent="0.2">
      <c r="A1710">
        <v>513</v>
      </c>
      <c r="B1710" t="s">
        <v>41</v>
      </c>
      <c r="C1710" t="s">
        <v>21</v>
      </c>
      <c r="D1710">
        <v>34</v>
      </c>
      <c r="E1710">
        <v>7</v>
      </c>
      <c r="F1710">
        <v>60515.13</v>
      </c>
      <c r="G1710">
        <v>1</v>
      </c>
      <c r="H1710" t="s">
        <v>23</v>
      </c>
      <c r="I1710" t="s">
        <v>23</v>
      </c>
      <c r="J1710">
        <v>124571.09</v>
      </c>
      <c r="K1710" t="s">
        <v>23</v>
      </c>
      <c r="L1710">
        <v>0.26506281096733281</v>
      </c>
      <c r="M1710" t="s">
        <v>23</v>
      </c>
      <c r="N1710">
        <v>0</v>
      </c>
      <c r="O1710">
        <v>0</v>
      </c>
      <c r="P1710" t="s">
        <v>24</v>
      </c>
      <c r="Q1710" t="s">
        <v>33</v>
      </c>
      <c r="R1710" t="s">
        <v>38</v>
      </c>
      <c r="S1710" t="s">
        <v>30</v>
      </c>
      <c r="T1710" t="s">
        <v>28</v>
      </c>
      <c r="U1710">
        <f t="shared" si="26"/>
        <v>1</v>
      </c>
    </row>
    <row r="1711" spans="1:21" x14ac:dyDescent="0.2">
      <c r="A1711">
        <v>553</v>
      </c>
      <c r="B1711" t="s">
        <v>41</v>
      </c>
      <c r="C1711" t="s">
        <v>21</v>
      </c>
      <c r="D1711">
        <v>35</v>
      </c>
      <c r="E1711">
        <v>2</v>
      </c>
      <c r="F1711">
        <v>158584.28</v>
      </c>
      <c r="G1711">
        <v>2</v>
      </c>
      <c r="H1711" t="s">
        <v>22</v>
      </c>
      <c r="I1711" t="s">
        <v>23</v>
      </c>
      <c r="J1711">
        <v>43640.160000000003</v>
      </c>
      <c r="K1711" t="s">
        <v>23</v>
      </c>
      <c r="L1711">
        <v>0.30970293400930538</v>
      </c>
      <c r="M1711" t="s">
        <v>23</v>
      </c>
      <c r="N1711">
        <v>0</v>
      </c>
      <c r="O1711">
        <v>0</v>
      </c>
      <c r="P1711" t="s">
        <v>24</v>
      </c>
      <c r="Q1711" t="s">
        <v>33</v>
      </c>
      <c r="R1711" t="s">
        <v>47</v>
      </c>
      <c r="S1711" t="s">
        <v>30</v>
      </c>
      <c r="T1711" t="s">
        <v>35</v>
      </c>
      <c r="U1711">
        <f t="shared" si="26"/>
        <v>1</v>
      </c>
    </row>
    <row r="1712" spans="1:21" x14ac:dyDescent="0.2">
      <c r="A1712">
        <v>687</v>
      </c>
      <c r="B1712" t="s">
        <v>41</v>
      </c>
      <c r="C1712" t="s">
        <v>32</v>
      </c>
      <c r="D1712">
        <v>47</v>
      </c>
      <c r="E1712">
        <v>1</v>
      </c>
      <c r="F1712">
        <v>91219.29</v>
      </c>
      <c r="G1712">
        <v>1</v>
      </c>
      <c r="H1712" t="s">
        <v>23</v>
      </c>
      <c r="I1712" t="s">
        <v>23</v>
      </c>
      <c r="J1712">
        <v>158845.49</v>
      </c>
      <c r="K1712" t="s">
        <v>22</v>
      </c>
      <c r="L1712">
        <v>0.64258041769115526</v>
      </c>
      <c r="M1712" t="s">
        <v>22</v>
      </c>
      <c r="N1712">
        <v>1</v>
      </c>
      <c r="O1712">
        <v>1</v>
      </c>
      <c r="P1712" t="s">
        <v>43</v>
      </c>
      <c r="Q1712" t="s">
        <v>25</v>
      </c>
      <c r="R1712" t="s">
        <v>38</v>
      </c>
      <c r="S1712" t="s">
        <v>27</v>
      </c>
      <c r="T1712" t="s">
        <v>31</v>
      </c>
      <c r="U1712">
        <f t="shared" si="26"/>
        <v>1</v>
      </c>
    </row>
    <row r="1713" spans="1:21" x14ac:dyDescent="0.2">
      <c r="A1713">
        <v>468</v>
      </c>
      <c r="B1713" t="s">
        <v>42</v>
      </c>
      <c r="C1713" t="s">
        <v>32</v>
      </c>
      <c r="D1713">
        <v>22</v>
      </c>
      <c r="E1713">
        <v>1</v>
      </c>
      <c r="F1713">
        <v>76318.64</v>
      </c>
      <c r="G1713">
        <v>1</v>
      </c>
      <c r="H1713" t="s">
        <v>22</v>
      </c>
      <c r="I1713" t="s">
        <v>22</v>
      </c>
      <c r="J1713">
        <v>194783.12</v>
      </c>
      <c r="K1713" t="s">
        <v>23</v>
      </c>
      <c r="L1713">
        <v>4.5623541048315452E-2</v>
      </c>
      <c r="M1713" t="s">
        <v>23</v>
      </c>
      <c r="N1713">
        <v>0</v>
      </c>
      <c r="O1713">
        <v>0</v>
      </c>
      <c r="P1713" t="s">
        <v>34</v>
      </c>
      <c r="Q1713" t="s">
        <v>36</v>
      </c>
      <c r="R1713" t="s">
        <v>38</v>
      </c>
      <c r="S1713" t="s">
        <v>45</v>
      </c>
      <c r="T1713" t="s">
        <v>31</v>
      </c>
      <c r="U1713">
        <f t="shared" si="26"/>
        <v>1</v>
      </c>
    </row>
    <row r="1714" spans="1:21" x14ac:dyDescent="0.2">
      <c r="A1714">
        <v>682</v>
      </c>
      <c r="B1714" t="s">
        <v>20</v>
      </c>
      <c r="C1714" t="s">
        <v>32</v>
      </c>
      <c r="D1714">
        <v>58</v>
      </c>
      <c r="E1714">
        <v>4</v>
      </c>
      <c r="F1714">
        <v>0</v>
      </c>
      <c r="G1714">
        <v>1</v>
      </c>
      <c r="H1714" t="s">
        <v>22</v>
      </c>
      <c r="I1714" t="s">
        <v>23</v>
      </c>
      <c r="J1714">
        <v>176036.01</v>
      </c>
      <c r="K1714" t="s">
        <v>23</v>
      </c>
      <c r="L1714">
        <v>0.58312068564962682</v>
      </c>
      <c r="M1714" t="s">
        <v>22</v>
      </c>
      <c r="N1714">
        <v>0</v>
      </c>
      <c r="O1714">
        <v>1</v>
      </c>
      <c r="P1714" t="s">
        <v>43</v>
      </c>
      <c r="Q1714" t="s">
        <v>44</v>
      </c>
      <c r="R1714" t="s">
        <v>29</v>
      </c>
      <c r="S1714" t="s">
        <v>27</v>
      </c>
      <c r="T1714" t="s">
        <v>31</v>
      </c>
      <c r="U1714">
        <f t="shared" si="26"/>
        <v>0</v>
      </c>
    </row>
    <row r="1715" spans="1:21" x14ac:dyDescent="0.2">
      <c r="A1715">
        <v>519</v>
      </c>
      <c r="B1715" t="s">
        <v>42</v>
      </c>
      <c r="C1715" t="s">
        <v>21</v>
      </c>
      <c r="D1715">
        <v>48</v>
      </c>
      <c r="E1715">
        <v>10</v>
      </c>
      <c r="F1715">
        <v>71083.98</v>
      </c>
      <c r="G1715">
        <v>1</v>
      </c>
      <c r="H1715" t="s">
        <v>22</v>
      </c>
      <c r="I1715" t="s">
        <v>23</v>
      </c>
      <c r="J1715">
        <v>137959</v>
      </c>
      <c r="K1715" t="s">
        <v>23</v>
      </c>
      <c r="L1715">
        <v>0.30297384577063119</v>
      </c>
      <c r="M1715" t="s">
        <v>23</v>
      </c>
      <c r="N1715">
        <v>0</v>
      </c>
      <c r="O1715">
        <v>0</v>
      </c>
      <c r="P1715" t="s">
        <v>24</v>
      </c>
      <c r="Q1715" t="s">
        <v>25</v>
      </c>
      <c r="R1715" t="s">
        <v>38</v>
      </c>
      <c r="S1715" t="s">
        <v>30</v>
      </c>
      <c r="T1715" t="s">
        <v>28</v>
      </c>
      <c r="U1715">
        <f t="shared" si="26"/>
        <v>1</v>
      </c>
    </row>
    <row r="1716" spans="1:21" x14ac:dyDescent="0.2">
      <c r="A1716">
        <v>751</v>
      </c>
      <c r="B1716" t="s">
        <v>42</v>
      </c>
      <c r="C1716" t="s">
        <v>32</v>
      </c>
      <c r="D1716">
        <v>37</v>
      </c>
      <c r="E1716">
        <v>9</v>
      </c>
      <c r="F1716">
        <v>183613.66</v>
      </c>
      <c r="G1716">
        <v>2</v>
      </c>
      <c r="H1716" t="s">
        <v>23</v>
      </c>
      <c r="I1716" t="s">
        <v>23</v>
      </c>
      <c r="J1716">
        <v>49734.94</v>
      </c>
      <c r="K1716" t="s">
        <v>23</v>
      </c>
      <c r="L1716">
        <v>0.2554862230319575</v>
      </c>
      <c r="M1716" t="s">
        <v>23</v>
      </c>
      <c r="N1716">
        <v>0</v>
      </c>
      <c r="O1716">
        <v>0</v>
      </c>
      <c r="P1716" t="s">
        <v>24</v>
      </c>
      <c r="Q1716" t="s">
        <v>33</v>
      </c>
      <c r="R1716" t="s">
        <v>47</v>
      </c>
      <c r="S1716" t="s">
        <v>37</v>
      </c>
      <c r="T1716" t="s">
        <v>35</v>
      </c>
      <c r="U1716">
        <f t="shared" si="26"/>
        <v>1</v>
      </c>
    </row>
    <row r="1717" spans="1:21" x14ac:dyDescent="0.2">
      <c r="A1717">
        <v>585</v>
      </c>
      <c r="B1717" t="s">
        <v>42</v>
      </c>
      <c r="C1717" t="s">
        <v>32</v>
      </c>
      <c r="D1717">
        <v>43</v>
      </c>
      <c r="E1717">
        <v>2</v>
      </c>
      <c r="F1717">
        <v>0</v>
      </c>
      <c r="G1717">
        <v>2</v>
      </c>
      <c r="H1717" t="s">
        <v>22</v>
      </c>
      <c r="I1717" t="s">
        <v>23</v>
      </c>
      <c r="J1717">
        <v>89402.54</v>
      </c>
      <c r="K1717" t="s">
        <v>23</v>
      </c>
      <c r="L1717">
        <v>0.29774222337616479</v>
      </c>
      <c r="M1717" t="s">
        <v>23</v>
      </c>
      <c r="N1717">
        <v>0</v>
      </c>
      <c r="O1717">
        <v>0</v>
      </c>
      <c r="P1717" t="s">
        <v>24</v>
      </c>
      <c r="Q1717" t="s">
        <v>25</v>
      </c>
      <c r="R1717" t="s">
        <v>29</v>
      </c>
      <c r="S1717" t="s">
        <v>30</v>
      </c>
      <c r="T1717" t="s">
        <v>40</v>
      </c>
      <c r="U1717">
        <f t="shared" si="26"/>
        <v>1</v>
      </c>
    </row>
    <row r="1718" spans="1:21" x14ac:dyDescent="0.2">
      <c r="A1718">
        <v>633</v>
      </c>
      <c r="B1718" t="s">
        <v>42</v>
      </c>
      <c r="C1718" t="s">
        <v>21</v>
      </c>
      <c r="D1718">
        <v>35</v>
      </c>
      <c r="E1718">
        <v>3</v>
      </c>
      <c r="F1718">
        <v>0</v>
      </c>
      <c r="G1718">
        <v>2</v>
      </c>
      <c r="H1718" t="s">
        <v>22</v>
      </c>
      <c r="I1718" t="s">
        <v>22</v>
      </c>
      <c r="J1718">
        <v>36249.760000000002</v>
      </c>
      <c r="K1718" t="s">
        <v>23</v>
      </c>
      <c r="L1718">
        <v>4.0306000288649911E-2</v>
      </c>
      <c r="M1718" t="s">
        <v>23</v>
      </c>
      <c r="N1718">
        <v>0</v>
      </c>
      <c r="O1718">
        <v>0</v>
      </c>
      <c r="P1718" t="s">
        <v>34</v>
      </c>
      <c r="Q1718" t="s">
        <v>33</v>
      </c>
      <c r="R1718" t="s">
        <v>29</v>
      </c>
      <c r="S1718" t="s">
        <v>27</v>
      </c>
      <c r="T1718" t="s">
        <v>35</v>
      </c>
      <c r="U1718">
        <f t="shared" si="26"/>
        <v>1</v>
      </c>
    </row>
    <row r="1719" spans="1:21" x14ac:dyDescent="0.2">
      <c r="A1719">
        <v>640</v>
      </c>
      <c r="B1719" t="s">
        <v>41</v>
      </c>
      <c r="C1719" t="s">
        <v>21</v>
      </c>
      <c r="D1719">
        <v>45</v>
      </c>
      <c r="E1719">
        <v>8</v>
      </c>
      <c r="F1719">
        <v>120591.19</v>
      </c>
      <c r="G1719">
        <v>1</v>
      </c>
      <c r="H1719" t="s">
        <v>23</v>
      </c>
      <c r="I1719" t="s">
        <v>23</v>
      </c>
      <c r="J1719">
        <v>195123.94</v>
      </c>
      <c r="K1719" t="s">
        <v>23</v>
      </c>
      <c r="L1719">
        <v>0.4704270701015062</v>
      </c>
      <c r="M1719" t="s">
        <v>23</v>
      </c>
      <c r="N1719">
        <v>0</v>
      </c>
      <c r="O1719">
        <v>0</v>
      </c>
      <c r="P1719" t="s">
        <v>24</v>
      </c>
      <c r="Q1719" t="s">
        <v>25</v>
      </c>
      <c r="R1719" t="s">
        <v>26</v>
      </c>
      <c r="S1719" t="s">
        <v>27</v>
      </c>
      <c r="T1719" t="s">
        <v>31</v>
      </c>
      <c r="U1719">
        <f t="shared" si="26"/>
        <v>1</v>
      </c>
    </row>
    <row r="1720" spans="1:21" x14ac:dyDescent="0.2">
      <c r="A1720">
        <v>786</v>
      </c>
      <c r="B1720" t="s">
        <v>20</v>
      </c>
      <c r="C1720" t="s">
        <v>32</v>
      </c>
      <c r="D1720">
        <v>39</v>
      </c>
      <c r="E1720">
        <v>7</v>
      </c>
      <c r="F1720">
        <v>0</v>
      </c>
      <c r="G1720">
        <v>2</v>
      </c>
      <c r="H1720" t="s">
        <v>23</v>
      </c>
      <c r="I1720" t="s">
        <v>23</v>
      </c>
      <c r="J1720">
        <v>100929.59</v>
      </c>
      <c r="K1720" t="s">
        <v>23</v>
      </c>
      <c r="L1720">
        <v>0.2116422677418468</v>
      </c>
      <c r="M1720" t="s">
        <v>23</v>
      </c>
      <c r="N1720">
        <v>0</v>
      </c>
      <c r="O1720">
        <v>0</v>
      </c>
      <c r="P1720" t="s">
        <v>24</v>
      </c>
      <c r="Q1720" t="s">
        <v>33</v>
      </c>
      <c r="R1720" t="s">
        <v>29</v>
      </c>
      <c r="S1720" t="s">
        <v>37</v>
      </c>
      <c r="T1720" t="s">
        <v>28</v>
      </c>
      <c r="U1720">
        <f t="shared" si="26"/>
        <v>1</v>
      </c>
    </row>
    <row r="1721" spans="1:21" x14ac:dyDescent="0.2">
      <c r="A1721">
        <v>807</v>
      </c>
      <c r="B1721" t="s">
        <v>20</v>
      </c>
      <c r="C1721" t="s">
        <v>21</v>
      </c>
      <c r="D1721">
        <v>42</v>
      </c>
      <c r="E1721">
        <v>5</v>
      </c>
      <c r="F1721">
        <v>0</v>
      </c>
      <c r="G1721">
        <v>2</v>
      </c>
      <c r="H1721" t="s">
        <v>22</v>
      </c>
      <c r="I1721" t="s">
        <v>22</v>
      </c>
      <c r="J1721">
        <v>74900.899999999994</v>
      </c>
      <c r="K1721" t="s">
        <v>23</v>
      </c>
      <c r="L1721">
        <v>5.9965096915269918E-2</v>
      </c>
      <c r="M1721" t="s">
        <v>23</v>
      </c>
      <c r="N1721">
        <v>0</v>
      </c>
      <c r="O1721">
        <v>0</v>
      </c>
      <c r="P1721" t="s">
        <v>34</v>
      </c>
      <c r="Q1721" t="s">
        <v>25</v>
      </c>
      <c r="R1721" t="s">
        <v>29</v>
      </c>
      <c r="S1721" t="s">
        <v>39</v>
      </c>
      <c r="T1721" t="s">
        <v>40</v>
      </c>
      <c r="U1721">
        <f t="shared" si="26"/>
        <v>1</v>
      </c>
    </row>
    <row r="1722" spans="1:21" x14ac:dyDescent="0.2">
      <c r="A1722">
        <v>602</v>
      </c>
      <c r="B1722" t="s">
        <v>41</v>
      </c>
      <c r="C1722" t="s">
        <v>21</v>
      </c>
      <c r="D1722">
        <v>38</v>
      </c>
      <c r="E1722">
        <v>2</v>
      </c>
      <c r="F1722">
        <v>71667.97</v>
      </c>
      <c r="G1722">
        <v>2</v>
      </c>
      <c r="H1722" t="s">
        <v>23</v>
      </c>
      <c r="I1722" t="s">
        <v>23</v>
      </c>
      <c r="J1722">
        <v>137111.89000000001</v>
      </c>
      <c r="K1722" t="s">
        <v>23</v>
      </c>
      <c r="L1722">
        <v>0.31990401591554007</v>
      </c>
      <c r="M1722" t="s">
        <v>23</v>
      </c>
      <c r="N1722">
        <v>0</v>
      </c>
      <c r="O1722">
        <v>0</v>
      </c>
      <c r="P1722" t="s">
        <v>24</v>
      </c>
      <c r="Q1722" t="s">
        <v>33</v>
      </c>
      <c r="R1722" t="s">
        <v>38</v>
      </c>
      <c r="S1722" t="s">
        <v>27</v>
      </c>
      <c r="T1722" t="s">
        <v>28</v>
      </c>
      <c r="U1722">
        <f t="shared" si="26"/>
        <v>1</v>
      </c>
    </row>
    <row r="1723" spans="1:21" x14ac:dyDescent="0.2">
      <c r="A1723">
        <v>653</v>
      </c>
      <c r="B1723" t="s">
        <v>20</v>
      </c>
      <c r="C1723" t="s">
        <v>32</v>
      </c>
      <c r="D1723">
        <v>27</v>
      </c>
      <c r="E1723">
        <v>6</v>
      </c>
      <c r="F1723">
        <v>107751.67999999999</v>
      </c>
      <c r="G1723">
        <v>2</v>
      </c>
      <c r="H1723" t="s">
        <v>22</v>
      </c>
      <c r="I1723" t="s">
        <v>22</v>
      </c>
      <c r="J1723">
        <v>33389.42</v>
      </c>
      <c r="K1723" t="s">
        <v>23</v>
      </c>
      <c r="L1723">
        <v>4.8720742963316958E-2</v>
      </c>
      <c r="M1723" t="s">
        <v>23</v>
      </c>
      <c r="N1723">
        <v>0</v>
      </c>
      <c r="O1723">
        <v>0</v>
      </c>
      <c r="P1723" t="s">
        <v>34</v>
      </c>
      <c r="Q1723" t="s">
        <v>36</v>
      </c>
      <c r="R1723" t="s">
        <v>26</v>
      </c>
      <c r="S1723" t="s">
        <v>27</v>
      </c>
      <c r="T1723" t="s">
        <v>35</v>
      </c>
      <c r="U1723">
        <f t="shared" si="26"/>
        <v>1</v>
      </c>
    </row>
    <row r="1724" spans="1:21" x14ac:dyDescent="0.2">
      <c r="A1724">
        <v>641</v>
      </c>
      <c r="B1724" t="s">
        <v>42</v>
      </c>
      <c r="C1724" t="s">
        <v>21</v>
      </c>
      <c r="D1724">
        <v>37</v>
      </c>
      <c r="E1724">
        <v>6</v>
      </c>
      <c r="F1724">
        <v>0</v>
      </c>
      <c r="G1724">
        <v>2</v>
      </c>
      <c r="H1724" t="s">
        <v>22</v>
      </c>
      <c r="I1724" t="s">
        <v>23</v>
      </c>
      <c r="J1724">
        <v>45309.24</v>
      </c>
      <c r="K1724" t="s">
        <v>23</v>
      </c>
      <c r="L1724">
        <v>0.1200354445036204</v>
      </c>
      <c r="M1724" t="s">
        <v>23</v>
      </c>
      <c r="N1724">
        <v>0</v>
      </c>
      <c r="O1724">
        <v>0</v>
      </c>
      <c r="P1724" t="s">
        <v>34</v>
      </c>
      <c r="Q1724" t="s">
        <v>33</v>
      </c>
      <c r="R1724" t="s">
        <v>29</v>
      </c>
      <c r="S1724" t="s">
        <v>27</v>
      </c>
      <c r="T1724" t="s">
        <v>35</v>
      </c>
      <c r="U1724">
        <f t="shared" si="26"/>
        <v>1</v>
      </c>
    </row>
    <row r="1725" spans="1:21" x14ac:dyDescent="0.2">
      <c r="A1725">
        <v>568</v>
      </c>
      <c r="B1725" t="s">
        <v>42</v>
      </c>
      <c r="C1725" t="s">
        <v>21</v>
      </c>
      <c r="D1725">
        <v>33</v>
      </c>
      <c r="E1725">
        <v>7</v>
      </c>
      <c r="F1725">
        <v>0</v>
      </c>
      <c r="G1725">
        <v>2</v>
      </c>
      <c r="H1725" t="s">
        <v>22</v>
      </c>
      <c r="I1725" t="s">
        <v>23</v>
      </c>
      <c r="J1725">
        <v>143450.60999999999</v>
      </c>
      <c r="K1725" t="s">
        <v>23</v>
      </c>
      <c r="L1725">
        <v>9.9534507517496318E-2</v>
      </c>
      <c r="M1725" t="s">
        <v>23</v>
      </c>
      <c r="N1725">
        <v>0</v>
      </c>
      <c r="O1725">
        <v>0</v>
      </c>
      <c r="P1725" t="s">
        <v>34</v>
      </c>
      <c r="Q1725" t="s">
        <v>33</v>
      </c>
      <c r="R1725" t="s">
        <v>29</v>
      </c>
      <c r="S1725" t="s">
        <v>30</v>
      </c>
      <c r="T1725" t="s">
        <v>28</v>
      </c>
      <c r="U1725">
        <f t="shared" si="26"/>
        <v>1</v>
      </c>
    </row>
    <row r="1726" spans="1:21" x14ac:dyDescent="0.2">
      <c r="A1726">
        <v>747</v>
      </c>
      <c r="B1726" t="s">
        <v>42</v>
      </c>
      <c r="C1726" t="s">
        <v>21</v>
      </c>
      <c r="D1726">
        <v>43</v>
      </c>
      <c r="E1726">
        <v>1</v>
      </c>
      <c r="F1726">
        <v>130788.71</v>
      </c>
      <c r="G1726">
        <v>1</v>
      </c>
      <c r="H1726" t="s">
        <v>23</v>
      </c>
      <c r="I1726" t="s">
        <v>22</v>
      </c>
      <c r="J1726">
        <v>101495</v>
      </c>
      <c r="K1726" t="s">
        <v>22</v>
      </c>
      <c r="L1726">
        <v>0.1084943049291249</v>
      </c>
      <c r="M1726" t="s">
        <v>23</v>
      </c>
      <c r="N1726">
        <v>1</v>
      </c>
      <c r="O1726">
        <v>0</v>
      </c>
      <c r="P1726" t="s">
        <v>34</v>
      </c>
      <c r="Q1726" t="s">
        <v>25</v>
      </c>
      <c r="R1726" t="s">
        <v>26</v>
      </c>
      <c r="S1726" t="s">
        <v>37</v>
      </c>
      <c r="T1726" t="s">
        <v>28</v>
      </c>
      <c r="U1726">
        <f t="shared" si="26"/>
        <v>0</v>
      </c>
    </row>
    <row r="1727" spans="1:21" x14ac:dyDescent="0.2">
      <c r="A1727">
        <v>632</v>
      </c>
      <c r="B1727" t="s">
        <v>41</v>
      </c>
      <c r="C1727" t="s">
        <v>21</v>
      </c>
      <c r="D1727">
        <v>30</v>
      </c>
      <c r="E1727">
        <v>2</v>
      </c>
      <c r="F1727">
        <v>72549</v>
      </c>
      <c r="G1727">
        <v>2</v>
      </c>
      <c r="H1727" t="s">
        <v>23</v>
      </c>
      <c r="I1727" t="s">
        <v>22</v>
      </c>
      <c r="J1727">
        <v>182728.8</v>
      </c>
      <c r="K1727" t="s">
        <v>23</v>
      </c>
      <c r="L1727">
        <v>8.0988649946030708E-2</v>
      </c>
      <c r="M1727" t="s">
        <v>23</v>
      </c>
      <c r="N1727">
        <v>0</v>
      </c>
      <c r="O1727">
        <v>0</v>
      </c>
      <c r="P1727" t="s">
        <v>34</v>
      </c>
      <c r="Q1727" t="s">
        <v>36</v>
      </c>
      <c r="R1727" t="s">
        <v>38</v>
      </c>
      <c r="S1727" t="s">
        <v>27</v>
      </c>
      <c r="T1727" t="s">
        <v>31</v>
      </c>
      <c r="U1727">
        <f t="shared" si="26"/>
        <v>1</v>
      </c>
    </row>
    <row r="1728" spans="1:21" x14ac:dyDescent="0.2">
      <c r="A1728">
        <v>751</v>
      </c>
      <c r="B1728" t="s">
        <v>42</v>
      </c>
      <c r="C1728" t="s">
        <v>21</v>
      </c>
      <c r="D1728">
        <v>42</v>
      </c>
      <c r="E1728">
        <v>4</v>
      </c>
      <c r="F1728">
        <v>0</v>
      </c>
      <c r="G1728">
        <v>2</v>
      </c>
      <c r="H1728" t="s">
        <v>22</v>
      </c>
      <c r="I1728" t="s">
        <v>22</v>
      </c>
      <c r="J1728">
        <v>81442.600000000006</v>
      </c>
      <c r="K1728" t="s">
        <v>23</v>
      </c>
      <c r="L1728">
        <v>6.1320481960455309E-2</v>
      </c>
      <c r="M1728" t="s">
        <v>23</v>
      </c>
      <c r="N1728">
        <v>0</v>
      </c>
      <c r="O1728">
        <v>0</v>
      </c>
      <c r="P1728" t="s">
        <v>34</v>
      </c>
      <c r="Q1728" t="s">
        <v>25</v>
      </c>
      <c r="R1728" t="s">
        <v>29</v>
      </c>
      <c r="S1728" t="s">
        <v>37</v>
      </c>
      <c r="T1728" t="s">
        <v>40</v>
      </c>
      <c r="U1728">
        <f t="shared" si="26"/>
        <v>1</v>
      </c>
    </row>
    <row r="1729" spans="1:21" x14ac:dyDescent="0.2">
      <c r="A1729">
        <v>767</v>
      </c>
      <c r="B1729" t="s">
        <v>42</v>
      </c>
      <c r="C1729" t="s">
        <v>32</v>
      </c>
      <c r="D1729">
        <v>35</v>
      </c>
      <c r="E1729">
        <v>2</v>
      </c>
      <c r="F1729">
        <v>0</v>
      </c>
      <c r="G1729">
        <v>2</v>
      </c>
      <c r="H1729" t="s">
        <v>23</v>
      </c>
      <c r="I1729" t="s">
        <v>23</v>
      </c>
      <c r="J1729">
        <v>144251.38</v>
      </c>
      <c r="K1729" t="s">
        <v>23</v>
      </c>
      <c r="L1729">
        <v>0.1804767946690774</v>
      </c>
      <c r="M1729" t="s">
        <v>23</v>
      </c>
      <c r="N1729">
        <v>0</v>
      </c>
      <c r="O1729">
        <v>0</v>
      </c>
      <c r="P1729" t="s">
        <v>34</v>
      </c>
      <c r="Q1729" t="s">
        <v>33</v>
      </c>
      <c r="R1729" t="s">
        <v>29</v>
      </c>
      <c r="S1729" t="s">
        <v>37</v>
      </c>
      <c r="T1729" t="s">
        <v>28</v>
      </c>
      <c r="U1729">
        <f t="shared" si="26"/>
        <v>1</v>
      </c>
    </row>
    <row r="1730" spans="1:21" x14ac:dyDescent="0.2">
      <c r="A1730">
        <v>651</v>
      </c>
      <c r="B1730" t="s">
        <v>41</v>
      </c>
      <c r="C1730" t="s">
        <v>21</v>
      </c>
      <c r="D1730">
        <v>29</v>
      </c>
      <c r="E1730">
        <v>3</v>
      </c>
      <c r="F1730">
        <v>121890.06</v>
      </c>
      <c r="G1730">
        <v>1</v>
      </c>
      <c r="H1730" t="s">
        <v>22</v>
      </c>
      <c r="I1730" t="s">
        <v>23</v>
      </c>
      <c r="J1730">
        <v>54530.51</v>
      </c>
      <c r="K1730" t="s">
        <v>22</v>
      </c>
      <c r="L1730">
        <v>0.21106750214288261</v>
      </c>
      <c r="M1730" t="s">
        <v>23</v>
      </c>
      <c r="N1730">
        <v>1</v>
      </c>
      <c r="O1730">
        <v>0</v>
      </c>
      <c r="P1730" t="s">
        <v>24</v>
      </c>
      <c r="Q1730" t="s">
        <v>36</v>
      </c>
      <c r="R1730" t="s">
        <v>26</v>
      </c>
      <c r="S1730" t="s">
        <v>27</v>
      </c>
      <c r="T1730" t="s">
        <v>40</v>
      </c>
      <c r="U1730">
        <f t="shared" ref="U1730:U1793" si="27">IF(K1730=M1730,1,0)</f>
        <v>0</v>
      </c>
    </row>
    <row r="1731" spans="1:21" x14ac:dyDescent="0.2">
      <c r="A1731">
        <v>499</v>
      </c>
      <c r="B1731" t="s">
        <v>41</v>
      </c>
      <c r="C1731" t="s">
        <v>32</v>
      </c>
      <c r="D1731">
        <v>44</v>
      </c>
      <c r="E1731">
        <v>6</v>
      </c>
      <c r="F1731">
        <v>77627.33</v>
      </c>
      <c r="G1731">
        <v>2</v>
      </c>
      <c r="H1731" t="s">
        <v>22</v>
      </c>
      <c r="I1731" t="s">
        <v>23</v>
      </c>
      <c r="J1731">
        <v>108222.68</v>
      </c>
      <c r="K1731" t="s">
        <v>23</v>
      </c>
      <c r="L1731">
        <v>0.54895423736138638</v>
      </c>
      <c r="M1731" t="s">
        <v>22</v>
      </c>
      <c r="N1731">
        <v>0</v>
      </c>
      <c r="O1731">
        <v>1</v>
      </c>
      <c r="P1731" t="s">
        <v>43</v>
      </c>
      <c r="Q1731" t="s">
        <v>25</v>
      </c>
      <c r="R1731" t="s">
        <v>38</v>
      </c>
      <c r="S1731" t="s">
        <v>45</v>
      </c>
      <c r="T1731" t="s">
        <v>28</v>
      </c>
      <c r="U1731">
        <f t="shared" si="27"/>
        <v>0</v>
      </c>
    </row>
    <row r="1732" spans="1:21" x14ac:dyDescent="0.2">
      <c r="A1732">
        <v>809</v>
      </c>
      <c r="B1732" t="s">
        <v>20</v>
      </c>
      <c r="C1732" t="s">
        <v>32</v>
      </c>
      <c r="D1732">
        <v>48</v>
      </c>
      <c r="E1732">
        <v>2</v>
      </c>
      <c r="F1732">
        <v>0</v>
      </c>
      <c r="G1732">
        <v>1</v>
      </c>
      <c r="H1732" t="s">
        <v>22</v>
      </c>
      <c r="I1732" t="s">
        <v>23</v>
      </c>
      <c r="J1732">
        <v>160976.85</v>
      </c>
      <c r="K1732" t="s">
        <v>22</v>
      </c>
      <c r="L1732">
        <v>0.38672275942588291</v>
      </c>
      <c r="M1732" t="s">
        <v>23</v>
      </c>
      <c r="N1732">
        <v>1</v>
      </c>
      <c r="O1732">
        <v>0</v>
      </c>
      <c r="P1732" t="s">
        <v>24</v>
      </c>
      <c r="Q1732" t="s">
        <v>25</v>
      </c>
      <c r="R1732" t="s">
        <v>29</v>
      </c>
      <c r="S1732" t="s">
        <v>39</v>
      </c>
      <c r="T1732" t="s">
        <v>31</v>
      </c>
      <c r="U1732">
        <f t="shared" si="27"/>
        <v>0</v>
      </c>
    </row>
    <row r="1733" spans="1:21" x14ac:dyDescent="0.2">
      <c r="A1733">
        <v>586</v>
      </c>
      <c r="B1733" t="s">
        <v>41</v>
      </c>
      <c r="C1733" t="s">
        <v>21</v>
      </c>
      <c r="D1733">
        <v>42</v>
      </c>
      <c r="E1733">
        <v>6</v>
      </c>
      <c r="F1733">
        <v>126704.49</v>
      </c>
      <c r="G1733">
        <v>2</v>
      </c>
      <c r="H1733" t="s">
        <v>22</v>
      </c>
      <c r="I1733" t="s">
        <v>23</v>
      </c>
      <c r="J1733">
        <v>41682.300000000003</v>
      </c>
      <c r="K1733" t="s">
        <v>23</v>
      </c>
      <c r="L1733">
        <v>0.38478777181372448</v>
      </c>
      <c r="M1733" t="s">
        <v>23</v>
      </c>
      <c r="N1733">
        <v>0</v>
      </c>
      <c r="O1733">
        <v>0</v>
      </c>
      <c r="P1733" t="s">
        <v>24</v>
      </c>
      <c r="Q1733" t="s">
        <v>25</v>
      </c>
      <c r="R1733" t="s">
        <v>26</v>
      </c>
      <c r="S1733" t="s">
        <v>30</v>
      </c>
      <c r="T1733" t="s">
        <v>35</v>
      </c>
      <c r="U1733">
        <f t="shared" si="27"/>
        <v>1</v>
      </c>
    </row>
    <row r="1734" spans="1:21" x14ac:dyDescent="0.2">
      <c r="A1734">
        <v>730</v>
      </c>
      <c r="B1734" t="s">
        <v>20</v>
      </c>
      <c r="C1734" t="s">
        <v>21</v>
      </c>
      <c r="D1734">
        <v>25</v>
      </c>
      <c r="E1734">
        <v>5</v>
      </c>
      <c r="F1734">
        <v>167385.81</v>
      </c>
      <c r="G1734">
        <v>1</v>
      </c>
      <c r="H1734" t="s">
        <v>22</v>
      </c>
      <c r="I1734" t="s">
        <v>22</v>
      </c>
      <c r="J1734">
        <v>56307.51</v>
      </c>
      <c r="K1734" t="s">
        <v>23</v>
      </c>
      <c r="L1734">
        <v>3.1380315322297653E-2</v>
      </c>
      <c r="M1734" t="s">
        <v>23</v>
      </c>
      <c r="N1734">
        <v>0</v>
      </c>
      <c r="O1734">
        <v>0</v>
      </c>
      <c r="P1734" t="s">
        <v>34</v>
      </c>
      <c r="Q1734" t="s">
        <v>36</v>
      </c>
      <c r="R1734" t="s">
        <v>47</v>
      </c>
      <c r="S1734" t="s">
        <v>37</v>
      </c>
      <c r="T1734" t="s">
        <v>40</v>
      </c>
      <c r="U1734">
        <f t="shared" si="27"/>
        <v>1</v>
      </c>
    </row>
    <row r="1735" spans="1:21" x14ac:dyDescent="0.2">
      <c r="A1735">
        <v>539</v>
      </c>
      <c r="B1735" t="s">
        <v>42</v>
      </c>
      <c r="C1735" t="s">
        <v>21</v>
      </c>
      <c r="D1735">
        <v>39</v>
      </c>
      <c r="E1735">
        <v>1</v>
      </c>
      <c r="F1735">
        <v>0</v>
      </c>
      <c r="G1735">
        <v>1</v>
      </c>
      <c r="H1735" t="s">
        <v>22</v>
      </c>
      <c r="I1735" t="s">
        <v>22</v>
      </c>
      <c r="J1735">
        <v>28184.7</v>
      </c>
      <c r="K1735" t="s">
        <v>23</v>
      </c>
      <c r="L1735">
        <v>6.4743431139427113E-2</v>
      </c>
      <c r="M1735" t="s">
        <v>23</v>
      </c>
      <c r="N1735">
        <v>0</v>
      </c>
      <c r="O1735">
        <v>0</v>
      </c>
      <c r="P1735" t="s">
        <v>34</v>
      </c>
      <c r="Q1735" t="s">
        <v>33</v>
      </c>
      <c r="R1735" t="s">
        <v>29</v>
      </c>
      <c r="S1735" t="s">
        <v>30</v>
      </c>
      <c r="T1735" t="s">
        <v>35</v>
      </c>
      <c r="U1735">
        <f t="shared" si="27"/>
        <v>1</v>
      </c>
    </row>
    <row r="1736" spans="1:21" x14ac:dyDescent="0.2">
      <c r="A1736">
        <v>821</v>
      </c>
      <c r="B1736" t="s">
        <v>42</v>
      </c>
      <c r="C1736" t="s">
        <v>32</v>
      </c>
      <c r="D1736">
        <v>40</v>
      </c>
      <c r="E1736">
        <v>1</v>
      </c>
      <c r="F1736">
        <v>0</v>
      </c>
      <c r="G1736">
        <v>2</v>
      </c>
      <c r="H1736" t="s">
        <v>22</v>
      </c>
      <c r="I1736" t="s">
        <v>23</v>
      </c>
      <c r="J1736">
        <v>194273.12</v>
      </c>
      <c r="K1736" t="s">
        <v>23</v>
      </c>
      <c r="L1736">
        <v>0.23776345001972191</v>
      </c>
      <c r="M1736" t="s">
        <v>23</v>
      </c>
      <c r="N1736">
        <v>0</v>
      </c>
      <c r="O1736">
        <v>0</v>
      </c>
      <c r="P1736" t="s">
        <v>24</v>
      </c>
      <c r="Q1736" t="s">
        <v>33</v>
      </c>
      <c r="R1736" t="s">
        <v>29</v>
      </c>
      <c r="S1736" t="s">
        <v>39</v>
      </c>
      <c r="T1736" t="s">
        <v>31</v>
      </c>
      <c r="U1736">
        <f t="shared" si="27"/>
        <v>1</v>
      </c>
    </row>
    <row r="1737" spans="1:21" x14ac:dyDescent="0.2">
      <c r="A1737">
        <v>687</v>
      </c>
      <c r="B1737" t="s">
        <v>41</v>
      </c>
      <c r="C1737" t="s">
        <v>21</v>
      </c>
      <c r="D1737">
        <v>35</v>
      </c>
      <c r="E1737">
        <v>1</v>
      </c>
      <c r="F1737">
        <v>125141.24</v>
      </c>
      <c r="G1737">
        <v>2</v>
      </c>
      <c r="H1737" t="s">
        <v>22</v>
      </c>
      <c r="I1737" t="s">
        <v>22</v>
      </c>
      <c r="J1737">
        <v>148537.07</v>
      </c>
      <c r="K1737" t="s">
        <v>23</v>
      </c>
      <c r="L1737">
        <v>0.1200085482114347</v>
      </c>
      <c r="M1737" t="s">
        <v>23</v>
      </c>
      <c r="N1737">
        <v>0</v>
      </c>
      <c r="O1737">
        <v>0</v>
      </c>
      <c r="P1737" t="s">
        <v>34</v>
      </c>
      <c r="Q1737" t="s">
        <v>33</v>
      </c>
      <c r="R1737" t="s">
        <v>26</v>
      </c>
      <c r="S1737" t="s">
        <v>27</v>
      </c>
      <c r="T1737" t="s">
        <v>28</v>
      </c>
      <c r="U1737">
        <f t="shared" si="27"/>
        <v>1</v>
      </c>
    </row>
    <row r="1738" spans="1:21" x14ac:dyDescent="0.2">
      <c r="A1738">
        <v>705</v>
      </c>
      <c r="B1738" t="s">
        <v>42</v>
      </c>
      <c r="C1738" t="s">
        <v>32</v>
      </c>
      <c r="D1738">
        <v>55</v>
      </c>
      <c r="E1738">
        <v>8</v>
      </c>
      <c r="F1738">
        <v>0</v>
      </c>
      <c r="G1738">
        <v>2</v>
      </c>
      <c r="H1738" t="s">
        <v>22</v>
      </c>
      <c r="I1738" t="s">
        <v>22</v>
      </c>
      <c r="J1738">
        <v>14392.68</v>
      </c>
      <c r="K1738" t="s">
        <v>23</v>
      </c>
      <c r="L1738">
        <v>0.21352732620455309</v>
      </c>
      <c r="M1738" t="s">
        <v>23</v>
      </c>
      <c r="N1738">
        <v>0</v>
      </c>
      <c r="O1738">
        <v>0</v>
      </c>
      <c r="P1738" t="s">
        <v>24</v>
      </c>
      <c r="Q1738" t="s">
        <v>44</v>
      </c>
      <c r="R1738" t="s">
        <v>29</v>
      </c>
      <c r="S1738" t="s">
        <v>37</v>
      </c>
      <c r="T1738" t="s">
        <v>35</v>
      </c>
      <c r="U1738">
        <f t="shared" si="27"/>
        <v>1</v>
      </c>
    </row>
    <row r="1739" spans="1:21" x14ac:dyDescent="0.2">
      <c r="A1739">
        <v>637</v>
      </c>
      <c r="B1739" t="s">
        <v>41</v>
      </c>
      <c r="C1739" t="s">
        <v>21</v>
      </c>
      <c r="D1739">
        <v>40</v>
      </c>
      <c r="E1739">
        <v>9</v>
      </c>
      <c r="F1739">
        <v>154309.67000000001</v>
      </c>
      <c r="G1739">
        <v>1</v>
      </c>
      <c r="H1739" t="s">
        <v>22</v>
      </c>
      <c r="I1739" t="s">
        <v>22</v>
      </c>
      <c r="J1739">
        <v>125334.16</v>
      </c>
      <c r="K1739" t="s">
        <v>22</v>
      </c>
      <c r="L1739">
        <v>0.17081797180193861</v>
      </c>
      <c r="M1739" t="s">
        <v>23</v>
      </c>
      <c r="N1739">
        <v>1</v>
      </c>
      <c r="O1739">
        <v>0</v>
      </c>
      <c r="P1739" t="s">
        <v>34</v>
      </c>
      <c r="Q1739" t="s">
        <v>33</v>
      </c>
      <c r="R1739" t="s">
        <v>47</v>
      </c>
      <c r="S1739" t="s">
        <v>27</v>
      </c>
      <c r="T1739" t="s">
        <v>28</v>
      </c>
      <c r="U1739">
        <f t="shared" si="27"/>
        <v>0</v>
      </c>
    </row>
    <row r="1740" spans="1:21" x14ac:dyDescent="0.2">
      <c r="A1740">
        <v>621</v>
      </c>
      <c r="B1740" t="s">
        <v>42</v>
      </c>
      <c r="C1740" t="s">
        <v>32</v>
      </c>
      <c r="D1740">
        <v>50</v>
      </c>
      <c r="E1740">
        <v>5</v>
      </c>
      <c r="F1740">
        <v>0</v>
      </c>
      <c r="G1740">
        <v>2</v>
      </c>
      <c r="H1740" t="s">
        <v>22</v>
      </c>
      <c r="I1740" t="s">
        <v>23</v>
      </c>
      <c r="J1740">
        <v>191756.54</v>
      </c>
      <c r="K1740" t="s">
        <v>22</v>
      </c>
      <c r="L1740">
        <v>0.40923153689003172</v>
      </c>
      <c r="M1740" t="s">
        <v>23</v>
      </c>
      <c r="N1740">
        <v>1</v>
      </c>
      <c r="O1740">
        <v>0</v>
      </c>
      <c r="P1740" t="s">
        <v>24</v>
      </c>
      <c r="Q1740" t="s">
        <v>25</v>
      </c>
      <c r="R1740" t="s">
        <v>29</v>
      </c>
      <c r="S1740" t="s">
        <v>27</v>
      </c>
      <c r="T1740" t="s">
        <v>31</v>
      </c>
      <c r="U1740">
        <f t="shared" si="27"/>
        <v>0</v>
      </c>
    </row>
    <row r="1741" spans="1:21" x14ac:dyDescent="0.2">
      <c r="A1741">
        <v>504</v>
      </c>
      <c r="B1741" t="s">
        <v>20</v>
      </c>
      <c r="C1741" t="s">
        <v>21</v>
      </c>
      <c r="D1741">
        <v>34</v>
      </c>
      <c r="E1741">
        <v>0</v>
      </c>
      <c r="F1741">
        <v>54980.81</v>
      </c>
      <c r="G1741">
        <v>1</v>
      </c>
      <c r="H1741" t="s">
        <v>22</v>
      </c>
      <c r="I1741" t="s">
        <v>22</v>
      </c>
      <c r="J1741">
        <v>136909.88</v>
      </c>
      <c r="K1741" t="s">
        <v>23</v>
      </c>
      <c r="L1741">
        <v>5.9828298516405788E-2</v>
      </c>
      <c r="M1741" t="s">
        <v>23</v>
      </c>
      <c r="N1741">
        <v>0</v>
      </c>
      <c r="O1741">
        <v>0</v>
      </c>
      <c r="P1741" t="s">
        <v>34</v>
      </c>
      <c r="Q1741" t="s">
        <v>33</v>
      </c>
      <c r="R1741" t="s">
        <v>38</v>
      </c>
      <c r="S1741" t="s">
        <v>30</v>
      </c>
      <c r="T1741" t="s">
        <v>28</v>
      </c>
      <c r="U1741">
        <f t="shared" si="27"/>
        <v>1</v>
      </c>
    </row>
    <row r="1742" spans="1:21" x14ac:dyDescent="0.2">
      <c r="A1742">
        <v>516</v>
      </c>
      <c r="B1742" t="s">
        <v>20</v>
      </c>
      <c r="C1742" t="s">
        <v>32</v>
      </c>
      <c r="D1742">
        <v>65</v>
      </c>
      <c r="E1742">
        <v>9</v>
      </c>
      <c r="F1742">
        <v>102541.1</v>
      </c>
      <c r="G1742">
        <v>1</v>
      </c>
      <c r="H1742" t="s">
        <v>22</v>
      </c>
      <c r="I1742" t="s">
        <v>23</v>
      </c>
      <c r="J1742">
        <v>181490.42</v>
      </c>
      <c r="K1742" t="s">
        <v>23</v>
      </c>
      <c r="L1742">
        <v>0.75737716518592524</v>
      </c>
      <c r="M1742" t="s">
        <v>22</v>
      </c>
      <c r="N1742">
        <v>0</v>
      </c>
      <c r="O1742">
        <v>1</v>
      </c>
      <c r="P1742" t="s">
        <v>43</v>
      </c>
      <c r="Q1742" t="s">
        <v>46</v>
      </c>
      <c r="R1742" t="s">
        <v>26</v>
      </c>
      <c r="S1742" t="s">
        <v>30</v>
      </c>
      <c r="T1742" t="s">
        <v>31</v>
      </c>
      <c r="U1742">
        <f t="shared" si="27"/>
        <v>0</v>
      </c>
    </row>
    <row r="1743" spans="1:21" x14ac:dyDescent="0.2">
      <c r="A1743">
        <v>706</v>
      </c>
      <c r="B1743" t="s">
        <v>41</v>
      </c>
      <c r="C1743" t="s">
        <v>32</v>
      </c>
      <c r="D1743">
        <v>47</v>
      </c>
      <c r="E1743">
        <v>10</v>
      </c>
      <c r="F1743">
        <v>144090.42000000001</v>
      </c>
      <c r="G1743">
        <v>1</v>
      </c>
      <c r="H1743" t="s">
        <v>22</v>
      </c>
      <c r="I1743" t="s">
        <v>23</v>
      </c>
      <c r="J1743">
        <v>140938.95000000001</v>
      </c>
      <c r="K1743" t="s">
        <v>22</v>
      </c>
      <c r="L1743">
        <v>0.62013857032315001</v>
      </c>
      <c r="M1743" t="s">
        <v>22</v>
      </c>
      <c r="N1743">
        <v>1</v>
      </c>
      <c r="O1743">
        <v>1</v>
      </c>
      <c r="P1743" t="s">
        <v>43</v>
      </c>
      <c r="Q1743" t="s">
        <v>25</v>
      </c>
      <c r="R1743" t="s">
        <v>26</v>
      </c>
      <c r="S1743" t="s">
        <v>37</v>
      </c>
      <c r="T1743" t="s">
        <v>28</v>
      </c>
      <c r="U1743">
        <f t="shared" si="27"/>
        <v>1</v>
      </c>
    </row>
    <row r="1744" spans="1:21" x14ac:dyDescent="0.2">
      <c r="A1744">
        <v>634</v>
      </c>
      <c r="B1744" t="s">
        <v>42</v>
      </c>
      <c r="C1744" t="s">
        <v>21</v>
      </c>
      <c r="D1744">
        <v>34</v>
      </c>
      <c r="E1744">
        <v>3</v>
      </c>
      <c r="F1744">
        <v>145030.92000000001</v>
      </c>
      <c r="G1744">
        <v>1</v>
      </c>
      <c r="H1744" t="s">
        <v>22</v>
      </c>
      <c r="I1744" t="s">
        <v>22</v>
      </c>
      <c r="J1744">
        <v>41820.65</v>
      </c>
      <c r="K1744" t="s">
        <v>23</v>
      </c>
      <c r="L1744">
        <v>5.9402317893067658E-2</v>
      </c>
      <c r="M1744" t="s">
        <v>23</v>
      </c>
      <c r="N1744">
        <v>0</v>
      </c>
      <c r="O1744">
        <v>0</v>
      </c>
      <c r="P1744" t="s">
        <v>34</v>
      </c>
      <c r="Q1744" t="s">
        <v>33</v>
      </c>
      <c r="R1744" t="s">
        <v>26</v>
      </c>
      <c r="S1744" t="s">
        <v>27</v>
      </c>
      <c r="T1744" t="s">
        <v>35</v>
      </c>
      <c r="U1744">
        <f t="shared" si="27"/>
        <v>1</v>
      </c>
    </row>
    <row r="1745" spans="1:21" x14ac:dyDescent="0.2">
      <c r="A1745">
        <v>622</v>
      </c>
      <c r="B1745" t="s">
        <v>20</v>
      </c>
      <c r="C1745" t="s">
        <v>32</v>
      </c>
      <c r="D1745">
        <v>23</v>
      </c>
      <c r="E1745">
        <v>8</v>
      </c>
      <c r="F1745">
        <v>0</v>
      </c>
      <c r="G1745">
        <v>2</v>
      </c>
      <c r="H1745" t="s">
        <v>22</v>
      </c>
      <c r="I1745" t="s">
        <v>22</v>
      </c>
      <c r="J1745">
        <v>131389.39000000001</v>
      </c>
      <c r="K1745" t="s">
        <v>23</v>
      </c>
      <c r="L1745">
        <v>2.9022557569355921E-2</v>
      </c>
      <c r="M1745" t="s">
        <v>23</v>
      </c>
      <c r="N1745">
        <v>0</v>
      </c>
      <c r="O1745">
        <v>0</v>
      </c>
      <c r="P1745" t="s">
        <v>34</v>
      </c>
      <c r="Q1745" t="s">
        <v>36</v>
      </c>
      <c r="R1745" t="s">
        <v>29</v>
      </c>
      <c r="S1745" t="s">
        <v>27</v>
      </c>
      <c r="T1745" t="s">
        <v>28</v>
      </c>
      <c r="U1745">
        <f t="shared" si="27"/>
        <v>1</v>
      </c>
    </row>
    <row r="1746" spans="1:21" x14ac:dyDescent="0.2">
      <c r="A1746">
        <v>748</v>
      </c>
      <c r="B1746" t="s">
        <v>42</v>
      </c>
      <c r="C1746" t="s">
        <v>21</v>
      </c>
      <c r="D1746">
        <v>66</v>
      </c>
      <c r="E1746">
        <v>8</v>
      </c>
      <c r="F1746">
        <v>0</v>
      </c>
      <c r="G1746">
        <v>1</v>
      </c>
      <c r="H1746" t="s">
        <v>22</v>
      </c>
      <c r="I1746" t="s">
        <v>22</v>
      </c>
      <c r="J1746">
        <v>163331.65</v>
      </c>
      <c r="K1746" t="s">
        <v>23</v>
      </c>
      <c r="L1746">
        <v>0.2931418854664205</v>
      </c>
      <c r="M1746" t="s">
        <v>23</v>
      </c>
      <c r="N1746">
        <v>0</v>
      </c>
      <c r="O1746">
        <v>0</v>
      </c>
      <c r="P1746" t="s">
        <v>24</v>
      </c>
      <c r="Q1746" t="s">
        <v>46</v>
      </c>
      <c r="R1746" t="s">
        <v>29</v>
      </c>
      <c r="S1746" t="s">
        <v>37</v>
      </c>
      <c r="T1746" t="s">
        <v>31</v>
      </c>
      <c r="U1746">
        <f t="shared" si="27"/>
        <v>1</v>
      </c>
    </row>
    <row r="1747" spans="1:21" x14ac:dyDescent="0.2">
      <c r="A1747">
        <v>727</v>
      </c>
      <c r="B1747" t="s">
        <v>42</v>
      </c>
      <c r="C1747" t="s">
        <v>21</v>
      </c>
      <c r="D1747">
        <v>61</v>
      </c>
      <c r="E1747">
        <v>0</v>
      </c>
      <c r="F1747">
        <v>128213.96</v>
      </c>
      <c r="G1747">
        <v>2</v>
      </c>
      <c r="H1747" t="s">
        <v>22</v>
      </c>
      <c r="I1747" t="s">
        <v>22</v>
      </c>
      <c r="J1747">
        <v>188729.08</v>
      </c>
      <c r="K1747" t="s">
        <v>22</v>
      </c>
      <c r="L1747">
        <v>0.30271629185818311</v>
      </c>
      <c r="M1747" t="s">
        <v>23</v>
      </c>
      <c r="N1747">
        <v>1</v>
      </c>
      <c r="O1747">
        <v>0</v>
      </c>
      <c r="P1747" t="s">
        <v>24</v>
      </c>
      <c r="Q1747" t="s">
        <v>46</v>
      </c>
      <c r="R1747" t="s">
        <v>26</v>
      </c>
      <c r="S1747" t="s">
        <v>37</v>
      </c>
      <c r="T1747" t="s">
        <v>31</v>
      </c>
      <c r="U1747">
        <f t="shared" si="27"/>
        <v>0</v>
      </c>
    </row>
    <row r="1748" spans="1:21" x14ac:dyDescent="0.2">
      <c r="A1748">
        <v>567</v>
      </c>
      <c r="B1748" t="s">
        <v>20</v>
      </c>
      <c r="C1748" t="s">
        <v>21</v>
      </c>
      <c r="D1748">
        <v>44</v>
      </c>
      <c r="E1748">
        <v>9</v>
      </c>
      <c r="F1748">
        <v>0</v>
      </c>
      <c r="G1748">
        <v>2</v>
      </c>
      <c r="H1748" t="s">
        <v>22</v>
      </c>
      <c r="I1748" t="s">
        <v>23</v>
      </c>
      <c r="J1748">
        <v>87677.15</v>
      </c>
      <c r="K1748" t="s">
        <v>23</v>
      </c>
      <c r="L1748">
        <v>0.19463866712704039</v>
      </c>
      <c r="M1748" t="s">
        <v>23</v>
      </c>
      <c r="N1748">
        <v>0</v>
      </c>
      <c r="O1748">
        <v>0</v>
      </c>
      <c r="P1748" t="s">
        <v>34</v>
      </c>
      <c r="Q1748" t="s">
        <v>25</v>
      </c>
      <c r="R1748" t="s">
        <v>29</v>
      </c>
      <c r="S1748" t="s">
        <v>30</v>
      </c>
      <c r="T1748" t="s">
        <v>40</v>
      </c>
      <c r="U1748">
        <f t="shared" si="27"/>
        <v>1</v>
      </c>
    </row>
    <row r="1749" spans="1:21" x14ac:dyDescent="0.2">
      <c r="A1749">
        <v>820</v>
      </c>
      <c r="B1749" t="s">
        <v>41</v>
      </c>
      <c r="C1749" t="s">
        <v>21</v>
      </c>
      <c r="D1749">
        <v>39</v>
      </c>
      <c r="E1749">
        <v>9</v>
      </c>
      <c r="F1749">
        <v>111336.89</v>
      </c>
      <c r="G1749">
        <v>1</v>
      </c>
      <c r="H1749" t="s">
        <v>22</v>
      </c>
      <c r="I1749" t="s">
        <v>23</v>
      </c>
      <c r="J1749">
        <v>16770.310000000001</v>
      </c>
      <c r="K1749" t="s">
        <v>22</v>
      </c>
      <c r="L1749">
        <v>0.29675916939124752</v>
      </c>
      <c r="M1749" t="s">
        <v>23</v>
      </c>
      <c r="N1749">
        <v>1</v>
      </c>
      <c r="O1749">
        <v>0</v>
      </c>
      <c r="P1749" t="s">
        <v>24</v>
      </c>
      <c r="Q1749" t="s">
        <v>33</v>
      </c>
      <c r="R1749" t="s">
        <v>26</v>
      </c>
      <c r="S1749" t="s">
        <v>39</v>
      </c>
      <c r="T1749" t="s">
        <v>35</v>
      </c>
      <c r="U1749">
        <f t="shared" si="27"/>
        <v>0</v>
      </c>
    </row>
    <row r="1750" spans="1:21" x14ac:dyDescent="0.2">
      <c r="A1750">
        <v>782</v>
      </c>
      <c r="B1750" t="s">
        <v>42</v>
      </c>
      <c r="C1750" t="s">
        <v>21</v>
      </c>
      <c r="D1750">
        <v>34</v>
      </c>
      <c r="E1750">
        <v>9</v>
      </c>
      <c r="F1750">
        <v>0</v>
      </c>
      <c r="G1750">
        <v>1</v>
      </c>
      <c r="H1750" t="s">
        <v>22</v>
      </c>
      <c r="I1750" t="s">
        <v>23</v>
      </c>
      <c r="J1750">
        <v>183021.06</v>
      </c>
      <c r="K1750" t="s">
        <v>22</v>
      </c>
      <c r="L1750">
        <v>0.10061607778444059</v>
      </c>
      <c r="M1750" t="s">
        <v>23</v>
      </c>
      <c r="N1750">
        <v>1</v>
      </c>
      <c r="O1750">
        <v>0</v>
      </c>
      <c r="P1750" t="s">
        <v>34</v>
      </c>
      <c r="Q1750" t="s">
        <v>33</v>
      </c>
      <c r="R1750" t="s">
        <v>29</v>
      </c>
      <c r="S1750" t="s">
        <v>37</v>
      </c>
      <c r="T1750" t="s">
        <v>31</v>
      </c>
      <c r="U1750">
        <f t="shared" si="27"/>
        <v>0</v>
      </c>
    </row>
    <row r="1751" spans="1:21" x14ac:dyDescent="0.2">
      <c r="A1751">
        <v>638</v>
      </c>
      <c r="B1751" t="s">
        <v>41</v>
      </c>
      <c r="C1751" t="s">
        <v>32</v>
      </c>
      <c r="D1751">
        <v>41</v>
      </c>
      <c r="E1751">
        <v>9</v>
      </c>
      <c r="F1751">
        <v>144326.09</v>
      </c>
      <c r="G1751">
        <v>1</v>
      </c>
      <c r="H1751" t="s">
        <v>22</v>
      </c>
      <c r="I1751" t="s">
        <v>23</v>
      </c>
      <c r="J1751">
        <v>73979.850000000006</v>
      </c>
      <c r="K1751" t="s">
        <v>22</v>
      </c>
      <c r="L1751">
        <v>0.51903890722497326</v>
      </c>
      <c r="M1751" t="s">
        <v>22</v>
      </c>
      <c r="N1751">
        <v>1</v>
      </c>
      <c r="O1751">
        <v>1</v>
      </c>
      <c r="P1751" t="s">
        <v>43</v>
      </c>
      <c r="Q1751" t="s">
        <v>25</v>
      </c>
      <c r="R1751" t="s">
        <v>26</v>
      </c>
      <c r="S1751" t="s">
        <v>27</v>
      </c>
      <c r="T1751" t="s">
        <v>40</v>
      </c>
      <c r="U1751">
        <f t="shared" si="27"/>
        <v>1</v>
      </c>
    </row>
    <row r="1752" spans="1:21" x14ac:dyDescent="0.2">
      <c r="A1752">
        <v>850</v>
      </c>
      <c r="B1752" t="s">
        <v>41</v>
      </c>
      <c r="C1752" t="s">
        <v>21</v>
      </c>
      <c r="D1752">
        <v>27</v>
      </c>
      <c r="E1752">
        <v>1</v>
      </c>
      <c r="F1752">
        <v>101278.25</v>
      </c>
      <c r="G1752">
        <v>2</v>
      </c>
      <c r="H1752" t="s">
        <v>22</v>
      </c>
      <c r="I1752" t="s">
        <v>22</v>
      </c>
      <c r="J1752">
        <v>26265.18</v>
      </c>
      <c r="K1752" t="s">
        <v>23</v>
      </c>
      <c r="L1752">
        <v>5.5861405918489218E-2</v>
      </c>
      <c r="M1752" t="s">
        <v>23</v>
      </c>
      <c r="N1752">
        <v>0</v>
      </c>
      <c r="O1752">
        <v>0</v>
      </c>
      <c r="P1752" t="s">
        <v>34</v>
      </c>
      <c r="Q1752" t="s">
        <v>36</v>
      </c>
      <c r="R1752" t="s">
        <v>26</v>
      </c>
      <c r="S1752" t="s">
        <v>39</v>
      </c>
      <c r="T1752" t="s">
        <v>35</v>
      </c>
      <c r="U1752">
        <f t="shared" si="27"/>
        <v>1</v>
      </c>
    </row>
    <row r="1753" spans="1:21" x14ac:dyDescent="0.2">
      <c r="A1753">
        <v>706</v>
      </c>
      <c r="B1753" t="s">
        <v>20</v>
      </c>
      <c r="C1753" t="s">
        <v>32</v>
      </c>
      <c r="D1753">
        <v>29</v>
      </c>
      <c r="E1753">
        <v>1</v>
      </c>
      <c r="F1753">
        <v>209490.21</v>
      </c>
      <c r="G1753">
        <v>1</v>
      </c>
      <c r="H1753" t="s">
        <v>22</v>
      </c>
      <c r="I1753" t="s">
        <v>22</v>
      </c>
      <c r="J1753">
        <v>133267.69</v>
      </c>
      <c r="K1753" t="s">
        <v>22</v>
      </c>
      <c r="L1753">
        <v>8.8000580077225027E-2</v>
      </c>
      <c r="M1753" t="s">
        <v>23</v>
      </c>
      <c r="N1753">
        <v>1</v>
      </c>
      <c r="O1753">
        <v>0</v>
      </c>
      <c r="P1753" t="s">
        <v>34</v>
      </c>
      <c r="Q1753" t="s">
        <v>36</v>
      </c>
      <c r="R1753" t="s">
        <v>47</v>
      </c>
      <c r="S1753" t="s">
        <v>37</v>
      </c>
      <c r="T1753" t="s">
        <v>28</v>
      </c>
      <c r="U1753">
        <f t="shared" si="27"/>
        <v>0</v>
      </c>
    </row>
    <row r="1754" spans="1:21" x14ac:dyDescent="0.2">
      <c r="A1754">
        <v>792</v>
      </c>
      <c r="B1754" t="s">
        <v>20</v>
      </c>
      <c r="C1754" t="s">
        <v>32</v>
      </c>
      <c r="D1754">
        <v>40</v>
      </c>
      <c r="E1754">
        <v>7</v>
      </c>
      <c r="F1754">
        <v>0</v>
      </c>
      <c r="G1754">
        <v>1</v>
      </c>
      <c r="H1754" t="s">
        <v>22</v>
      </c>
      <c r="I1754" t="s">
        <v>23</v>
      </c>
      <c r="J1754">
        <v>141652.20000000001</v>
      </c>
      <c r="K1754" t="s">
        <v>23</v>
      </c>
      <c r="L1754">
        <v>0.2403001008579729</v>
      </c>
      <c r="M1754" t="s">
        <v>23</v>
      </c>
      <c r="N1754">
        <v>0</v>
      </c>
      <c r="O1754">
        <v>0</v>
      </c>
      <c r="P1754" t="s">
        <v>24</v>
      </c>
      <c r="Q1754" t="s">
        <v>33</v>
      </c>
      <c r="R1754" t="s">
        <v>29</v>
      </c>
      <c r="S1754" t="s">
        <v>37</v>
      </c>
      <c r="T1754" t="s">
        <v>28</v>
      </c>
      <c r="U1754">
        <f t="shared" si="27"/>
        <v>1</v>
      </c>
    </row>
    <row r="1755" spans="1:21" x14ac:dyDescent="0.2">
      <c r="A1755">
        <v>674</v>
      </c>
      <c r="B1755" t="s">
        <v>42</v>
      </c>
      <c r="C1755" t="s">
        <v>32</v>
      </c>
      <c r="D1755">
        <v>21</v>
      </c>
      <c r="E1755">
        <v>9</v>
      </c>
      <c r="F1755">
        <v>120150.39</v>
      </c>
      <c r="G1755">
        <v>2</v>
      </c>
      <c r="H1755" t="s">
        <v>22</v>
      </c>
      <c r="I1755" t="s">
        <v>22</v>
      </c>
      <c r="J1755">
        <v>33964.03</v>
      </c>
      <c r="K1755" t="s">
        <v>23</v>
      </c>
      <c r="L1755">
        <v>2.9439651281208689E-2</v>
      </c>
      <c r="M1755" t="s">
        <v>23</v>
      </c>
      <c r="N1755">
        <v>0</v>
      </c>
      <c r="O1755">
        <v>0</v>
      </c>
      <c r="P1755" t="s">
        <v>34</v>
      </c>
      <c r="Q1755" t="s">
        <v>36</v>
      </c>
      <c r="R1755" t="s">
        <v>26</v>
      </c>
      <c r="S1755" t="s">
        <v>27</v>
      </c>
      <c r="T1755" t="s">
        <v>35</v>
      </c>
      <c r="U1755">
        <f t="shared" si="27"/>
        <v>1</v>
      </c>
    </row>
    <row r="1756" spans="1:21" x14ac:dyDescent="0.2">
      <c r="A1756">
        <v>652</v>
      </c>
      <c r="B1756" t="s">
        <v>42</v>
      </c>
      <c r="C1756" t="s">
        <v>21</v>
      </c>
      <c r="D1756">
        <v>26</v>
      </c>
      <c r="E1756">
        <v>3</v>
      </c>
      <c r="F1756">
        <v>137998.20000000001</v>
      </c>
      <c r="G1756">
        <v>2</v>
      </c>
      <c r="H1756" t="s">
        <v>23</v>
      </c>
      <c r="I1756" t="s">
        <v>22</v>
      </c>
      <c r="J1756">
        <v>168989.77</v>
      </c>
      <c r="K1756" t="s">
        <v>23</v>
      </c>
      <c r="L1756">
        <v>3.2765468442191227E-2</v>
      </c>
      <c r="M1756" t="s">
        <v>23</v>
      </c>
      <c r="N1756">
        <v>0</v>
      </c>
      <c r="O1756">
        <v>0</v>
      </c>
      <c r="P1756" t="s">
        <v>34</v>
      </c>
      <c r="Q1756" t="s">
        <v>36</v>
      </c>
      <c r="R1756" t="s">
        <v>26</v>
      </c>
      <c r="S1756" t="s">
        <v>27</v>
      </c>
      <c r="T1756" t="s">
        <v>31</v>
      </c>
      <c r="U1756">
        <f t="shared" si="27"/>
        <v>1</v>
      </c>
    </row>
    <row r="1757" spans="1:21" x14ac:dyDescent="0.2">
      <c r="A1757">
        <v>685</v>
      </c>
      <c r="B1757" t="s">
        <v>20</v>
      </c>
      <c r="C1757" t="s">
        <v>21</v>
      </c>
      <c r="D1757">
        <v>31</v>
      </c>
      <c r="E1757">
        <v>7</v>
      </c>
      <c r="F1757">
        <v>122449.31</v>
      </c>
      <c r="G1757">
        <v>2</v>
      </c>
      <c r="H1757" t="s">
        <v>22</v>
      </c>
      <c r="I1757" t="s">
        <v>22</v>
      </c>
      <c r="J1757">
        <v>180769.55</v>
      </c>
      <c r="K1757" t="s">
        <v>23</v>
      </c>
      <c r="L1757">
        <v>4.1304703733489843E-2</v>
      </c>
      <c r="M1757" t="s">
        <v>23</v>
      </c>
      <c r="N1757">
        <v>0</v>
      </c>
      <c r="O1757">
        <v>0</v>
      </c>
      <c r="P1757" t="s">
        <v>34</v>
      </c>
      <c r="Q1757" t="s">
        <v>33</v>
      </c>
      <c r="R1757" t="s">
        <v>26</v>
      </c>
      <c r="S1757" t="s">
        <v>27</v>
      </c>
      <c r="T1757" t="s">
        <v>31</v>
      </c>
      <c r="U1757">
        <f t="shared" si="27"/>
        <v>1</v>
      </c>
    </row>
    <row r="1758" spans="1:21" x14ac:dyDescent="0.2">
      <c r="A1758">
        <v>675</v>
      </c>
      <c r="B1758" t="s">
        <v>20</v>
      </c>
      <c r="C1758" t="s">
        <v>32</v>
      </c>
      <c r="D1758">
        <v>50</v>
      </c>
      <c r="E1758">
        <v>1</v>
      </c>
      <c r="F1758">
        <v>133204.91</v>
      </c>
      <c r="G1758">
        <v>1</v>
      </c>
      <c r="H1758" t="s">
        <v>23</v>
      </c>
      <c r="I1758" t="s">
        <v>22</v>
      </c>
      <c r="J1758">
        <v>8270.06</v>
      </c>
      <c r="K1758" t="s">
        <v>23</v>
      </c>
      <c r="L1758">
        <v>0.2692536355854982</v>
      </c>
      <c r="M1758" t="s">
        <v>23</v>
      </c>
      <c r="N1758">
        <v>0</v>
      </c>
      <c r="O1758">
        <v>0</v>
      </c>
      <c r="P1758" t="s">
        <v>24</v>
      </c>
      <c r="Q1758" t="s">
        <v>25</v>
      </c>
      <c r="R1758" t="s">
        <v>26</v>
      </c>
      <c r="S1758" t="s">
        <v>27</v>
      </c>
      <c r="T1758" t="s">
        <v>35</v>
      </c>
      <c r="U1758">
        <f t="shared" si="27"/>
        <v>1</v>
      </c>
    </row>
    <row r="1759" spans="1:21" x14ac:dyDescent="0.2">
      <c r="A1759">
        <v>558</v>
      </c>
      <c r="B1759" t="s">
        <v>42</v>
      </c>
      <c r="C1759" t="s">
        <v>21</v>
      </c>
      <c r="D1759">
        <v>33</v>
      </c>
      <c r="E1759">
        <v>0</v>
      </c>
      <c r="F1759">
        <v>108477.49</v>
      </c>
      <c r="G1759">
        <v>1</v>
      </c>
      <c r="H1759" t="s">
        <v>22</v>
      </c>
      <c r="I1759" t="s">
        <v>22</v>
      </c>
      <c r="J1759">
        <v>109096.71</v>
      </c>
      <c r="K1759" t="s">
        <v>22</v>
      </c>
      <c r="L1759">
        <v>5.8343372196787771E-2</v>
      </c>
      <c r="M1759" t="s">
        <v>23</v>
      </c>
      <c r="N1759">
        <v>1</v>
      </c>
      <c r="O1759">
        <v>0</v>
      </c>
      <c r="P1759" t="s">
        <v>34</v>
      </c>
      <c r="Q1759" t="s">
        <v>33</v>
      </c>
      <c r="R1759" t="s">
        <v>26</v>
      </c>
      <c r="S1759" t="s">
        <v>30</v>
      </c>
      <c r="T1759" t="s">
        <v>28</v>
      </c>
      <c r="U1759">
        <f t="shared" si="27"/>
        <v>0</v>
      </c>
    </row>
    <row r="1760" spans="1:21" x14ac:dyDescent="0.2">
      <c r="A1760">
        <v>557</v>
      </c>
      <c r="B1760" t="s">
        <v>20</v>
      </c>
      <c r="C1760" t="s">
        <v>21</v>
      </c>
      <c r="D1760">
        <v>36</v>
      </c>
      <c r="E1760">
        <v>1</v>
      </c>
      <c r="F1760">
        <v>113110.26</v>
      </c>
      <c r="G1760">
        <v>1</v>
      </c>
      <c r="H1760" t="s">
        <v>22</v>
      </c>
      <c r="I1760" t="s">
        <v>23</v>
      </c>
      <c r="J1760">
        <v>98413.1</v>
      </c>
      <c r="K1760" t="s">
        <v>23</v>
      </c>
      <c r="L1760">
        <v>0.19091269596803151</v>
      </c>
      <c r="M1760" t="s">
        <v>23</v>
      </c>
      <c r="N1760">
        <v>0</v>
      </c>
      <c r="O1760">
        <v>0</v>
      </c>
      <c r="P1760" t="s">
        <v>34</v>
      </c>
      <c r="Q1760" t="s">
        <v>33</v>
      </c>
      <c r="R1760" t="s">
        <v>26</v>
      </c>
      <c r="S1760" t="s">
        <v>30</v>
      </c>
      <c r="T1760" t="s">
        <v>40</v>
      </c>
      <c r="U1760">
        <f t="shared" si="27"/>
        <v>1</v>
      </c>
    </row>
    <row r="1761" spans="1:21" x14ac:dyDescent="0.2">
      <c r="A1761">
        <v>695</v>
      </c>
      <c r="B1761" t="s">
        <v>20</v>
      </c>
      <c r="C1761" t="s">
        <v>21</v>
      </c>
      <c r="D1761">
        <v>35</v>
      </c>
      <c r="E1761">
        <v>7</v>
      </c>
      <c r="F1761">
        <v>0</v>
      </c>
      <c r="G1761">
        <v>2</v>
      </c>
      <c r="H1761" t="s">
        <v>22</v>
      </c>
      <c r="I1761" t="s">
        <v>23</v>
      </c>
      <c r="J1761">
        <v>160387.98000000001</v>
      </c>
      <c r="K1761" t="s">
        <v>23</v>
      </c>
      <c r="L1761">
        <v>0.1096377370680466</v>
      </c>
      <c r="M1761" t="s">
        <v>23</v>
      </c>
      <c r="N1761">
        <v>0</v>
      </c>
      <c r="O1761">
        <v>0</v>
      </c>
      <c r="P1761" t="s">
        <v>34</v>
      </c>
      <c r="Q1761" t="s">
        <v>33</v>
      </c>
      <c r="R1761" t="s">
        <v>29</v>
      </c>
      <c r="S1761" t="s">
        <v>27</v>
      </c>
      <c r="T1761" t="s">
        <v>31</v>
      </c>
      <c r="U1761">
        <f t="shared" si="27"/>
        <v>1</v>
      </c>
    </row>
    <row r="1762" spans="1:21" x14ac:dyDescent="0.2">
      <c r="A1762">
        <v>664</v>
      </c>
      <c r="B1762" t="s">
        <v>42</v>
      </c>
      <c r="C1762" t="s">
        <v>32</v>
      </c>
      <c r="D1762">
        <v>38</v>
      </c>
      <c r="E1762">
        <v>4</v>
      </c>
      <c r="F1762">
        <v>74306.19</v>
      </c>
      <c r="G1762">
        <v>2</v>
      </c>
      <c r="H1762" t="s">
        <v>22</v>
      </c>
      <c r="I1762" t="s">
        <v>23</v>
      </c>
      <c r="J1762">
        <v>154395.56</v>
      </c>
      <c r="K1762" t="s">
        <v>23</v>
      </c>
      <c r="L1762">
        <v>0.25098619778414111</v>
      </c>
      <c r="M1762" t="s">
        <v>23</v>
      </c>
      <c r="N1762">
        <v>0</v>
      </c>
      <c r="O1762">
        <v>0</v>
      </c>
      <c r="P1762" t="s">
        <v>24</v>
      </c>
      <c r="Q1762" t="s">
        <v>33</v>
      </c>
      <c r="R1762" t="s">
        <v>38</v>
      </c>
      <c r="S1762" t="s">
        <v>27</v>
      </c>
      <c r="T1762" t="s">
        <v>31</v>
      </c>
      <c r="U1762">
        <f t="shared" si="27"/>
        <v>1</v>
      </c>
    </row>
    <row r="1763" spans="1:21" x14ac:dyDescent="0.2">
      <c r="A1763">
        <v>500</v>
      </c>
      <c r="B1763" t="s">
        <v>20</v>
      </c>
      <c r="C1763" t="s">
        <v>32</v>
      </c>
      <c r="D1763">
        <v>50</v>
      </c>
      <c r="E1763">
        <v>5</v>
      </c>
      <c r="F1763">
        <v>0</v>
      </c>
      <c r="G1763">
        <v>4</v>
      </c>
      <c r="H1763" t="s">
        <v>22</v>
      </c>
      <c r="I1763" t="s">
        <v>22</v>
      </c>
      <c r="J1763">
        <v>83866.350000000006</v>
      </c>
      <c r="K1763" t="s">
        <v>22</v>
      </c>
      <c r="L1763">
        <v>0.167646696103499</v>
      </c>
      <c r="M1763" t="s">
        <v>23</v>
      </c>
      <c r="N1763">
        <v>1</v>
      </c>
      <c r="O1763">
        <v>0</v>
      </c>
      <c r="P1763" t="s">
        <v>34</v>
      </c>
      <c r="Q1763" t="s">
        <v>25</v>
      </c>
      <c r="R1763" t="s">
        <v>29</v>
      </c>
      <c r="S1763" t="s">
        <v>45</v>
      </c>
      <c r="T1763" t="s">
        <v>40</v>
      </c>
      <c r="U1763">
        <f t="shared" si="27"/>
        <v>0</v>
      </c>
    </row>
    <row r="1764" spans="1:21" x14ac:dyDescent="0.2">
      <c r="A1764">
        <v>708</v>
      </c>
      <c r="B1764" t="s">
        <v>20</v>
      </c>
      <c r="C1764" t="s">
        <v>21</v>
      </c>
      <c r="D1764">
        <v>38</v>
      </c>
      <c r="E1764">
        <v>8</v>
      </c>
      <c r="F1764">
        <v>99640.89</v>
      </c>
      <c r="G1764">
        <v>1</v>
      </c>
      <c r="H1764" t="s">
        <v>22</v>
      </c>
      <c r="I1764" t="s">
        <v>23</v>
      </c>
      <c r="J1764">
        <v>12429.22</v>
      </c>
      <c r="K1764" t="s">
        <v>23</v>
      </c>
      <c r="L1764">
        <v>0.16490508609476959</v>
      </c>
      <c r="M1764" t="s">
        <v>23</v>
      </c>
      <c r="N1764">
        <v>0</v>
      </c>
      <c r="O1764">
        <v>0</v>
      </c>
      <c r="P1764" t="s">
        <v>34</v>
      </c>
      <c r="Q1764" t="s">
        <v>33</v>
      </c>
      <c r="R1764" t="s">
        <v>38</v>
      </c>
      <c r="S1764" t="s">
        <v>37</v>
      </c>
      <c r="T1764" t="s">
        <v>35</v>
      </c>
      <c r="U1764">
        <f t="shared" si="27"/>
        <v>1</v>
      </c>
    </row>
    <row r="1765" spans="1:21" x14ac:dyDescent="0.2">
      <c r="A1765">
        <v>681</v>
      </c>
      <c r="B1765" t="s">
        <v>42</v>
      </c>
      <c r="C1765" t="s">
        <v>21</v>
      </c>
      <c r="D1765">
        <v>43</v>
      </c>
      <c r="E1765">
        <v>3</v>
      </c>
      <c r="F1765">
        <v>66338.679999999993</v>
      </c>
      <c r="G1765">
        <v>1</v>
      </c>
      <c r="H1765" t="s">
        <v>22</v>
      </c>
      <c r="I1765" t="s">
        <v>22</v>
      </c>
      <c r="J1765">
        <v>18772.5</v>
      </c>
      <c r="K1765" t="s">
        <v>22</v>
      </c>
      <c r="L1765">
        <v>8.7413596217938302E-2</v>
      </c>
      <c r="M1765" t="s">
        <v>23</v>
      </c>
      <c r="N1765">
        <v>1</v>
      </c>
      <c r="O1765">
        <v>0</v>
      </c>
      <c r="P1765" t="s">
        <v>34</v>
      </c>
      <c r="Q1765" t="s">
        <v>25</v>
      </c>
      <c r="R1765" t="s">
        <v>38</v>
      </c>
      <c r="S1765" t="s">
        <v>27</v>
      </c>
      <c r="T1765" t="s">
        <v>35</v>
      </c>
      <c r="U1765">
        <f t="shared" si="27"/>
        <v>0</v>
      </c>
    </row>
    <row r="1766" spans="1:21" x14ac:dyDescent="0.2">
      <c r="A1766">
        <v>624</v>
      </c>
      <c r="B1766" t="s">
        <v>42</v>
      </c>
      <c r="C1766" t="s">
        <v>21</v>
      </c>
      <c r="D1766">
        <v>36</v>
      </c>
      <c r="E1766">
        <v>6</v>
      </c>
      <c r="F1766">
        <v>0</v>
      </c>
      <c r="G1766">
        <v>2</v>
      </c>
      <c r="H1766" t="s">
        <v>23</v>
      </c>
      <c r="I1766" t="s">
        <v>23</v>
      </c>
      <c r="J1766">
        <v>84749.96</v>
      </c>
      <c r="K1766" t="s">
        <v>23</v>
      </c>
      <c r="L1766">
        <v>0.119198906542769</v>
      </c>
      <c r="M1766" t="s">
        <v>23</v>
      </c>
      <c r="N1766">
        <v>0</v>
      </c>
      <c r="O1766">
        <v>0</v>
      </c>
      <c r="P1766" t="s">
        <v>34</v>
      </c>
      <c r="Q1766" t="s">
        <v>33</v>
      </c>
      <c r="R1766" t="s">
        <v>29</v>
      </c>
      <c r="S1766" t="s">
        <v>27</v>
      </c>
      <c r="T1766" t="s">
        <v>40</v>
      </c>
      <c r="U1766">
        <f t="shared" si="27"/>
        <v>1</v>
      </c>
    </row>
    <row r="1767" spans="1:21" x14ac:dyDescent="0.2">
      <c r="A1767">
        <v>813</v>
      </c>
      <c r="B1767" t="s">
        <v>41</v>
      </c>
      <c r="C1767" t="s">
        <v>21</v>
      </c>
      <c r="D1767">
        <v>59</v>
      </c>
      <c r="E1767">
        <v>2</v>
      </c>
      <c r="F1767">
        <v>135078.41</v>
      </c>
      <c r="G1767">
        <v>1</v>
      </c>
      <c r="H1767" t="s">
        <v>22</v>
      </c>
      <c r="I1767" t="s">
        <v>23</v>
      </c>
      <c r="J1767">
        <v>187636.06</v>
      </c>
      <c r="K1767" t="s">
        <v>22</v>
      </c>
      <c r="L1767">
        <v>0.71454725891183923</v>
      </c>
      <c r="M1767" t="s">
        <v>22</v>
      </c>
      <c r="N1767">
        <v>1</v>
      </c>
      <c r="O1767">
        <v>1</v>
      </c>
      <c r="P1767" t="s">
        <v>43</v>
      </c>
      <c r="Q1767" t="s">
        <v>44</v>
      </c>
      <c r="R1767" t="s">
        <v>26</v>
      </c>
      <c r="S1767" t="s">
        <v>39</v>
      </c>
      <c r="T1767" t="s">
        <v>31</v>
      </c>
      <c r="U1767">
        <f t="shared" si="27"/>
        <v>1</v>
      </c>
    </row>
    <row r="1768" spans="1:21" x14ac:dyDescent="0.2">
      <c r="A1768">
        <v>685</v>
      </c>
      <c r="B1768" t="s">
        <v>42</v>
      </c>
      <c r="C1768" t="s">
        <v>21</v>
      </c>
      <c r="D1768">
        <v>30</v>
      </c>
      <c r="E1768">
        <v>2</v>
      </c>
      <c r="F1768">
        <v>0</v>
      </c>
      <c r="G1768">
        <v>2</v>
      </c>
      <c r="H1768" t="s">
        <v>22</v>
      </c>
      <c r="I1768" t="s">
        <v>22</v>
      </c>
      <c r="J1768">
        <v>140889.32</v>
      </c>
      <c r="K1768" t="s">
        <v>23</v>
      </c>
      <c r="L1768">
        <v>2.9376321799131511E-2</v>
      </c>
      <c r="M1768" t="s">
        <v>23</v>
      </c>
      <c r="N1768">
        <v>0</v>
      </c>
      <c r="O1768">
        <v>0</v>
      </c>
      <c r="P1768" t="s">
        <v>34</v>
      </c>
      <c r="Q1768" t="s">
        <v>36</v>
      </c>
      <c r="R1768" t="s">
        <v>29</v>
      </c>
      <c r="S1768" t="s">
        <v>27</v>
      </c>
      <c r="T1768" t="s">
        <v>28</v>
      </c>
      <c r="U1768">
        <f t="shared" si="27"/>
        <v>1</v>
      </c>
    </row>
    <row r="1769" spans="1:21" x14ac:dyDescent="0.2">
      <c r="A1769">
        <v>812</v>
      </c>
      <c r="B1769" t="s">
        <v>20</v>
      </c>
      <c r="C1769" t="s">
        <v>32</v>
      </c>
      <c r="D1769">
        <v>24</v>
      </c>
      <c r="E1769">
        <v>1</v>
      </c>
      <c r="F1769">
        <v>92476.88</v>
      </c>
      <c r="G1769">
        <v>1</v>
      </c>
      <c r="H1769" t="s">
        <v>23</v>
      </c>
      <c r="I1769" t="s">
        <v>23</v>
      </c>
      <c r="J1769">
        <v>83247.14</v>
      </c>
      <c r="K1769" t="s">
        <v>23</v>
      </c>
      <c r="L1769">
        <v>0.1201694167056617</v>
      </c>
      <c r="M1769" t="s">
        <v>23</v>
      </c>
      <c r="N1769">
        <v>0</v>
      </c>
      <c r="O1769">
        <v>0</v>
      </c>
      <c r="P1769" t="s">
        <v>34</v>
      </c>
      <c r="Q1769" t="s">
        <v>36</v>
      </c>
      <c r="R1769" t="s">
        <v>38</v>
      </c>
      <c r="S1769" t="s">
        <v>39</v>
      </c>
      <c r="T1769" t="s">
        <v>40</v>
      </c>
      <c r="U1769">
        <f t="shared" si="27"/>
        <v>1</v>
      </c>
    </row>
    <row r="1770" spans="1:21" x14ac:dyDescent="0.2">
      <c r="A1770">
        <v>680</v>
      </c>
      <c r="B1770" t="s">
        <v>42</v>
      </c>
      <c r="C1770" t="s">
        <v>32</v>
      </c>
      <c r="D1770">
        <v>32</v>
      </c>
      <c r="E1770">
        <v>5</v>
      </c>
      <c r="F1770">
        <v>0</v>
      </c>
      <c r="G1770">
        <v>1</v>
      </c>
      <c r="H1770" t="s">
        <v>22</v>
      </c>
      <c r="I1770" t="s">
        <v>22</v>
      </c>
      <c r="J1770">
        <v>150684.23000000001</v>
      </c>
      <c r="K1770" t="s">
        <v>23</v>
      </c>
      <c r="L1770">
        <v>6.0137432373854563E-2</v>
      </c>
      <c r="M1770" t="s">
        <v>23</v>
      </c>
      <c r="N1770">
        <v>0</v>
      </c>
      <c r="O1770">
        <v>0</v>
      </c>
      <c r="P1770" t="s">
        <v>34</v>
      </c>
      <c r="Q1770" t="s">
        <v>33</v>
      </c>
      <c r="R1770" t="s">
        <v>29</v>
      </c>
      <c r="S1770" t="s">
        <v>27</v>
      </c>
      <c r="T1770" t="s">
        <v>31</v>
      </c>
      <c r="U1770">
        <f t="shared" si="27"/>
        <v>1</v>
      </c>
    </row>
    <row r="1771" spans="1:21" x14ac:dyDescent="0.2">
      <c r="A1771">
        <v>485</v>
      </c>
      <c r="B1771" t="s">
        <v>42</v>
      </c>
      <c r="C1771" t="s">
        <v>32</v>
      </c>
      <c r="D1771">
        <v>39</v>
      </c>
      <c r="E1771">
        <v>2</v>
      </c>
      <c r="F1771">
        <v>75339.64</v>
      </c>
      <c r="G1771">
        <v>1</v>
      </c>
      <c r="H1771" t="s">
        <v>22</v>
      </c>
      <c r="I1771" t="s">
        <v>22</v>
      </c>
      <c r="J1771">
        <v>70665.16</v>
      </c>
      <c r="K1771" t="s">
        <v>23</v>
      </c>
      <c r="L1771">
        <v>0.13166845023402671</v>
      </c>
      <c r="M1771" t="s">
        <v>23</v>
      </c>
      <c r="N1771">
        <v>0</v>
      </c>
      <c r="O1771">
        <v>0</v>
      </c>
      <c r="P1771" t="s">
        <v>34</v>
      </c>
      <c r="Q1771" t="s">
        <v>33</v>
      </c>
      <c r="R1771" t="s">
        <v>38</v>
      </c>
      <c r="S1771" t="s">
        <v>45</v>
      </c>
      <c r="T1771" t="s">
        <v>40</v>
      </c>
      <c r="U1771">
        <f t="shared" si="27"/>
        <v>1</v>
      </c>
    </row>
    <row r="1772" spans="1:21" x14ac:dyDescent="0.2">
      <c r="A1772">
        <v>584</v>
      </c>
      <c r="B1772" t="s">
        <v>42</v>
      </c>
      <c r="C1772" t="s">
        <v>32</v>
      </c>
      <c r="D1772">
        <v>41</v>
      </c>
      <c r="E1772">
        <v>3</v>
      </c>
      <c r="F1772">
        <v>0</v>
      </c>
      <c r="G1772">
        <v>2</v>
      </c>
      <c r="H1772" t="s">
        <v>22</v>
      </c>
      <c r="I1772" t="s">
        <v>22</v>
      </c>
      <c r="J1772">
        <v>160095.48000000001</v>
      </c>
      <c r="K1772" t="s">
        <v>23</v>
      </c>
      <c r="L1772">
        <v>0.11150398267257169</v>
      </c>
      <c r="M1772" t="s">
        <v>23</v>
      </c>
      <c r="N1772">
        <v>0</v>
      </c>
      <c r="O1772">
        <v>0</v>
      </c>
      <c r="P1772" t="s">
        <v>34</v>
      </c>
      <c r="Q1772" t="s">
        <v>25</v>
      </c>
      <c r="R1772" t="s">
        <v>29</v>
      </c>
      <c r="S1772" t="s">
        <v>30</v>
      </c>
      <c r="T1772" t="s">
        <v>31</v>
      </c>
      <c r="U1772">
        <f t="shared" si="27"/>
        <v>1</v>
      </c>
    </row>
    <row r="1773" spans="1:21" x14ac:dyDescent="0.2">
      <c r="A1773">
        <v>520</v>
      </c>
      <c r="B1773" t="s">
        <v>42</v>
      </c>
      <c r="C1773" t="s">
        <v>21</v>
      </c>
      <c r="D1773">
        <v>35</v>
      </c>
      <c r="E1773">
        <v>9</v>
      </c>
      <c r="F1773">
        <v>105387.89</v>
      </c>
      <c r="G1773">
        <v>1</v>
      </c>
      <c r="H1773" t="s">
        <v>22</v>
      </c>
      <c r="I1773" t="s">
        <v>22</v>
      </c>
      <c r="J1773">
        <v>25059.06</v>
      </c>
      <c r="K1773" t="s">
        <v>23</v>
      </c>
      <c r="L1773">
        <v>5.5194568360322313E-2</v>
      </c>
      <c r="M1773" t="s">
        <v>23</v>
      </c>
      <c r="N1773">
        <v>0</v>
      </c>
      <c r="O1773">
        <v>0</v>
      </c>
      <c r="P1773" t="s">
        <v>34</v>
      </c>
      <c r="Q1773" t="s">
        <v>33</v>
      </c>
      <c r="R1773" t="s">
        <v>26</v>
      </c>
      <c r="S1773" t="s">
        <v>30</v>
      </c>
      <c r="T1773" t="s">
        <v>35</v>
      </c>
      <c r="U1773">
        <f t="shared" si="27"/>
        <v>1</v>
      </c>
    </row>
    <row r="1774" spans="1:21" x14ac:dyDescent="0.2">
      <c r="A1774">
        <v>557</v>
      </c>
      <c r="B1774" t="s">
        <v>42</v>
      </c>
      <c r="C1774" t="s">
        <v>21</v>
      </c>
      <c r="D1774">
        <v>36</v>
      </c>
      <c r="E1774">
        <v>3</v>
      </c>
      <c r="F1774">
        <v>0</v>
      </c>
      <c r="G1774">
        <v>1</v>
      </c>
      <c r="H1774" t="s">
        <v>23</v>
      </c>
      <c r="I1774" t="s">
        <v>22</v>
      </c>
      <c r="J1774">
        <v>144078.01999999999</v>
      </c>
      <c r="K1774" t="s">
        <v>23</v>
      </c>
      <c r="L1774">
        <v>5.4818344863821318E-2</v>
      </c>
      <c r="M1774" t="s">
        <v>23</v>
      </c>
      <c r="N1774">
        <v>0</v>
      </c>
      <c r="O1774">
        <v>0</v>
      </c>
      <c r="P1774" t="s">
        <v>34</v>
      </c>
      <c r="Q1774" t="s">
        <v>33</v>
      </c>
      <c r="R1774" t="s">
        <v>29</v>
      </c>
      <c r="S1774" t="s">
        <v>30</v>
      </c>
      <c r="T1774" t="s">
        <v>28</v>
      </c>
      <c r="U1774">
        <f t="shared" si="27"/>
        <v>1</v>
      </c>
    </row>
    <row r="1775" spans="1:21" x14ac:dyDescent="0.2">
      <c r="A1775">
        <v>613</v>
      </c>
      <c r="B1775" t="s">
        <v>20</v>
      </c>
      <c r="C1775" t="s">
        <v>32</v>
      </c>
      <c r="D1775">
        <v>32</v>
      </c>
      <c r="E1775">
        <v>0</v>
      </c>
      <c r="F1775">
        <v>0</v>
      </c>
      <c r="G1775">
        <v>2</v>
      </c>
      <c r="H1775" t="s">
        <v>23</v>
      </c>
      <c r="I1775" t="s">
        <v>22</v>
      </c>
      <c r="J1775">
        <v>126675.62</v>
      </c>
      <c r="K1775" t="s">
        <v>23</v>
      </c>
      <c r="L1775">
        <v>6.5977781072344463E-2</v>
      </c>
      <c r="M1775" t="s">
        <v>23</v>
      </c>
      <c r="N1775">
        <v>0</v>
      </c>
      <c r="O1775">
        <v>0</v>
      </c>
      <c r="P1775" t="s">
        <v>34</v>
      </c>
      <c r="Q1775" t="s">
        <v>33</v>
      </c>
      <c r="R1775" t="s">
        <v>29</v>
      </c>
      <c r="S1775" t="s">
        <v>27</v>
      </c>
      <c r="T1775" t="s">
        <v>28</v>
      </c>
      <c r="U1775">
        <f t="shared" si="27"/>
        <v>1</v>
      </c>
    </row>
    <row r="1776" spans="1:21" x14ac:dyDescent="0.2">
      <c r="A1776">
        <v>657</v>
      </c>
      <c r="B1776" t="s">
        <v>41</v>
      </c>
      <c r="C1776" t="s">
        <v>32</v>
      </c>
      <c r="D1776">
        <v>48</v>
      </c>
      <c r="E1776">
        <v>5</v>
      </c>
      <c r="F1776">
        <v>143595.87</v>
      </c>
      <c r="G1776">
        <v>1</v>
      </c>
      <c r="H1776" t="s">
        <v>23</v>
      </c>
      <c r="I1776" t="s">
        <v>23</v>
      </c>
      <c r="J1776">
        <v>101314.65</v>
      </c>
      <c r="K1776" t="s">
        <v>22</v>
      </c>
      <c r="L1776">
        <v>0.66946261240358595</v>
      </c>
      <c r="M1776" t="s">
        <v>22</v>
      </c>
      <c r="N1776">
        <v>1</v>
      </c>
      <c r="O1776">
        <v>1</v>
      </c>
      <c r="P1776" t="s">
        <v>43</v>
      </c>
      <c r="Q1776" t="s">
        <v>25</v>
      </c>
      <c r="R1776" t="s">
        <v>26</v>
      </c>
      <c r="S1776" t="s">
        <v>27</v>
      </c>
      <c r="T1776" t="s">
        <v>28</v>
      </c>
      <c r="U1776">
        <f t="shared" si="27"/>
        <v>1</v>
      </c>
    </row>
    <row r="1777" spans="1:21" x14ac:dyDescent="0.2">
      <c r="A1777">
        <v>623</v>
      </c>
      <c r="B1777" t="s">
        <v>42</v>
      </c>
      <c r="C1777" t="s">
        <v>32</v>
      </c>
      <c r="D1777">
        <v>24</v>
      </c>
      <c r="E1777">
        <v>7</v>
      </c>
      <c r="F1777">
        <v>148167.82999999999</v>
      </c>
      <c r="G1777">
        <v>2</v>
      </c>
      <c r="H1777" t="s">
        <v>22</v>
      </c>
      <c r="I1777" t="s">
        <v>22</v>
      </c>
      <c r="J1777">
        <v>109470.34</v>
      </c>
      <c r="K1777" t="s">
        <v>23</v>
      </c>
      <c r="L1777">
        <v>4.3780101868569697E-2</v>
      </c>
      <c r="M1777" t="s">
        <v>23</v>
      </c>
      <c r="N1777">
        <v>0</v>
      </c>
      <c r="O1777">
        <v>0</v>
      </c>
      <c r="P1777" t="s">
        <v>34</v>
      </c>
      <c r="Q1777" t="s">
        <v>36</v>
      </c>
      <c r="R1777" t="s">
        <v>26</v>
      </c>
      <c r="S1777" t="s">
        <v>27</v>
      </c>
      <c r="T1777" t="s">
        <v>28</v>
      </c>
      <c r="U1777">
        <f t="shared" si="27"/>
        <v>1</v>
      </c>
    </row>
    <row r="1778" spans="1:21" x14ac:dyDescent="0.2">
      <c r="A1778">
        <v>570</v>
      </c>
      <c r="B1778" t="s">
        <v>42</v>
      </c>
      <c r="C1778" t="s">
        <v>32</v>
      </c>
      <c r="D1778">
        <v>36</v>
      </c>
      <c r="E1778">
        <v>3</v>
      </c>
      <c r="F1778">
        <v>0</v>
      </c>
      <c r="G1778">
        <v>2</v>
      </c>
      <c r="H1778" t="s">
        <v>22</v>
      </c>
      <c r="I1778" t="s">
        <v>23</v>
      </c>
      <c r="J1778">
        <v>92118.75</v>
      </c>
      <c r="K1778" t="s">
        <v>23</v>
      </c>
      <c r="L1778">
        <v>0.2003821594123219</v>
      </c>
      <c r="M1778" t="s">
        <v>23</v>
      </c>
      <c r="N1778">
        <v>0</v>
      </c>
      <c r="O1778">
        <v>0</v>
      </c>
      <c r="P1778" t="s">
        <v>24</v>
      </c>
      <c r="Q1778" t="s">
        <v>33</v>
      </c>
      <c r="R1778" t="s">
        <v>29</v>
      </c>
      <c r="S1778" t="s">
        <v>30</v>
      </c>
      <c r="T1778" t="s">
        <v>40</v>
      </c>
      <c r="U1778">
        <f t="shared" si="27"/>
        <v>1</v>
      </c>
    </row>
    <row r="1779" spans="1:21" x14ac:dyDescent="0.2">
      <c r="A1779">
        <v>678</v>
      </c>
      <c r="B1779" t="s">
        <v>42</v>
      </c>
      <c r="C1779" t="s">
        <v>32</v>
      </c>
      <c r="D1779">
        <v>55</v>
      </c>
      <c r="E1779">
        <v>5</v>
      </c>
      <c r="F1779">
        <v>0</v>
      </c>
      <c r="G1779">
        <v>1</v>
      </c>
      <c r="H1779" t="s">
        <v>23</v>
      </c>
      <c r="I1779" t="s">
        <v>22</v>
      </c>
      <c r="J1779">
        <v>196794.11</v>
      </c>
      <c r="K1779" t="s">
        <v>22</v>
      </c>
      <c r="L1779">
        <v>0.27133430797458669</v>
      </c>
      <c r="M1779" t="s">
        <v>23</v>
      </c>
      <c r="N1779">
        <v>1</v>
      </c>
      <c r="O1779">
        <v>0</v>
      </c>
      <c r="P1779" t="s">
        <v>24</v>
      </c>
      <c r="Q1779" t="s">
        <v>44</v>
      </c>
      <c r="R1779" t="s">
        <v>29</v>
      </c>
      <c r="S1779" t="s">
        <v>27</v>
      </c>
      <c r="T1779" t="s">
        <v>31</v>
      </c>
      <c r="U1779">
        <f t="shared" si="27"/>
        <v>0</v>
      </c>
    </row>
    <row r="1780" spans="1:21" x14ac:dyDescent="0.2">
      <c r="A1780">
        <v>772</v>
      </c>
      <c r="B1780" t="s">
        <v>42</v>
      </c>
      <c r="C1780" t="s">
        <v>21</v>
      </c>
      <c r="D1780">
        <v>34</v>
      </c>
      <c r="E1780">
        <v>9</v>
      </c>
      <c r="F1780">
        <v>0</v>
      </c>
      <c r="G1780">
        <v>2</v>
      </c>
      <c r="H1780" t="s">
        <v>22</v>
      </c>
      <c r="I1780" t="s">
        <v>23</v>
      </c>
      <c r="J1780">
        <v>170980.86</v>
      </c>
      <c r="K1780" t="s">
        <v>23</v>
      </c>
      <c r="L1780">
        <v>9.1635925654312597E-2</v>
      </c>
      <c r="M1780" t="s">
        <v>23</v>
      </c>
      <c r="N1780">
        <v>0</v>
      </c>
      <c r="O1780">
        <v>0</v>
      </c>
      <c r="P1780" t="s">
        <v>34</v>
      </c>
      <c r="Q1780" t="s">
        <v>33</v>
      </c>
      <c r="R1780" t="s">
        <v>29</v>
      </c>
      <c r="S1780" t="s">
        <v>37</v>
      </c>
      <c r="T1780" t="s">
        <v>31</v>
      </c>
      <c r="U1780">
        <f t="shared" si="27"/>
        <v>1</v>
      </c>
    </row>
    <row r="1781" spans="1:21" x14ac:dyDescent="0.2">
      <c r="A1781">
        <v>667</v>
      </c>
      <c r="B1781" t="s">
        <v>42</v>
      </c>
      <c r="C1781" t="s">
        <v>32</v>
      </c>
      <c r="D1781">
        <v>37</v>
      </c>
      <c r="E1781">
        <v>9</v>
      </c>
      <c r="F1781">
        <v>71786.899999999994</v>
      </c>
      <c r="G1781">
        <v>2</v>
      </c>
      <c r="H1781" t="s">
        <v>22</v>
      </c>
      <c r="I1781" t="s">
        <v>22</v>
      </c>
      <c r="J1781">
        <v>67734.789999999994</v>
      </c>
      <c r="K1781" t="s">
        <v>23</v>
      </c>
      <c r="L1781">
        <v>8.2167969500586316E-2</v>
      </c>
      <c r="M1781" t="s">
        <v>23</v>
      </c>
      <c r="N1781">
        <v>0</v>
      </c>
      <c r="O1781">
        <v>0</v>
      </c>
      <c r="P1781" t="s">
        <v>34</v>
      </c>
      <c r="Q1781" t="s">
        <v>33</v>
      </c>
      <c r="R1781" t="s">
        <v>38</v>
      </c>
      <c r="S1781" t="s">
        <v>27</v>
      </c>
      <c r="T1781" t="s">
        <v>40</v>
      </c>
      <c r="U1781">
        <f t="shared" si="27"/>
        <v>1</v>
      </c>
    </row>
    <row r="1782" spans="1:21" x14ac:dyDescent="0.2">
      <c r="A1782">
        <v>702</v>
      </c>
      <c r="B1782" t="s">
        <v>41</v>
      </c>
      <c r="C1782" t="s">
        <v>32</v>
      </c>
      <c r="D1782">
        <v>23</v>
      </c>
      <c r="E1782">
        <v>7</v>
      </c>
      <c r="F1782">
        <v>98775.23</v>
      </c>
      <c r="G1782">
        <v>1</v>
      </c>
      <c r="H1782" t="s">
        <v>22</v>
      </c>
      <c r="I1782" t="s">
        <v>23</v>
      </c>
      <c r="J1782">
        <v>114603.96</v>
      </c>
      <c r="K1782" t="s">
        <v>23</v>
      </c>
      <c r="L1782">
        <v>0.2049323368170575</v>
      </c>
      <c r="M1782" t="s">
        <v>23</v>
      </c>
      <c r="N1782">
        <v>0</v>
      </c>
      <c r="O1782">
        <v>0</v>
      </c>
      <c r="P1782" t="s">
        <v>24</v>
      </c>
      <c r="Q1782" t="s">
        <v>36</v>
      </c>
      <c r="R1782" t="s">
        <v>38</v>
      </c>
      <c r="S1782" t="s">
        <v>37</v>
      </c>
      <c r="T1782" t="s">
        <v>28</v>
      </c>
      <c r="U1782">
        <f t="shared" si="27"/>
        <v>1</v>
      </c>
    </row>
    <row r="1783" spans="1:21" x14ac:dyDescent="0.2">
      <c r="A1783">
        <v>664</v>
      </c>
      <c r="B1783" t="s">
        <v>42</v>
      </c>
      <c r="C1783" t="s">
        <v>21</v>
      </c>
      <c r="D1783">
        <v>54</v>
      </c>
      <c r="E1783">
        <v>8</v>
      </c>
      <c r="F1783">
        <v>0</v>
      </c>
      <c r="G1783">
        <v>1</v>
      </c>
      <c r="H1783" t="s">
        <v>22</v>
      </c>
      <c r="I1783" t="s">
        <v>22</v>
      </c>
      <c r="J1783">
        <v>162719.69</v>
      </c>
      <c r="K1783" t="s">
        <v>22</v>
      </c>
      <c r="L1783">
        <v>0.15312769001146051</v>
      </c>
      <c r="M1783" t="s">
        <v>23</v>
      </c>
      <c r="N1783">
        <v>1</v>
      </c>
      <c r="O1783">
        <v>0</v>
      </c>
      <c r="P1783" t="s">
        <v>34</v>
      </c>
      <c r="Q1783" t="s">
        <v>44</v>
      </c>
      <c r="R1783" t="s">
        <v>29</v>
      </c>
      <c r="S1783" t="s">
        <v>27</v>
      </c>
      <c r="T1783" t="s">
        <v>31</v>
      </c>
      <c r="U1783">
        <f t="shared" si="27"/>
        <v>0</v>
      </c>
    </row>
    <row r="1784" spans="1:21" x14ac:dyDescent="0.2">
      <c r="A1784">
        <v>518</v>
      </c>
      <c r="B1784" t="s">
        <v>20</v>
      </c>
      <c r="C1784" t="s">
        <v>21</v>
      </c>
      <c r="D1784">
        <v>50</v>
      </c>
      <c r="E1784">
        <v>4</v>
      </c>
      <c r="F1784">
        <v>0</v>
      </c>
      <c r="G1784">
        <v>1</v>
      </c>
      <c r="H1784" t="s">
        <v>23</v>
      </c>
      <c r="I1784" t="s">
        <v>23</v>
      </c>
      <c r="J1784">
        <v>107112.25</v>
      </c>
      <c r="K1784" t="s">
        <v>22</v>
      </c>
      <c r="L1784">
        <v>0.33256061831236028</v>
      </c>
      <c r="M1784" t="s">
        <v>23</v>
      </c>
      <c r="N1784">
        <v>1</v>
      </c>
      <c r="O1784">
        <v>0</v>
      </c>
      <c r="P1784" t="s">
        <v>24</v>
      </c>
      <c r="Q1784" t="s">
        <v>25</v>
      </c>
      <c r="R1784" t="s">
        <v>29</v>
      </c>
      <c r="S1784" t="s">
        <v>30</v>
      </c>
      <c r="T1784" t="s">
        <v>28</v>
      </c>
      <c r="U1784">
        <f t="shared" si="27"/>
        <v>0</v>
      </c>
    </row>
    <row r="1785" spans="1:21" x14ac:dyDescent="0.2">
      <c r="A1785">
        <v>728</v>
      </c>
      <c r="B1785" t="s">
        <v>20</v>
      </c>
      <c r="C1785" t="s">
        <v>21</v>
      </c>
      <c r="D1785">
        <v>42</v>
      </c>
      <c r="E1785">
        <v>8</v>
      </c>
      <c r="F1785">
        <v>0</v>
      </c>
      <c r="G1785">
        <v>2</v>
      </c>
      <c r="H1785" t="s">
        <v>23</v>
      </c>
      <c r="I1785" t="s">
        <v>22</v>
      </c>
      <c r="J1785">
        <v>41823.22</v>
      </c>
      <c r="K1785" t="s">
        <v>23</v>
      </c>
      <c r="L1785">
        <v>6.0476607548761462E-2</v>
      </c>
      <c r="M1785" t="s">
        <v>23</v>
      </c>
      <c r="N1785">
        <v>0</v>
      </c>
      <c r="O1785">
        <v>0</v>
      </c>
      <c r="P1785" t="s">
        <v>34</v>
      </c>
      <c r="Q1785" t="s">
        <v>25</v>
      </c>
      <c r="R1785" t="s">
        <v>29</v>
      </c>
      <c r="S1785" t="s">
        <v>37</v>
      </c>
      <c r="T1785" t="s">
        <v>35</v>
      </c>
      <c r="U1785">
        <f t="shared" si="27"/>
        <v>1</v>
      </c>
    </row>
    <row r="1786" spans="1:21" x14ac:dyDescent="0.2">
      <c r="A1786">
        <v>585</v>
      </c>
      <c r="B1786" t="s">
        <v>41</v>
      </c>
      <c r="C1786" t="s">
        <v>21</v>
      </c>
      <c r="D1786">
        <v>37</v>
      </c>
      <c r="E1786">
        <v>6</v>
      </c>
      <c r="F1786">
        <v>152496.82</v>
      </c>
      <c r="G1786">
        <v>1</v>
      </c>
      <c r="H1786" t="s">
        <v>22</v>
      </c>
      <c r="I1786" t="s">
        <v>22</v>
      </c>
      <c r="J1786">
        <v>99907.29</v>
      </c>
      <c r="K1786" t="s">
        <v>23</v>
      </c>
      <c r="L1786">
        <v>0.1511794032573317</v>
      </c>
      <c r="M1786" t="s">
        <v>23</v>
      </c>
      <c r="N1786">
        <v>0</v>
      </c>
      <c r="O1786">
        <v>0</v>
      </c>
      <c r="P1786" t="s">
        <v>34</v>
      </c>
      <c r="Q1786" t="s">
        <v>33</v>
      </c>
      <c r="R1786" t="s">
        <v>47</v>
      </c>
      <c r="S1786" t="s">
        <v>30</v>
      </c>
      <c r="T1786" t="s">
        <v>40</v>
      </c>
      <c r="U1786">
        <f t="shared" si="27"/>
        <v>1</v>
      </c>
    </row>
    <row r="1787" spans="1:21" x14ac:dyDescent="0.2">
      <c r="A1787">
        <v>573</v>
      </c>
      <c r="B1787" t="s">
        <v>42</v>
      </c>
      <c r="C1787" t="s">
        <v>21</v>
      </c>
      <c r="D1787">
        <v>52</v>
      </c>
      <c r="E1787">
        <v>8</v>
      </c>
      <c r="F1787">
        <v>0</v>
      </c>
      <c r="G1787">
        <v>2</v>
      </c>
      <c r="H1787" t="s">
        <v>23</v>
      </c>
      <c r="I1787" t="s">
        <v>22</v>
      </c>
      <c r="J1787">
        <v>178229.04</v>
      </c>
      <c r="K1787" t="s">
        <v>23</v>
      </c>
      <c r="L1787">
        <v>0.13493838587139159</v>
      </c>
      <c r="M1787" t="s">
        <v>23</v>
      </c>
      <c r="N1787">
        <v>0</v>
      </c>
      <c r="O1787">
        <v>0</v>
      </c>
      <c r="P1787" t="s">
        <v>34</v>
      </c>
      <c r="Q1787" t="s">
        <v>44</v>
      </c>
      <c r="R1787" t="s">
        <v>29</v>
      </c>
      <c r="S1787" t="s">
        <v>30</v>
      </c>
      <c r="T1787" t="s">
        <v>31</v>
      </c>
      <c r="U1787">
        <f t="shared" si="27"/>
        <v>1</v>
      </c>
    </row>
    <row r="1788" spans="1:21" x14ac:dyDescent="0.2">
      <c r="A1788">
        <v>568</v>
      </c>
      <c r="B1788" t="s">
        <v>41</v>
      </c>
      <c r="C1788" t="s">
        <v>21</v>
      </c>
      <c r="D1788">
        <v>26</v>
      </c>
      <c r="E1788">
        <v>1</v>
      </c>
      <c r="F1788">
        <v>112930.28</v>
      </c>
      <c r="G1788">
        <v>2</v>
      </c>
      <c r="H1788" t="s">
        <v>22</v>
      </c>
      <c r="I1788" t="s">
        <v>23</v>
      </c>
      <c r="J1788">
        <v>22095.73</v>
      </c>
      <c r="K1788" t="s">
        <v>23</v>
      </c>
      <c r="L1788">
        <v>0.16960589946327451</v>
      </c>
      <c r="M1788" t="s">
        <v>23</v>
      </c>
      <c r="N1788">
        <v>0</v>
      </c>
      <c r="O1788">
        <v>0</v>
      </c>
      <c r="P1788" t="s">
        <v>34</v>
      </c>
      <c r="Q1788" t="s">
        <v>36</v>
      </c>
      <c r="R1788" t="s">
        <v>26</v>
      </c>
      <c r="S1788" t="s">
        <v>30</v>
      </c>
      <c r="T1788" t="s">
        <v>35</v>
      </c>
      <c r="U1788">
        <f t="shared" si="27"/>
        <v>1</v>
      </c>
    </row>
    <row r="1789" spans="1:21" x14ac:dyDescent="0.2">
      <c r="A1789">
        <v>737</v>
      </c>
      <c r="B1789" t="s">
        <v>41</v>
      </c>
      <c r="C1789" t="s">
        <v>21</v>
      </c>
      <c r="D1789">
        <v>43</v>
      </c>
      <c r="E1789">
        <v>8</v>
      </c>
      <c r="F1789">
        <v>96353.8</v>
      </c>
      <c r="G1789">
        <v>1</v>
      </c>
      <c r="H1789" t="s">
        <v>23</v>
      </c>
      <c r="I1789" t="s">
        <v>23</v>
      </c>
      <c r="J1789">
        <v>10209.799999999999</v>
      </c>
      <c r="K1789" t="s">
        <v>23</v>
      </c>
      <c r="L1789">
        <v>0.37757715319407459</v>
      </c>
      <c r="M1789" t="s">
        <v>23</v>
      </c>
      <c r="N1789">
        <v>0</v>
      </c>
      <c r="O1789">
        <v>0</v>
      </c>
      <c r="P1789" t="s">
        <v>24</v>
      </c>
      <c r="Q1789" t="s">
        <v>25</v>
      </c>
      <c r="R1789" t="s">
        <v>38</v>
      </c>
      <c r="S1789" t="s">
        <v>37</v>
      </c>
      <c r="T1789" t="s">
        <v>35</v>
      </c>
      <c r="U1789">
        <f t="shared" si="27"/>
        <v>1</v>
      </c>
    </row>
    <row r="1790" spans="1:21" x14ac:dyDescent="0.2">
      <c r="A1790">
        <v>514</v>
      </c>
      <c r="B1790" t="s">
        <v>42</v>
      </c>
      <c r="C1790" t="s">
        <v>21</v>
      </c>
      <c r="D1790">
        <v>35</v>
      </c>
      <c r="E1790">
        <v>3</v>
      </c>
      <c r="F1790">
        <v>121030.9</v>
      </c>
      <c r="G1790">
        <v>1</v>
      </c>
      <c r="H1790" t="s">
        <v>22</v>
      </c>
      <c r="I1790" t="s">
        <v>23</v>
      </c>
      <c r="J1790">
        <v>10008.68</v>
      </c>
      <c r="K1790" t="s">
        <v>23</v>
      </c>
      <c r="L1790">
        <v>0.1686473316653862</v>
      </c>
      <c r="M1790" t="s">
        <v>23</v>
      </c>
      <c r="N1790">
        <v>0</v>
      </c>
      <c r="O1790">
        <v>0</v>
      </c>
      <c r="P1790" t="s">
        <v>34</v>
      </c>
      <c r="Q1790" t="s">
        <v>33</v>
      </c>
      <c r="R1790" t="s">
        <v>26</v>
      </c>
      <c r="S1790" t="s">
        <v>30</v>
      </c>
      <c r="T1790" t="s">
        <v>35</v>
      </c>
      <c r="U1790">
        <f t="shared" si="27"/>
        <v>1</v>
      </c>
    </row>
    <row r="1791" spans="1:21" x14ac:dyDescent="0.2">
      <c r="A1791">
        <v>673</v>
      </c>
      <c r="B1791" t="s">
        <v>20</v>
      </c>
      <c r="C1791" t="s">
        <v>32</v>
      </c>
      <c r="D1791">
        <v>35</v>
      </c>
      <c r="E1791">
        <v>6</v>
      </c>
      <c r="F1791">
        <v>0</v>
      </c>
      <c r="G1791">
        <v>2</v>
      </c>
      <c r="H1791" t="s">
        <v>22</v>
      </c>
      <c r="I1791" t="s">
        <v>23</v>
      </c>
      <c r="J1791">
        <v>98618.79</v>
      </c>
      <c r="K1791" t="s">
        <v>23</v>
      </c>
      <c r="L1791">
        <v>0.17559045167046941</v>
      </c>
      <c r="M1791" t="s">
        <v>23</v>
      </c>
      <c r="N1791">
        <v>0</v>
      </c>
      <c r="O1791">
        <v>0</v>
      </c>
      <c r="P1791" t="s">
        <v>34</v>
      </c>
      <c r="Q1791" t="s">
        <v>33</v>
      </c>
      <c r="R1791" t="s">
        <v>29</v>
      </c>
      <c r="S1791" t="s">
        <v>27</v>
      </c>
      <c r="T1791" t="s">
        <v>40</v>
      </c>
      <c r="U1791">
        <f t="shared" si="27"/>
        <v>1</v>
      </c>
    </row>
    <row r="1792" spans="1:21" x14ac:dyDescent="0.2">
      <c r="A1792">
        <v>766</v>
      </c>
      <c r="B1792" t="s">
        <v>20</v>
      </c>
      <c r="C1792" t="s">
        <v>21</v>
      </c>
      <c r="D1792">
        <v>36</v>
      </c>
      <c r="E1792">
        <v>5</v>
      </c>
      <c r="F1792">
        <v>78381.13</v>
      </c>
      <c r="G1792">
        <v>1</v>
      </c>
      <c r="H1792" t="s">
        <v>23</v>
      </c>
      <c r="I1792" t="s">
        <v>22</v>
      </c>
      <c r="J1792">
        <v>153831.6</v>
      </c>
      <c r="K1792" t="s">
        <v>23</v>
      </c>
      <c r="L1792">
        <v>5.8162285453053297E-2</v>
      </c>
      <c r="M1792" t="s">
        <v>23</v>
      </c>
      <c r="N1792">
        <v>0</v>
      </c>
      <c r="O1792">
        <v>0</v>
      </c>
      <c r="P1792" t="s">
        <v>34</v>
      </c>
      <c r="Q1792" t="s">
        <v>33</v>
      </c>
      <c r="R1792" t="s">
        <v>38</v>
      </c>
      <c r="S1792" t="s">
        <v>37</v>
      </c>
      <c r="T1792" t="s">
        <v>31</v>
      </c>
      <c r="U1792">
        <f t="shared" si="27"/>
        <v>1</v>
      </c>
    </row>
    <row r="1793" spans="1:21" x14ac:dyDescent="0.2">
      <c r="A1793">
        <v>784</v>
      </c>
      <c r="B1793" t="s">
        <v>41</v>
      </c>
      <c r="C1793" t="s">
        <v>21</v>
      </c>
      <c r="D1793">
        <v>28</v>
      </c>
      <c r="E1793">
        <v>2</v>
      </c>
      <c r="F1793">
        <v>109960.06</v>
      </c>
      <c r="G1793">
        <v>2</v>
      </c>
      <c r="H1793" t="s">
        <v>22</v>
      </c>
      <c r="I1793" t="s">
        <v>22</v>
      </c>
      <c r="J1793">
        <v>170829.87</v>
      </c>
      <c r="K1793" t="s">
        <v>23</v>
      </c>
      <c r="L1793">
        <v>6.7602221227819323E-2</v>
      </c>
      <c r="M1793" t="s">
        <v>23</v>
      </c>
      <c r="N1793">
        <v>0</v>
      </c>
      <c r="O1793">
        <v>0</v>
      </c>
      <c r="P1793" t="s">
        <v>34</v>
      </c>
      <c r="Q1793" t="s">
        <v>36</v>
      </c>
      <c r="R1793" t="s">
        <v>26</v>
      </c>
      <c r="S1793" t="s">
        <v>37</v>
      </c>
      <c r="T1793" t="s">
        <v>31</v>
      </c>
      <c r="U1793">
        <f t="shared" si="27"/>
        <v>1</v>
      </c>
    </row>
    <row r="1794" spans="1:21" x14ac:dyDescent="0.2">
      <c r="A1794">
        <v>547</v>
      </c>
      <c r="B1794" t="s">
        <v>42</v>
      </c>
      <c r="C1794" t="s">
        <v>32</v>
      </c>
      <c r="D1794">
        <v>35</v>
      </c>
      <c r="E1794">
        <v>4</v>
      </c>
      <c r="F1794">
        <v>0</v>
      </c>
      <c r="G1794">
        <v>1</v>
      </c>
      <c r="H1794" t="s">
        <v>22</v>
      </c>
      <c r="I1794" t="s">
        <v>22</v>
      </c>
      <c r="J1794">
        <v>133287.73000000001</v>
      </c>
      <c r="K1794" t="s">
        <v>23</v>
      </c>
      <c r="L1794">
        <v>8.1287008543255504E-2</v>
      </c>
      <c r="M1794" t="s">
        <v>23</v>
      </c>
      <c r="N1794">
        <v>0</v>
      </c>
      <c r="O1794">
        <v>0</v>
      </c>
      <c r="P1794" t="s">
        <v>34</v>
      </c>
      <c r="Q1794" t="s">
        <v>33</v>
      </c>
      <c r="R1794" t="s">
        <v>29</v>
      </c>
      <c r="S1794" t="s">
        <v>30</v>
      </c>
      <c r="T1794" t="s">
        <v>28</v>
      </c>
      <c r="U1794">
        <f t="shared" ref="U1794:U1857" si="28">IF(K1794=M1794,1,0)</f>
        <v>1</v>
      </c>
    </row>
    <row r="1795" spans="1:21" x14ac:dyDescent="0.2">
      <c r="A1795">
        <v>710</v>
      </c>
      <c r="B1795" t="s">
        <v>42</v>
      </c>
      <c r="C1795" t="s">
        <v>32</v>
      </c>
      <c r="D1795">
        <v>33</v>
      </c>
      <c r="E1795">
        <v>2</v>
      </c>
      <c r="F1795">
        <v>0</v>
      </c>
      <c r="G1795">
        <v>2</v>
      </c>
      <c r="H1795" t="s">
        <v>22</v>
      </c>
      <c r="I1795" t="s">
        <v>23</v>
      </c>
      <c r="J1795">
        <v>72945.320000000007</v>
      </c>
      <c r="K1795" t="s">
        <v>23</v>
      </c>
      <c r="L1795">
        <v>0.15528306303461639</v>
      </c>
      <c r="M1795" t="s">
        <v>23</v>
      </c>
      <c r="N1795">
        <v>0</v>
      </c>
      <c r="O1795">
        <v>0</v>
      </c>
      <c r="P1795" t="s">
        <v>34</v>
      </c>
      <c r="Q1795" t="s">
        <v>33</v>
      </c>
      <c r="R1795" t="s">
        <v>29</v>
      </c>
      <c r="S1795" t="s">
        <v>37</v>
      </c>
      <c r="T1795" t="s">
        <v>40</v>
      </c>
      <c r="U1795">
        <f t="shared" si="28"/>
        <v>1</v>
      </c>
    </row>
    <row r="1796" spans="1:21" x14ac:dyDescent="0.2">
      <c r="A1796">
        <v>605</v>
      </c>
      <c r="B1796" t="s">
        <v>42</v>
      </c>
      <c r="C1796" t="s">
        <v>21</v>
      </c>
      <c r="D1796">
        <v>36</v>
      </c>
      <c r="E1796">
        <v>7</v>
      </c>
      <c r="F1796">
        <v>128829.25</v>
      </c>
      <c r="G1796">
        <v>1</v>
      </c>
      <c r="H1796" t="s">
        <v>22</v>
      </c>
      <c r="I1796" t="s">
        <v>23</v>
      </c>
      <c r="J1796">
        <v>190588.59</v>
      </c>
      <c r="K1796" t="s">
        <v>23</v>
      </c>
      <c r="L1796">
        <v>0.17622114823274959</v>
      </c>
      <c r="M1796" t="s">
        <v>23</v>
      </c>
      <c r="N1796">
        <v>0</v>
      </c>
      <c r="O1796">
        <v>0</v>
      </c>
      <c r="P1796" t="s">
        <v>34</v>
      </c>
      <c r="Q1796" t="s">
        <v>33</v>
      </c>
      <c r="R1796" t="s">
        <v>26</v>
      </c>
      <c r="S1796" t="s">
        <v>27</v>
      </c>
      <c r="T1796" t="s">
        <v>31</v>
      </c>
      <c r="U1796">
        <f t="shared" si="28"/>
        <v>1</v>
      </c>
    </row>
    <row r="1797" spans="1:21" x14ac:dyDescent="0.2">
      <c r="A1797">
        <v>661</v>
      </c>
      <c r="B1797" t="s">
        <v>20</v>
      </c>
      <c r="C1797" t="s">
        <v>21</v>
      </c>
      <c r="D1797">
        <v>20</v>
      </c>
      <c r="E1797">
        <v>8</v>
      </c>
      <c r="F1797">
        <v>0</v>
      </c>
      <c r="G1797">
        <v>1</v>
      </c>
      <c r="H1797" t="s">
        <v>22</v>
      </c>
      <c r="I1797" t="s">
        <v>23</v>
      </c>
      <c r="J1797">
        <v>110252.53</v>
      </c>
      <c r="K1797" t="s">
        <v>23</v>
      </c>
      <c r="L1797">
        <v>4.2086482080259349E-2</v>
      </c>
      <c r="M1797" t="s">
        <v>23</v>
      </c>
      <c r="N1797">
        <v>0</v>
      </c>
      <c r="O1797">
        <v>0</v>
      </c>
      <c r="P1797" t="s">
        <v>34</v>
      </c>
      <c r="Q1797" t="s">
        <v>36</v>
      </c>
      <c r="R1797" t="s">
        <v>29</v>
      </c>
      <c r="S1797" t="s">
        <v>27</v>
      </c>
      <c r="T1797" t="s">
        <v>28</v>
      </c>
      <c r="U1797">
        <f t="shared" si="28"/>
        <v>1</v>
      </c>
    </row>
    <row r="1798" spans="1:21" x14ac:dyDescent="0.2">
      <c r="A1798">
        <v>577</v>
      </c>
      <c r="B1798" t="s">
        <v>20</v>
      </c>
      <c r="C1798" t="s">
        <v>21</v>
      </c>
      <c r="D1798">
        <v>31</v>
      </c>
      <c r="E1798">
        <v>6</v>
      </c>
      <c r="F1798">
        <v>0</v>
      </c>
      <c r="G1798">
        <v>1</v>
      </c>
      <c r="H1798" t="s">
        <v>22</v>
      </c>
      <c r="I1798" t="s">
        <v>22</v>
      </c>
      <c r="J1798">
        <v>196395.25</v>
      </c>
      <c r="K1798" t="s">
        <v>23</v>
      </c>
      <c r="L1798">
        <v>3.7145933955166743E-2</v>
      </c>
      <c r="M1798" t="s">
        <v>23</v>
      </c>
      <c r="N1798">
        <v>0</v>
      </c>
      <c r="O1798">
        <v>0</v>
      </c>
      <c r="P1798" t="s">
        <v>34</v>
      </c>
      <c r="Q1798" t="s">
        <v>33</v>
      </c>
      <c r="R1798" t="s">
        <v>29</v>
      </c>
      <c r="S1798" t="s">
        <v>30</v>
      </c>
      <c r="T1798" t="s">
        <v>31</v>
      </c>
      <c r="U1798">
        <f t="shared" si="28"/>
        <v>1</v>
      </c>
    </row>
    <row r="1799" spans="1:21" x14ac:dyDescent="0.2">
      <c r="A1799">
        <v>830</v>
      </c>
      <c r="B1799" t="s">
        <v>41</v>
      </c>
      <c r="C1799" t="s">
        <v>32</v>
      </c>
      <c r="D1799">
        <v>40</v>
      </c>
      <c r="E1799">
        <v>8</v>
      </c>
      <c r="F1799">
        <v>77701.64</v>
      </c>
      <c r="G1799">
        <v>1</v>
      </c>
      <c r="H1799" t="s">
        <v>23</v>
      </c>
      <c r="I1799" t="s">
        <v>22</v>
      </c>
      <c r="J1799">
        <v>19512.38</v>
      </c>
      <c r="K1799" t="s">
        <v>23</v>
      </c>
      <c r="L1799">
        <v>0.20233854929275241</v>
      </c>
      <c r="M1799" t="s">
        <v>23</v>
      </c>
      <c r="N1799">
        <v>0</v>
      </c>
      <c r="O1799">
        <v>0</v>
      </c>
      <c r="P1799" t="s">
        <v>24</v>
      </c>
      <c r="Q1799" t="s">
        <v>33</v>
      </c>
      <c r="R1799" t="s">
        <v>38</v>
      </c>
      <c r="S1799" t="s">
        <v>39</v>
      </c>
      <c r="T1799" t="s">
        <v>35</v>
      </c>
      <c r="U1799">
        <f t="shared" si="28"/>
        <v>1</v>
      </c>
    </row>
    <row r="1800" spans="1:21" x14ac:dyDescent="0.2">
      <c r="A1800">
        <v>718</v>
      </c>
      <c r="B1800" t="s">
        <v>20</v>
      </c>
      <c r="C1800" t="s">
        <v>21</v>
      </c>
      <c r="D1800">
        <v>34</v>
      </c>
      <c r="E1800">
        <v>5</v>
      </c>
      <c r="F1800">
        <v>113922.44</v>
      </c>
      <c r="G1800">
        <v>2</v>
      </c>
      <c r="H1800" t="s">
        <v>22</v>
      </c>
      <c r="I1800" t="s">
        <v>23</v>
      </c>
      <c r="J1800">
        <v>30772.22</v>
      </c>
      <c r="K1800" t="s">
        <v>23</v>
      </c>
      <c r="L1800">
        <v>0.1276340656250014</v>
      </c>
      <c r="M1800" t="s">
        <v>23</v>
      </c>
      <c r="N1800">
        <v>0</v>
      </c>
      <c r="O1800">
        <v>0</v>
      </c>
      <c r="P1800" t="s">
        <v>34</v>
      </c>
      <c r="Q1800" t="s">
        <v>33</v>
      </c>
      <c r="R1800" t="s">
        <v>26</v>
      </c>
      <c r="S1800" t="s">
        <v>37</v>
      </c>
      <c r="T1800" t="s">
        <v>35</v>
      </c>
      <c r="U1800">
        <f t="shared" si="28"/>
        <v>1</v>
      </c>
    </row>
    <row r="1801" spans="1:21" x14ac:dyDescent="0.2">
      <c r="A1801">
        <v>655</v>
      </c>
      <c r="B1801" t="s">
        <v>41</v>
      </c>
      <c r="C1801" t="s">
        <v>32</v>
      </c>
      <c r="D1801">
        <v>61</v>
      </c>
      <c r="E1801">
        <v>2</v>
      </c>
      <c r="F1801">
        <v>183997.7</v>
      </c>
      <c r="G1801">
        <v>2</v>
      </c>
      <c r="H1801" t="s">
        <v>22</v>
      </c>
      <c r="I1801" t="s">
        <v>22</v>
      </c>
      <c r="J1801">
        <v>161217.18</v>
      </c>
      <c r="K1801" t="s">
        <v>23</v>
      </c>
      <c r="L1801">
        <v>0.65496809553104696</v>
      </c>
      <c r="M1801" t="s">
        <v>22</v>
      </c>
      <c r="N1801">
        <v>0</v>
      </c>
      <c r="O1801">
        <v>1</v>
      </c>
      <c r="P1801" t="s">
        <v>43</v>
      </c>
      <c r="Q1801" t="s">
        <v>46</v>
      </c>
      <c r="R1801" t="s">
        <v>47</v>
      </c>
      <c r="S1801" t="s">
        <v>27</v>
      </c>
      <c r="T1801" t="s">
        <v>31</v>
      </c>
      <c r="U1801">
        <f t="shared" si="28"/>
        <v>0</v>
      </c>
    </row>
    <row r="1802" spans="1:21" x14ac:dyDescent="0.2">
      <c r="A1802">
        <v>712</v>
      </c>
      <c r="B1802" t="s">
        <v>42</v>
      </c>
      <c r="C1802" t="s">
        <v>21</v>
      </c>
      <c r="D1802">
        <v>23</v>
      </c>
      <c r="E1802">
        <v>2</v>
      </c>
      <c r="F1802">
        <v>0</v>
      </c>
      <c r="G1802">
        <v>2</v>
      </c>
      <c r="H1802" t="s">
        <v>23</v>
      </c>
      <c r="I1802" t="s">
        <v>22</v>
      </c>
      <c r="J1802">
        <v>66795.78</v>
      </c>
      <c r="K1802" t="s">
        <v>23</v>
      </c>
      <c r="L1802">
        <v>1.7231505025752221E-2</v>
      </c>
      <c r="M1802" t="s">
        <v>23</v>
      </c>
      <c r="N1802">
        <v>0</v>
      </c>
      <c r="O1802">
        <v>0</v>
      </c>
      <c r="P1802" t="s">
        <v>34</v>
      </c>
      <c r="Q1802" t="s">
        <v>36</v>
      </c>
      <c r="R1802" t="s">
        <v>29</v>
      </c>
      <c r="S1802" t="s">
        <v>37</v>
      </c>
      <c r="T1802" t="s">
        <v>40</v>
      </c>
      <c r="U1802">
        <f t="shared" si="28"/>
        <v>1</v>
      </c>
    </row>
    <row r="1803" spans="1:21" x14ac:dyDescent="0.2">
      <c r="A1803">
        <v>727</v>
      </c>
      <c r="B1803" t="s">
        <v>41</v>
      </c>
      <c r="C1803" t="s">
        <v>21</v>
      </c>
      <c r="D1803">
        <v>39</v>
      </c>
      <c r="E1803">
        <v>5</v>
      </c>
      <c r="F1803">
        <v>80615.460000000006</v>
      </c>
      <c r="G1803">
        <v>2</v>
      </c>
      <c r="H1803" t="s">
        <v>23</v>
      </c>
      <c r="I1803" t="s">
        <v>23</v>
      </c>
      <c r="J1803">
        <v>180962.32</v>
      </c>
      <c r="K1803" t="s">
        <v>23</v>
      </c>
      <c r="L1803">
        <v>0.31466469378449768</v>
      </c>
      <c r="M1803" t="s">
        <v>23</v>
      </c>
      <c r="N1803">
        <v>0</v>
      </c>
      <c r="O1803">
        <v>0</v>
      </c>
      <c r="P1803" t="s">
        <v>24</v>
      </c>
      <c r="Q1803" t="s">
        <v>33</v>
      </c>
      <c r="R1803" t="s">
        <v>38</v>
      </c>
      <c r="S1803" t="s">
        <v>37</v>
      </c>
      <c r="T1803" t="s">
        <v>31</v>
      </c>
      <c r="U1803">
        <f t="shared" si="28"/>
        <v>1</v>
      </c>
    </row>
    <row r="1804" spans="1:21" x14ac:dyDescent="0.2">
      <c r="A1804">
        <v>630</v>
      </c>
      <c r="B1804" t="s">
        <v>42</v>
      </c>
      <c r="C1804" t="s">
        <v>21</v>
      </c>
      <c r="D1804">
        <v>55</v>
      </c>
      <c r="E1804">
        <v>2</v>
      </c>
      <c r="F1804">
        <v>0</v>
      </c>
      <c r="G1804">
        <v>1</v>
      </c>
      <c r="H1804" t="s">
        <v>22</v>
      </c>
      <c r="I1804" t="s">
        <v>22</v>
      </c>
      <c r="J1804">
        <v>106202.07</v>
      </c>
      <c r="K1804" t="s">
        <v>22</v>
      </c>
      <c r="L1804">
        <v>0.17863261144504219</v>
      </c>
      <c r="M1804" t="s">
        <v>23</v>
      </c>
      <c r="N1804">
        <v>1</v>
      </c>
      <c r="O1804">
        <v>0</v>
      </c>
      <c r="P1804" t="s">
        <v>34</v>
      </c>
      <c r="Q1804" t="s">
        <v>44</v>
      </c>
      <c r="R1804" t="s">
        <v>29</v>
      </c>
      <c r="S1804" t="s">
        <v>27</v>
      </c>
      <c r="T1804" t="s">
        <v>28</v>
      </c>
      <c r="U1804">
        <f t="shared" si="28"/>
        <v>0</v>
      </c>
    </row>
    <row r="1805" spans="1:21" x14ac:dyDescent="0.2">
      <c r="A1805">
        <v>470</v>
      </c>
      <c r="B1805" t="s">
        <v>20</v>
      </c>
      <c r="C1805" t="s">
        <v>32</v>
      </c>
      <c r="D1805">
        <v>48</v>
      </c>
      <c r="E1805">
        <v>6</v>
      </c>
      <c r="F1805">
        <v>140576.10999999999</v>
      </c>
      <c r="G1805">
        <v>1</v>
      </c>
      <c r="H1805" t="s">
        <v>22</v>
      </c>
      <c r="I1805" t="s">
        <v>22</v>
      </c>
      <c r="J1805">
        <v>116971.05</v>
      </c>
      <c r="K1805" t="s">
        <v>23</v>
      </c>
      <c r="L1805">
        <v>0.25813117254906992</v>
      </c>
      <c r="M1805" t="s">
        <v>23</v>
      </c>
      <c r="N1805">
        <v>0</v>
      </c>
      <c r="O1805">
        <v>0</v>
      </c>
      <c r="P1805" t="s">
        <v>24</v>
      </c>
      <c r="Q1805" t="s">
        <v>25</v>
      </c>
      <c r="R1805" t="s">
        <v>26</v>
      </c>
      <c r="S1805" t="s">
        <v>45</v>
      </c>
      <c r="T1805" t="s">
        <v>28</v>
      </c>
      <c r="U1805">
        <f t="shared" si="28"/>
        <v>1</v>
      </c>
    </row>
    <row r="1806" spans="1:21" x14ac:dyDescent="0.2">
      <c r="A1806">
        <v>688</v>
      </c>
      <c r="B1806" t="s">
        <v>41</v>
      </c>
      <c r="C1806" t="s">
        <v>32</v>
      </c>
      <c r="D1806">
        <v>34</v>
      </c>
      <c r="E1806">
        <v>9</v>
      </c>
      <c r="F1806">
        <v>91025.58</v>
      </c>
      <c r="G1806">
        <v>2</v>
      </c>
      <c r="H1806" t="s">
        <v>23</v>
      </c>
      <c r="I1806" t="s">
        <v>22</v>
      </c>
      <c r="J1806">
        <v>163783</v>
      </c>
      <c r="K1806" t="s">
        <v>23</v>
      </c>
      <c r="L1806">
        <v>0.1511588660977165</v>
      </c>
      <c r="M1806" t="s">
        <v>23</v>
      </c>
      <c r="N1806">
        <v>0</v>
      </c>
      <c r="O1806">
        <v>0</v>
      </c>
      <c r="P1806" t="s">
        <v>34</v>
      </c>
      <c r="Q1806" t="s">
        <v>33</v>
      </c>
      <c r="R1806" t="s">
        <v>38</v>
      </c>
      <c r="S1806" t="s">
        <v>27</v>
      </c>
      <c r="T1806" t="s">
        <v>31</v>
      </c>
      <c r="U1806">
        <f t="shared" si="28"/>
        <v>1</v>
      </c>
    </row>
    <row r="1807" spans="1:21" x14ac:dyDescent="0.2">
      <c r="A1807">
        <v>685</v>
      </c>
      <c r="B1807" t="s">
        <v>42</v>
      </c>
      <c r="C1807" t="s">
        <v>32</v>
      </c>
      <c r="D1807">
        <v>33</v>
      </c>
      <c r="E1807">
        <v>1</v>
      </c>
      <c r="F1807">
        <v>0</v>
      </c>
      <c r="G1807">
        <v>3</v>
      </c>
      <c r="H1807" t="s">
        <v>23</v>
      </c>
      <c r="I1807" t="s">
        <v>22</v>
      </c>
      <c r="J1807">
        <v>70221.13</v>
      </c>
      <c r="K1807" t="s">
        <v>22</v>
      </c>
      <c r="L1807">
        <v>5.6282462175057842E-2</v>
      </c>
      <c r="M1807" t="s">
        <v>23</v>
      </c>
      <c r="N1807">
        <v>1</v>
      </c>
      <c r="O1807">
        <v>0</v>
      </c>
      <c r="P1807" t="s">
        <v>34</v>
      </c>
      <c r="Q1807" t="s">
        <v>33</v>
      </c>
      <c r="R1807" t="s">
        <v>29</v>
      </c>
      <c r="S1807" t="s">
        <v>27</v>
      </c>
      <c r="T1807" t="s">
        <v>40</v>
      </c>
      <c r="U1807">
        <f t="shared" si="28"/>
        <v>0</v>
      </c>
    </row>
    <row r="1808" spans="1:21" x14ac:dyDescent="0.2">
      <c r="A1808">
        <v>720</v>
      </c>
      <c r="B1808" t="s">
        <v>20</v>
      </c>
      <c r="C1808" t="s">
        <v>21</v>
      </c>
      <c r="D1808">
        <v>64</v>
      </c>
      <c r="E1808">
        <v>3</v>
      </c>
      <c r="F1808">
        <v>45752.78</v>
      </c>
      <c r="G1808">
        <v>2</v>
      </c>
      <c r="H1808" t="s">
        <v>22</v>
      </c>
      <c r="I1808" t="s">
        <v>23</v>
      </c>
      <c r="J1808">
        <v>79623.28</v>
      </c>
      <c r="K1808" t="s">
        <v>22</v>
      </c>
      <c r="L1808">
        <v>0.54651328394751664</v>
      </c>
      <c r="M1808" t="s">
        <v>22</v>
      </c>
      <c r="N1808">
        <v>1</v>
      </c>
      <c r="O1808">
        <v>1</v>
      </c>
      <c r="P1808" t="s">
        <v>43</v>
      </c>
      <c r="Q1808" t="s">
        <v>46</v>
      </c>
      <c r="R1808" t="s">
        <v>48</v>
      </c>
      <c r="S1808" t="s">
        <v>37</v>
      </c>
      <c r="T1808" t="s">
        <v>40</v>
      </c>
      <c r="U1808">
        <f t="shared" si="28"/>
        <v>1</v>
      </c>
    </row>
    <row r="1809" spans="1:21" x14ac:dyDescent="0.2">
      <c r="A1809">
        <v>704</v>
      </c>
      <c r="B1809" t="s">
        <v>41</v>
      </c>
      <c r="C1809" t="s">
        <v>21</v>
      </c>
      <c r="D1809">
        <v>41</v>
      </c>
      <c r="E1809">
        <v>9</v>
      </c>
      <c r="F1809">
        <v>62078.21</v>
      </c>
      <c r="G1809">
        <v>2</v>
      </c>
      <c r="H1809" t="s">
        <v>22</v>
      </c>
      <c r="I1809" t="s">
        <v>23</v>
      </c>
      <c r="J1809">
        <v>129050.67</v>
      </c>
      <c r="K1809" t="s">
        <v>23</v>
      </c>
      <c r="L1809">
        <v>0.30939622187599819</v>
      </c>
      <c r="M1809" t="s">
        <v>23</v>
      </c>
      <c r="N1809">
        <v>0</v>
      </c>
      <c r="O1809">
        <v>0</v>
      </c>
      <c r="P1809" t="s">
        <v>24</v>
      </c>
      <c r="Q1809" t="s">
        <v>25</v>
      </c>
      <c r="R1809" t="s">
        <v>38</v>
      </c>
      <c r="S1809" t="s">
        <v>37</v>
      </c>
      <c r="T1809" t="s">
        <v>28</v>
      </c>
      <c r="U1809">
        <f t="shared" si="28"/>
        <v>1</v>
      </c>
    </row>
    <row r="1810" spans="1:21" x14ac:dyDescent="0.2">
      <c r="A1810">
        <v>702</v>
      </c>
      <c r="B1810" t="s">
        <v>41</v>
      </c>
      <c r="C1810" t="s">
        <v>32</v>
      </c>
      <c r="D1810">
        <v>60</v>
      </c>
      <c r="E1810">
        <v>5</v>
      </c>
      <c r="F1810">
        <v>138597.54</v>
      </c>
      <c r="G1810">
        <v>2</v>
      </c>
      <c r="H1810" t="s">
        <v>22</v>
      </c>
      <c r="I1810" t="s">
        <v>22</v>
      </c>
      <c r="J1810">
        <v>41536.589999999997</v>
      </c>
      <c r="K1810" t="s">
        <v>22</v>
      </c>
      <c r="L1810">
        <v>0.57210093403191498</v>
      </c>
      <c r="M1810" t="s">
        <v>22</v>
      </c>
      <c r="N1810">
        <v>1</v>
      </c>
      <c r="O1810">
        <v>1</v>
      </c>
      <c r="P1810" t="s">
        <v>43</v>
      </c>
      <c r="Q1810" t="s">
        <v>44</v>
      </c>
      <c r="R1810" t="s">
        <v>26</v>
      </c>
      <c r="S1810" t="s">
        <v>37</v>
      </c>
      <c r="T1810" t="s">
        <v>35</v>
      </c>
      <c r="U1810">
        <f t="shared" si="28"/>
        <v>1</v>
      </c>
    </row>
    <row r="1811" spans="1:21" x14ac:dyDescent="0.2">
      <c r="A1811">
        <v>711</v>
      </c>
      <c r="B1811" t="s">
        <v>42</v>
      </c>
      <c r="C1811" t="s">
        <v>32</v>
      </c>
      <c r="D1811">
        <v>81</v>
      </c>
      <c r="E1811">
        <v>6</v>
      </c>
      <c r="F1811">
        <v>0</v>
      </c>
      <c r="G1811">
        <v>2</v>
      </c>
      <c r="H1811" t="s">
        <v>22</v>
      </c>
      <c r="I1811" t="s">
        <v>22</v>
      </c>
      <c r="J1811">
        <v>72276.240000000005</v>
      </c>
      <c r="K1811" t="s">
        <v>23</v>
      </c>
      <c r="L1811">
        <v>0.66548495076096037</v>
      </c>
      <c r="M1811" t="s">
        <v>22</v>
      </c>
      <c r="N1811">
        <v>0</v>
      </c>
      <c r="O1811">
        <v>1</v>
      </c>
      <c r="P1811" t="s">
        <v>43</v>
      </c>
      <c r="Q1811" t="s">
        <v>46</v>
      </c>
      <c r="R1811" t="s">
        <v>29</v>
      </c>
      <c r="S1811" t="s">
        <v>37</v>
      </c>
      <c r="T1811" t="s">
        <v>40</v>
      </c>
      <c r="U1811">
        <f t="shared" si="28"/>
        <v>0</v>
      </c>
    </row>
    <row r="1812" spans="1:21" x14ac:dyDescent="0.2">
      <c r="A1812">
        <v>690</v>
      </c>
      <c r="B1812" t="s">
        <v>42</v>
      </c>
      <c r="C1812" t="s">
        <v>32</v>
      </c>
      <c r="D1812">
        <v>42</v>
      </c>
      <c r="E1812">
        <v>5</v>
      </c>
      <c r="F1812">
        <v>0</v>
      </c>
      <c r="G1812">
        <v>2</v>
      </c>
      <c r="H1812" t="s">
        <v>23</v>
      </c>
      <c r="I1812" t="s">
        <v>22</v>
      </c>
      <c r="J1812">
        <v>120512.08</v>
      </c>
      <c r="K1812" t="s">
        <v>23</v>
      </c>
      <c r="L1812">
        <v>0.1086727238226253</v>
      </c>
      <c r="M1812" t="s">
        <v>23</v>
      </c>
      <c r="N1812">
        <v>0</v>
      </c>
      <c r="O1812">
        <v>0</v>
      </c>
      <c r="P1812" t="s">
        <v>34</v>
      </c>
      <c r="Q1812" t="s">
        <v>25</v>
      </c>
      <c r="R1812" t="s">
        <v>29</v>
      </c>
      <c r="S1812" t="s">
        <v>27</v>
      </c>
      <c r="T1812" t="s">
        <v>28</v>
      </c>
      <c r="U1812">
        <f t="shared" si="28"/>
        <v>1</v>
      </c>
    </row>
    <row r="1813" spans="1:21" x14ac:dyDescent="0.2">
      <c r="A1813">
        <v>714</v>
      </c>
      <c r="B1813" t="s">
        <v>42</v>
      </c>
      <c r="C1813" t="s">
        <v>21</v>
      </c>
      <c r="D1813">
        <v>35</v>
      </c>
      <c r="E1813">
        <v>3</v>
      </c>
      <c r="F1813">
        <v>0</v>
      </c>
      <c r="G1813">
        <v>2</v>
      </c>
      <c r="H1813" t="s">
        <v>22</v>
      </c>
      <c r="I1813" t="s">
        <v>22</v>
      </c>
      <c r="J1813">
        <v>95623.28</v>
      </c>
      <c r="K1813" t="s">
        <v>23</v>
      </c>
      <c r="L1813">
        <v>3.9430958966363797E-2</v>
      </c>
      <c r="M1813" t="s">
        <v>23</v>
      </c>
      <c r="N1813">
        <v>0</v>
      </c>
      <c r="O1813">
        <v>0</v>
      </c>
      <c r="P1813" t="s">
        <v>34</v>
      </c>
      <c r="Q1813" t="s">
        <v>33</v>
      </c>
      <c r="R1813" t="s">
        <v>29</v>
      </c>
      <c r="S1813" t="s">
        <v>37</v>
      </c>
      <c r="T1813" t="s">
        <v>40</v>
      </c>
      <c r="U1813">
        <f t="shared" si="28"/>
        <v>1</v>
      </c>
    </row>
    <row r="1814" spans="1:21" x14ac:dyDescent="0.2">
      <c r="A1814">
        <v>527</v>
      </c>
      <c r="B1814" t="s">
        <v>42</v>
      </c>
      <c r="C1814" t="s">
        <v>21</v>
      </c>
      <c r="D1814">
        <v>31</v>
      </c>
      <c r="E1814">
        <v>4</v>
      </c>
      <c r="F1814">
        <v>0</v>
      </c>
      <c r="G1814">
        <v>1</v>
      </c>
      <c r="H1814" t="s">
        <v>22</v>
      </c>
      <c r="I1814" t="s">
        <v>23</v>
      </c>
      <c r="J1814">
        <v>169361.89</v>
      </c>
      <c r="K1814" t="s">
        <v>23</v>
      </c>
      <c r="L1814">
        <v>0.10484278618073641</v>
      </c>
      <c r="M1814" t="s">
        <v>23</v>
      </c>
      <c r="N1814">
        <v>0</v>
      </c>
      <c r="O1814">
        <v>0</v>
      </c>
      <c r="P1814" t="s">
        <v>34</v>
      </c>
      <c r="Q1814" t="s">
        <v>33</v>
      </c>
      <c r="R1814" t="s">
        <v>29</v>
      </c>
      <c r="S1814" t="s">
        <v>30</v>
      </c>
      <c r="T1814" t="s">
        <v>31</v>
      </c>
      <c r="U1814">
        <f t="shared" si="28"/>
        <v>1</v>
      </c>
    </row>
    <row r="1815" spans="1:21" x14ac:dyDescent="0.2">
      <c r="A1815">
        <v>595</v>
      </c>
      <c r="B1815" t="s">
        <v>41</v>
      </c>
      <c r="C1815" t="s">
        <v>32</v>
      </c>
      <c r="D1815">
        <v>32</v>
      </c>
      <c r="E1815">
        <v>0</v>
      </c>
      <c r="F1815">
        <v>92466.21</v>
      </c>
      <c r="G1815">
        <v>1</v>
      </c>
      <c r="H1815" t="s">
        <v>22</v>
      </c>
      <c r="I1815" t="s">
        <v>23</v>
      </c>
      <c r="J1815">
        <v>4721.3</v>
      </c>
      <c r="K1815" t="s">
        <v>23</v>
      </c>
      <c r="L1815">
        <v>0.36469489852666331</v>
      </c>
      <c r="M1815" t="s">
        <v>23</v>
      </c>
      <c r="N1815">
        <v>0</v>
      </c>
      <c r="O1815">
        <v>0</v>
      </c>
      <c r="P1815" t="s">
        <v>24</v>
      </c>
      <c r="Q1815" t="s">
        <v>33</v>
      </c>
      <c r="R1815" t="s">
        <v>38</v>
      </c>
      <c r="S1815" t="s">
        <v>30</v>
      </c>
      <c r="T1815" t="s">
        <v>35</v>
      </c>
      <c r="U1815">
        <f t="shared" si="28"/>
        <v>1</v>
      </c>
    </row>
    <row r="1816" spans="1:21" x14ac:dyDescent="0.2">
      <c r="A1816">
        <v>445</v>
      </c>
      <c r="B1816" t="s">
        <v>41</v>
      </c>
      <c r="C1816" t="s">
        <v>32</v>
      </c>
      <c r="D1816">
        <v>61</v>
      </c>
      <c r="E1816">
        <v>2</v>
      </c>
      <c r="F1816">
        <v>137655.31</v>
      </c>
      <c r="G1816">
        <v>1</v>
      </c>
      <c r="H1816" t="s">
        <v>23</v>
      </c>
      <c r="I1816" t="s">
        <v>22</v>
      </c>
      <c r="J1816">
        <v>29909.84</v>
      </c>
      <c r="K1816" t="s">
        <v>23</v>
      </c>
      <c r="L1816">
        <v>0.67449582071981495</v>
      </c>
      <c r="M1816" t="s">
        <v>22</v>
      </c>
      <c r="N1816">
        <v>0</v>
      </c>
      <c r="O1816">
        <v>1</v>
      </c>
      <c r="P1816" t="s">
        <v>43</v>
      </c>
      <c r="Q1816" t="s">
        <v>46</v>
      </c>
      <c r="R1816" t="s">
        <v>26</v>
      </c>
      <c r="S1816" t="s">
        <v>45</v>
      </c>
      <c r="T1816" t="s">
        <v>35</v>
      </c>
      <c r="U1816">
        <f t="shared" si="28"/>
        <v>0</v>
      </c>
    </row>
    <row r="1817" spans="1:21" x14ac:dyDescent="0.2">
      <c r="A1817">
        <v>521</v>
      </c>
      <c r="B1817" t="s">
        <v>41</v>
      </c>
      <c r="C1817" t="s">
        <v>32</v>
      </c>
      <c r="D1817">
        <v>29</v>
      </c>
      <c r="E1817">
        <v>2</v>
      </c>
      <c r="F1817">
        <v>87212.800000000003</v>
      </c>
      <c r="G1817">
        <v>1</v>
      </c>
      <c r="H1817" t="s">
        <v>22</v>
      </c>
      <c r="I1817" t="s">
        <v>22</v>
      </c>
      <c r="J1817">
        <v>994.86</v>
      </c>
      <c r="K1817" t="s">
        <v>23</v>
      </c>
      <c r="L1817">
        <v>0.1334336665598555</v>
      </c>
      <c r="M1817" t="s">
        <v>23</v>
      </c>
      <c r="N1817">
        <v>0</v>
      </c>
      <c r="O1817">
        <v>0</v>
      </c>
      <c r="P1817" t="s">
        <v>34</v>
      </c>
      <c r="Q1817" t="s">
        <v>36</v>
      </c>
      <c r="R1817" t="s">
        <v>38</v>
      </c>
      <c r="S1817" t="s">
        <v>30</v>
      </c>
      <c r="T1817" t="s">
        <v>35</v>
      </c>
      <c r="U1817">
        <f t="shared" si="28"/>
        <v>1</v>
      </c>
    </row>
    <row r="1818" spans="1:21" x14ac:dyDescent="0.2">
      <c r="A1818">
        <v>612</v>
      </c>
      <c r="B1818" t="s">
        <v>41</v>
      </c>
      <c r="C1818" t="s">
        <v>32</v>
      </c>
      <c r="D1818">
        <v>36</v>
      </c>
      <c r="E1818">
        <v>2</v>
      </c>
      <c r="F1818">
        <v>130700.92</v>
      </c>
      <c r="G1818">
        <v>2</v>
      </c>
      <c r="H1818" t="s">
        <v>23</v>
      </c>
      <c r="I1818" t="s">
        <v>23</v>
      </c>
      <c r="J1818">
        <v>77592.800000000003</v>
      </c>
      <c r="K1818" t="s">
        <v>23</v>
      </c>
      <c r="L1818">
        <v>0.43980637833910252</v>
      </c>
      <c r="M1818" t="s">
        <v>23</v>
      </c>
      <c r="N1818">
        <v>0</v>
      </c>
      <c r="O1818">
        <v>0</v>
      </c>
      <c r="P1818" t="s">
        <v>24</v>
      </c>
      <c r="Q1818" t="s">
        <v>33</v>
      </c>
      <c r="R1818" t="s">
        <v>26</v>
      </c>
      <c r="S1818" t="s">
        <v>27</v>
      </c>
      <c r="T1818" t="s">
        <v>40</v>
      </c>
      <c r="U1818">
        <f t="shared" si="28"/>
        <v>1</v>
      </c>
    </row>
    <row r="1819" spans="1:21" x14ac:dyDescent="0.2">
      <c r="A1819">
        <v>710</v>
      </c>
      <c r="B1819" t="s">
        <v>20</v>
      </c>
      <c r="C1819" t="s">
        <v>21</v>
      </c>
      <c r="D1819">
        <v>23</v>
      </c>
      <c r="E1819">
        <v>6</v>
      </c>
      <c r="F1819">
        <v>0</v>
      </c>
      <c r="G1819">
        <v>2</v>
      </c>
      <c r="H1819" t="s">
        <v>22</v>
      </c>
      <c r="I1819" t="s">
        <v>22</v>
      </c>
      <c r="J1819">
        <v>134188.10999999999</v>
      </c>
      <c r="K1819" t="s">
        <v>23</v>
      </c>
      <c r="L1819">
        <v>1.6667505313027062E-2</v>
      </c>
      <c r="M1819" t="s">
        <v>23</v>
      </c>
      <c r="N1819">
        <v>0</v>
      </c>
      <c r="O1819">
        <v>0</v>
      </c>
      <c r="P1819" t="s">
        <v>34</v>
      </c>
      <c r="Q1819" t="s">
        <v>36</v>
      </c>
      <c r="R1819" t="s">
        <v>29</v>
      </c>
      <c r="S1819" t="s">
        <v>37</v>
      </c>
      <c r="T1819" t="s">
        <v>28</v>
      </c>
      <c r="U1819">
        <f t="shared" si="28"/>
        <v>1</v>
      </c>
    </row>
    <row r="1820" spans="1:21" x14ac:dyDescent="0.2">
      <c r="A1820">
        <v>449</v>
      </c>
      <c r="B1820" t="s">
        <v>42</v>
      </c>
      <c r="C1820" t="s">
        <v>32</v>
      </c>
      <c r="D1820">
        <v>21</v>
      </c>
      <c r="E1820">
        <v>7</v>
      </c>
      <c r="F1820">
        <v>0</v>
      </c>
      <c r="G1820">
        <v>2</v>
      </c>
      <c r="H1820" t="s">
        <v>23</v>
      </c>
      <c r="I1820" t="s">
        <v>23</v>
      </c>
      <c r="J1820">
        <v>175743.92</v>
      </c>
      <c r="K1820" t="s">
        <v>23</v>
      </c>
      <c r="L1820">
        <v>8.2399397284369735E-2</v>
      </c>
      <c r="M1820" t="s">
        <v>23</v>
      </c>
      <c r="N1820">
        <v>0</v>
      </c>
      <c r="O1820">
        <v>0</v>
      </c>
      <c r="P1820" t="s">
        <v>34</v>
      </c>
      <c r="Q1820" t="s">
        <v>36</v>
      </c>
      <c r="R1820" t="s">
        <v>29</v>
      </c>
      <c r="S1820" t="s">
        <v>45</v>
      </c>
      <c r="T1820" t="s">
        <v>31</v>
      </c>
      <c r="U1820">
        <f t="shared" si="28"/>
        <v>1</v>
      </c>
    </row>
    <row r="1821" spans="1:21" x14ac:dyDescent="0.2">
      <c r="A1821">
        <v>850</v>
      </c>
      <c r="B1821" t="s">
        <v>41</v>
      </c>
      <c r="C1821" t="s">
        <v>32</v>
      </c>
      <c r="D1821">
        <v>43</v>
      </c>
      <c r="E1821">
        <v>8</v>
      </c>
      <c r="F1821">
        <v>92244.83</v>
      </c>
      <c r="G1821">
        <v>2</v>
      </c>
      <c r="H1821" t="s">
        <v>22</v>
      </c>
      <c r="I1821" t="s">
        <v>23</v>
      </c>
      <c r="J1821">
        <v>54949.73</v>
      </c>
      <c r="K1821" t="s">
        <v>23</v>
      </c>
      <c r="L1821">
        <v>0.46206101999820359</v>
      </c>
      <c r="M1821" t="s">
        <v>23</v>
      </c>
      <c r="N1821">
        <v>0</v>
      </c>
      <c r="O1821">
        <v>0</v>
      </c>
      <c r="P1821" t="s">
        <v>24</v>
      </c>
      <c r="Q1821" t="s">
        <v>25</v>
      </c>
      <c r="R1821" t="s">
        <v>38</v>
      </c>
      <c r="S1821" t="s">
        <v>39</v>
      </c>
      <c r="T1821" t="s">
        <v>40</v>
      </c>
      <c r="U1821">
        <f t="shared" si="28"/>
        <v>1</v>
      </c>
    </row>
    <row r="1822" spans="1:21" x14ac:dyDescent="0.2">
      <c r="A1822">
        <v>717</v>
      </c>
      <c r="B1822" t="s">
        <v>42</v>
      </c>
      <c r="C1822" t="s">
        <v>21</v>
      </c>
      <c r="D1822">
        <v>28</v>
      </c>
      <c r="E1822">
        <v>4</v>
      </c>
      <c r="F1822">
        <v>128206.79</v>
      </c>
      <c r="G1822">
        <v>1</v>
      </c>
      <c r="H1822" t="s">
        <v>22</v>
      </c>
      <c r="I1822" t="s">
        <v>22</v>
      </c>
      <c r="J1822">
        <v>54272.12</v>
      </c>
      <c r="K1822" t="s">
        <v>23</v>
      </c>
      <c r="L1822">
        <v>3.4890392348566203E-2</v>
      </c>
      <c r="M1822" t="s">
        <v>23</v>
      </c>
      <c r="N1822">
        <v>0</v>
      </c>
      <c r="O1822">
        <v>0</v>
      </c>
      <c r="P1822" t="s">
        <v>34</v>
      </c>
      <c r="Q1822" t="s">
        <v>36</v>
      </c>
      <c r="R1822" t="s">
        <v>26</v>
      </c>
      <c r="S1822" t="s">
        <v>37</v>
      </c>
      <c r="T1822" t="s">
        <v>40</v>
      </c>
      <c r="U1822">
        <f t="shared" si="28"/>
        <v>1</v>
      </c>
    </row>
    <row r="1823" spans="1:21" x14ac:dyDescent="0.2">
      <c r="A1823">
        <v>681</v>
      </c>
      <c r="B1823" t="s">
        <v>42</v>
      </c>
      <c r="C1823" t="s">
        <v>32</v>
      </c>
      <c r="D1823">
        <v>43</v>
      </c>
      <c r="E1823">
        <v>8</v>
      </c>
      <c r="F1823">
        <v>154100.29999999999</v>
      </c>
      <c r="G1823">
        <v>1</v>
      </c>
      <c r="H1823" t="s">
        <v>23</v>
      </c>
      <c r="I1823" t="s">
        <v>23</v>
      </c>
      <c r="J1823">
        <v>114659.81</v>
      </c>
      <c r="K1823" t="s">
        <v>23</v>
      </c>
      <c r="L1823">
        <v>0.37897264416836401</v>
      </c>
      <c r="M1823" t="s">
        <v>23</v>
      </c>
      <c r="N1823">
        <v>0</v>
      </c>
      <c r="O1823">
        <v>0</v>
      </c>
      <c r="P1823" t="s">
        <v>24</v>
      </c>
      <c r="Q1823" t="s">
        <v>25</v>
      </c>
      <c r="R1823" t="s">
        <v>47</v>
      </c>
      <c r="S1823" t="s">
        <v>27</v>
      </c>
      <c r="T1823" t="s">
        <v>28</v>
      </c>
      <c r="U1823">
        <f t="shared" si="28"/>
        <v>1</v>
      </c>
    </row>
    <row r="1824" spans="1:21" x14ac:dyDescent="0.2">
      <c r="A1824">
        <v>573</v>
      </c>
      <c r="B1824" t="s">
        <v>42</v>
      </c>
      <c r="C1824" t="s">
        <v>21</v>
      </c>
      <c r="D1824">
        <v>35</v>
      </c>
      <c r="E1824">
        <v>9</v>
      </c>
      <c r="F1824">
        <v>0</v>
      </c>
      <c r="G1824">
        <v>2</v>
      </c>
      <c r="H1824" t="s">
        <v>22</v>
      </c>
      <c r="I1824" t="s">
        <v>23</v>
      </c>
      <c r="J1824">
        <v>11743.89</v>
      </c>
      <c r="K1824" t="s">
        <v>23</v>
      </c>
      <c r="L1824">
        <v>0.10237178515751751</v>
      </c>
      <c r="M1824" t="s">
        <v>23</v>
      </c>
      <c r="N1824">
        <v>0</v>
      </c>
      <c r="O1824">
        <v>0</v>
      </c>
      <c r="P1824" t="s">
        <v>34</v>
      </c>
      <c r="Q1824" t="s">
        <v>33</v>
      </c>
      <c r="R1824" t="s">
        <v>29</v>
      </c>
      <c r="S1824" t="s">
        <v>30</v>
      </c>
      <c r="T1824" t="s">
        <v>35</v>
      </c>
      <c r="U1824">
        <f t="shared" si="28"/>
        <v>1</v>
      </c>
    </row>
    <row r="1825" spans="1:21" x14ac:dyDescent="0.2">
      <c r="A1825">
        <v>798</v>
      </c>
      <c r="B1825" t="s">
        <v>41</v>
      </c>
      <c r="C1825" t="s">
        <v>32</v>
      </c>
      <c r="D1825">
        <v>39</v>
      </c>
      <c r="E1825">
        <v>6</v>
      </c>
      <c r="F1825">
        <v>119787.76</v>
      </c>
      <c r="G1825">
        <v>1</v>
      </c>
      <c r="H1825" t="s">
        <v>22</v>
      </c>
      <c r="I1825" t="s">
        <v>22</v>
      </c>
      <c r="J1825">
        <v>164248.32999999999</v>
      </c>
      <c r="K1825" t="s">
        <v>23</v>
      </c>
      <c r="L1825">
        <v>0.2268534099816899</v>
      </c>
      <c r="M1825" t="s">
        <v>23</v>
      </c>
      <c r="N1825">
        <v>0</v>
      </c>
      <c r="O1825">
        <v>0</v>
      </c>
      <c r="P1825" t="s">
        <v>24</v>
      </c>
      <c r="Q1825" t="s">
        <v>33</v>
      </c>
      <c r="R1825" t="s">
        <v>26</v>
      </c>
      <c r="S1825" t="s">
        <v>37</v>
      </c>
      <c r="T1825" t="s">
        <v>31</v>
      </c>
      <c r="U1825">
        <f t="shared" si="28"/>
        <v>1</v>
      </c>
    </row>
    <row r="1826" spans="1:21" x14ac:dyDescent="0.2">
      <c r="A1826">
        <v>693</v>
      </c>
      <c r="B1826" t="s">
        <v>20</v>
      </c>
      <c r="C1826" t="s">
        <v>32</v>
      </c>
      <c r="D1826">
        <v>34</v>
      </c>
      <c r="E1826">
        <v>10</v>
      </c>
      <c r="F1826">
        <v>107556.06</v>
      </c>
      <c r="G1826">
        <v>2</v>
      </c>
      <c r="H1826" t="s">
        <v>23</v>
      </c>
      <c r="I1826" t="s">
        <v>23</v>
      </c>
      <c r="J1826">
        <v>154631.35</v>
      </c>
      <c r="K1826" t="s">
        <v>23</v>
      </c>
      <c r="L1826">
        <v>0.2024276982133188</v>
      </c>
      <c r="M1826" t="s">
        <v>23</v>
      </c>
      <c r="N1826">
        <v>0</v>
      </c>
      <c r="O1826">
        <v>0</v>
      </c>
      <c r="P1826" t="s">
        <v>24</v>
      </c>
      <c r="Q1826" t="s">
        <v>33</v>
      </c>
      <c r="R1826" t="s">
        <v>26</v>
      </c>
      <c r="S1826" t="s">
        <v>27</v>
      </c>
      <c r="T1826" t="s">
        <v>31</v>
      </c>
      <c r="U1826">
        <f t="shared" si="28"/>
        <v>1</v>
      </c>
    </row>
    <row r="1827" spans="1:21" x14ac:dyDescent="0.2">
      <c r="A1827">
        <v>607</v>
      </c>
      <c r="B1827" t="s">
        <v>41</v>
      </c>
      <c r="C1827" t="s">
        <v>21</v>
      </c>
      <c r="D1827">
        <v>32</v>
      </c>
      <c r="E1827">
        <v>9</v>
      </c>
      <c r="F1827">
        <v>144272.07</v>
      </c>
      <c r="G1827">
        <v>2</v>
      </c>
      <c r="H1827" t="s">
        <v>22</v>
      </c>
      <c r="I1827" t="s">
        <v>23</v>
      </c>
      <c r="J1827">
        <v>176580.63</v>
      </c>
      <c r="K1827" t="s">
        <v>23</v>
      </c>
      <c r="L1827">
        <v>0.23828498048222821</v>
      </c>
      <c r="M1827" t="s">
        <v>23</v>
      </c>
      <c r="N1827">
        <v>0</v>
      </c>
      <c r="O1827">
        <v>0</v>
      </c>
      <c r="P1827" t="s">
        <v>24</v>
      </c>
      <c r="Q1827" t="s">
        <v>33</v>
      </c>
      <c r="R1827" t="s">
        <v>26</v>
      </c>
      <c r="S1827" t="s">
        <v>27</v>
      </c>
      <c r="T1827" t="s">
        <v>31</v>
      </c>
      <c r="U1827">
        <f t="shared" si="28"/>
        <v>1</v>
      </c>
    </row>
    <row r="1828" spans="1:21" x14ac:dyDescent="0.2">
      <c r="A1828">
        <v>613</v>
      </c>
      <c r="B1828" t="s">
        <v>42</v>
      </c>
      <c r="C1828" t="s">
        <v>21</v>
      </c>
      <c r="D1828">
        <v>40</v>
      </c>
      <c r="E1828">
        <v>7</v>
      </c>
      <c r="F1828">
        <v>124339.9</v>
      </c>
      <c r="G1828">
        <v>1</v>
      </c>
      <c r="H1828" t="s">
        <v>23</v>
      </c>
      <c r="I1828" t="s">
        <v>23</v>
      </c>
      <c r="J1828">
        <v>193309.58</v>
      </c>
      <c r="K1828" t="s">
        <v>23</v>
      </c>
      <c r="L1828">
        <v>0.22624658408492199</v>
      </c>
      <c r="M1828" t="s">
        <v>23</v>
      </c>
      <c r="N1828">
        <v>0</v>
      </c>
      <c r="O1828">
        <v>0</v>
      </c>
      <c r="P1828" t="s">
        <v>24</v>
      </c>
      <c r="Q1828" t="s">
        <v>33</v>
      </c>
      <c r="R1828" t="s">
        <v>26</v>
      </c>
      <c r="S1828" t="s">
        <v>27</v>
      </c>
      <c r="T1828" t="s">
        <v>31</v>
      </c>
      <c r="U1828">
        <f t="shared" si="28"/>
        <v>1</v>
      </c>
    </row>
    <row r="1829" spans="1:21" x14ac:dyDescent="0.2">
      <c r="A1829">
        <v>544</v>
      </c>
      <c r="B1829" t="s">
        <v>42</v>
      </c>
      <c r="C1829" t="s">
        <v>32</v>
      </c>
      <c r="D1829">
        <v>26</v>
      </c>
      <c r="E1829">
        <v>6</v>
      </c>
      <c r="F1829">
        <v>0</v>
      </c>
      <c r="G1829">
        <v>1</v>
      </c>
      <c r="H1829" t="s">
        <v>22</v>
      </c>
      <c r="I1829" t="s">
        <v>23</v>
      </c>
      <c r="J1829">
        <v>100200.4</v>
      </c>
      <c r="K1829" t="s">
        <v>22</v>
      </c>
      <c r="L1829">
        <v>0.11334002866293121</v>
      </c>
      <c r="M1829" t="s">
        <v>23</v>
      </c>
      <c r="N1829">
        <v>1</v>
      </c>
      <c r="O1829">
        <v>0</v>
      </c>
      <c r="P1829" t="s">
        <v>34</v>
      </c>
      <c r="Q1829" t="s">
        <v>36</v>
      </c>
      <c r="R1829" t="s">
        <v>29</v>
      </c>
      <c r="S1829" t="s">
        <v>30</v>
      </c>
      <c r="T1829" t="s">
        <v>28</v>
      </c>
      <c r="U1829">
        <f t="shared" si="28"/>
        <v>0</v>
      </c>
    </row>
    <row r="1830" spans="1:21" x14ac:dyDescent="0.2">
      <c r="A1830">
        <v>458</v>
      </c>
      <c r="B1830" t="s">
        <v>41</v>
      </c>
      <c r="C1830" t="s">
        <v>32</v>
      </c>
      <c r="D1830">
        <v>43</v>
      </c>
      <c r="E1830">
        <v>1</v>
      </c>
      <c r="F1830">
        <v>106870.12</v>
      </c>
      <c r="G1830">
        <v>2</v>
      </c>
      <c r="H1830" t="s">
        <v>22</v>
      </c>
      <c r="I1830" t="s">
        <v>23</v>
      </c>
      <c r="J1830">
        <v>100564.37</v>
      </c>
      <c r="K1830" t="s">
        <v>23</v>
      </c>
      <c r="L1830">
        <v>0.57963708061177255</v>
      </c>
      <c r="M1830" t="s">
        <v>22</v>
      </c>
      <c r="N1830">
        <v>0</v>
      </c>
      <c r="O1830">
        <v>1</v>
      </c>
      <c r="P1830" t="s">
        <v>43</v>
      </c>
      <c r="Q1830" t="s">
        <v>25</v>
      </c>
      <c r="R1830" t="s">
        <v>26</v>
      </c>
      <c r="S1830" t="s">
        <v>45</v>
      </c>
      <c r="T1830" t="s">
        <v>28</v>
      </c>
      <c r="U1830">
        <f t="shared" si="28"/>
        <v>0</v>
      </c>
    </row>
    <row r="1831" spans="1:21" x14ac:dyDescent="0.2">
      <c r="A1831">
        <v>673</v>
      </c>
      <c r="B1831" t="s">
        <v>42</v>
      </c>
      <c r="C1831" t="s">
        <v>32</v>
      </c>
      <c r="D1831">
        <v>37</v>
      </c>
      <c r="E1831">
        <v>10</v>
      </c>
      <c r="F1831">
        <v>0</v>
      </c>
      <c r="G1831">
        <v>2</v>
      </c>
      <c r="H1831" t="s">
        <v>22</v>
      </c>
      <c r="I1831" t="s">
        <v>22</v>
      </c>
      <c r="J1831">
        <v>37411.35</v>
      </c>
      <c r="K1831" t="s">
        <v>23</v>
      </c>
      <c r="L1831">
        <v>6.6594842185944789E-2</v>
      </c>
      <c r="M1831" t="s">
        <v>23</v>
      </c>
      <c r="N1831">
        <v>0</v>
      </c>
      <c r="O1831">
        <v>0</v>
      </c>
      <c r="P1831" t="s">
        <v>34</v>
      </c>
      <c r="Q1831" t="s">
        <v>33</v>
      </c>
      <c r="R1831" t="s">
        <v>29</v>
      </c>
      <c r="S1831" t="s">
        <v>27</v>
      </c>
      <c r="T1831" t="s">
        <v>35</v>
      </c>
      <c r="U1831">
        <f t="shared" si="28"/>
        <v>1</v>
      </c>
    </row>
    <row r="1832" spans="1:21" x14ac:dyDescent="0.2">
      <c r="A1832">
        <v>676</v>
      </c>
      <c r="B1832" t="s">
        <v>41</v>
      </c>
      <c r="C1832" t="s">
        <v>32</v>
      </c>
      <c r="D1832">
        <v>48</v>
      </c>
      <c r="E1832">
        <v>2</v>
      </c>
      <c r="F1832">
        <v>124442.38</v>
      </c>
      <c r="G1832">
        <v>1</v>
      </c>
      <c r="H1832" t="s">
        <v>22</v>
      </c>
      <c r="I1832" t="s">
        <v>23</v>
      </c>
      <c r="J1832">
        <v>15068.53</v>
      </c>
      <c r="K1832" t="s">
        <v>22</v>
      </c>
      <c r="L1832">
        <v>0.65064065190365528</v>
      </c>
      <c r="M1832" t="s">
        <v>22</v>
      </c>
      <c r="N1832">
        <v>1</v>
      </c>
      <c r="O1832">
        <v>1</v>
      </c>
      <c r="P1832" t="s">
        <v>43</v>
      </c>
      <c r="Q1832" t="s">
        <v>25</v>
      </c>
      <c r="R1832" t="s">
        <v>26</v>
      </c>
      <c r="S1832" t="s">
        <v>27</v>
      </c>
      <c r="T1832" t="s">
        <v>35</v>
      </c>
      <c r="U1832">
        <f t="shared" si="28"/>
        <v>1</v>
      </c>
    </row>
    <row r="1833" spans="1:21" x14ac:dyDescent="0.2">
      <c r="A1833">
        <v>594</v>
      </c>
      <c r="B1833" t="s">
        <v>41</v>
      </c>
      <c r="C1833" t="s">
        <v>32</v>
      </c>
      <c r="D1833">
        <v>32</v>
      </c>
      <c r="E1833">
        <v>4</v>
      </c>
      <c r="F1833">
        <v>120074.97</v>
      </c>
      <c r="G1833">
        <v>2</v>
      </c>
      <c r="H1833" t="s">
        <v>22</v>
      </c>
      <c r="I1833" t="s">
        <v>22</v>
      </c>
      <c r="J1833">
        <v>162961.79</v>
      </c>
      <c r="K1833" t="s">
        <v>23</v>
      </c>
      <c r="L1833">
        <v>0.1588388695358868</v>
      </c>
      <c r="M1833" t="s">
        <v>23</v>
      </c>
      <c r="N1833">
        <v>0</v>
      </c>
      <c r="O1833">
        <v>0</v>
      </c>
      <c r="P1833" t="s">
        <v>34</v>
      </c>
      <c r="Q1833" t="s">
        <v>33</v>
      </c>
      <c r="R1833" t="s">
        <v>26</v>
      </c>
      <c r="S1833" t="s">
        <v>30</v>
      </c>
      <c r="T1833" t="s">
        <v>31</v>
      </c>
      <c r="U1833">
        <f t="shared" si="28"/>
        <v>1</v>
      </c>
    </row>
    <row r="1834" spans="1:21" x14ac:dyDescent="0.2">
      <c r="A1834">
        <v>640</v>
      </c>
      <c r="B1834" t="s">
        <v>20</v>
      </c>
      <c r="C1834" t="s">
        <v>21</v>
      </c>
      <c r="D1834">
        <v>47</v>
      </c>
      <c r="E1834">
        <v>6</v>
      </c>
      <c r="F1834">
        <v>89047.14</v>
      </c>
      <c r="G1834">
        <v>1</v>
      </c>
      <c r="H1834" t="s">
        <v>22</v>
      </c>
      <c r="I1834" t="s">
        <v>23</v>
      </c>
      <c r="J1834">
        <v>116286.25</v>
      </c>
      <c r="K1834" t="s">
        <v>23</v>
      </c>
      <c r="L1834">
        <v>0.30175915481280058</v>
      </c>
      <c r="M1834" t="s">
        <v>23</v>
      </c>
      <c r="N1834">
        <v>0</v>
      </c>
      <c r="O1834">
        <v>0</v>
      </c>
      <c r="P1834" t="s">
        <v>24</v>
      </c>
      <c r="Q1834" t="s">
        <v>25</v>
      </c>
      <c r="R1834" t="s">
        <v>38</v>
      </c>
      <c r="S1834" t="s">
        <v>27</v>
      </c>
      <c r="T1834" t="s">
        <v>28</v>
      </c>
      <c r="U1834">
        <f t="shared" si="28"/>
        <v>1</v>
      </c>
    </row>
    <row r="1835" spans="1:21" x14ac:dyDescent="0.2">
      <c r="A1835">
        <v>773</v>
      </c>
      <c r="B1835" t="s">
        <v>42</v>
      </c>
      <c r="C1835" t="s">
        <v>32</v>
      </c>
      <c r="D1835">
        <v>50</v>
      </c>
      <c r="E1835">
        <v>4</v>
      </c>
      <c r="F1835">
        <v>0</v>
      </c>
      <c r="G1835">
        <v>2</v>
      </c>
      <c r="H1835" t="s">
        <v>22</v>
      </c>
      <c r="I1835" t="s">
        <v>23</v>
      </c>
      <c r="J1835">
        <v>129372.94</v>
      </c>
      <c r="K1835" t="s">
        <v>23</v>
      </c>
      <c r="L1835">
        <v>0.38048482230191599</v>
      </c>
      <c r="M1835" t="s">
        <v>23</v>
      </c>
      <c r="N1835">
        <v>0</v>
      </c>
      <c r="O1835">
        <v>0</v>
      </c>
      <c r="P1835" t="s">
        <v>24</v>
      </c>
      <c r="Q1835" t="s">
        <v>25</v>
      </c>
      <c r="R1835" t="s">
        <v>29</v>
      </c>
      <c r="S1835" t="s">
        <v>37</v>
      </c>
      <c r="T1835" t="s">
        <v>28</v>
      </c>
      <c r="U1835">
        <f t="shared" si="28"/>
        <v>1</v>
      </c>
    </row>
    <row r="1836" spans="1:21" x14ac:dyDescent="0.2">
      <c r="A1836">
        <v>589</v>
      </c>
      <c r="B1836" t="s">
        <v>20</v>
      </c>
      <c r="C1836" t="s">
        <v>32</v>
      </c>
      <c r="D1836">
        <v>46</v>
      </c>
      <c r="E1836">
        <v>10</v>
      </c>
      <c r="F1836">
        <v>0</v>
      </c>
      <c r="G1836">
        <v>2</v>
      </c>
      <c r="H1836" t="s">
        <v>23</v>
      </c>
      <c r="I1836" t="s">
        <v>22</v>
      </c>
      <c r="J1836">
        <v>168369.37</v>
      </c>
      <c r="K1836" t="s">
        <v>23</v>
      </c>
      <c r="L1836">
        <v>0.1452672893742479</v>
      </c>
      <c r="M1836" t="s">
        <v>23</v>
      </c>
      <c r="N1836">
        <v>0</v>
      </c>
      <c r="O1836">
        <v>0</v>
      </c>
      <c r="P1836" t="s">
        <v>34</v>
      </c>
      <c r="Q1836" t="s">
        <v>25</v>
      </c>
      <c r="R1836" t="s">
        <v>29</v>
      </c>
      <c r="S1836" t="s">
        <v>30</v>
      </c>
      <c r="T1836" t="s">
        <v>31</v>
      </c>
      <c r="U1836">
        <f t="shared" si="28"/>
        <v>1</v>
      </c>
    </row>
    <row r="1837" spans="1:21" x14ac:dyDescent="0.2">
      <c r="A1837">
        <v>509</v>
      </c>
      <c r="B1837" t="s">
        <v>42</v>
      </c>
      <c r="C1837" t="s">
        <v>21</v>
      </c>
      <c r="D1837">
        <v>35</v>
      </c>
      <c r="E1837">
        <v>8</v>
      </c>
      <c r="F1837">
        <v>0</v>
      </c>
      <c r="G1837">
        <v>2</v>
      </c>
      <c r="H1837" t="s">
        <v>23</v>
      </c>
      <c r="I1837" t="s">
        <v>22</v>
      </c>
      <c r="J1837">
        <v>67431.28</v>
      </c>
      <c r="K1837" t="s">
        <v>23</v>
      </c>
      <c r="L1837">
        <v>4.1744556463550173E-2</v>
      </c>
      <c r="M1837" t="s">
        <v>23</v>
      </c>
      <c r="N1837">
        <v>0</v>
      </c>
      <c r="O1837">
        <v>0</v>
      </c>
      <c r="P1837" t="s">
        <v>34</v>
      </c>
      <c r="Q1837" t="s">
        <v>33</v>
      </c>
      <c r="R1837" t="s">
        <v>29</v>
      </c>
      <c r="S1837" t="s">
        <v>30</v>
      </c>
      <c r="T1837" t="s">
        <v>40</v>
      </c>
      <c r="U1837">
        <f t="shared" si="28"/>
        <v>1</v>
      </c>
    </row>
    <row r="1838" spans="1:21" x14ac:dyDescent="0.2">
      <c r="A1838">
        <v>546</v>
      </c>
      <c r="B1838" t="s">
        <v>41</v>
      </c>
      <c r="C1838" t="s">
        <v>32</v>
      </c>
      <c r="D1838">
        <v>25</v>
      </c>
      <c r="E1838">
        <v>3</v>
      </c>
      <c r="F1838">
        <v>132837.70000000001</v>
      </c>
      <c r="G1838">
        <v>1</v>
      </c>
      <c r="H1838" t="s">
        <v>22</v>
      </c>
      <c r="I1838" t="s">
        <v>23</v>
      </c>
      <c r="J1838">
        <v>131647.31</v>
      </c>
      <c r="K1838" t="s">
        <v>23</v>
      </c>
      <c r="L1838">
        <v>0.28438991740011249</v>
      </c>
      <c r="M1838" t="s">
        <v>23</v>
      </c>
      <c r="N1838">
        <v>0</v>
      </c>
      <c r="O1838">
        <v>0</v>
      </c>
      <c r="P1838" t="s">
        <v>24</v>
      </c>
      <c r="Q1838" t="s">
        <v>36</v>
      </c>
      <c r="R1838" t="s">
        <v>26</v>
      </c>
      <c r="S1838" t="s">
        <v>30</v>
      </c>
      <c r="T1838" t="s">
        <v>28</v>
      </c>
      <c r="U1838">
        <f t="shared" si="28"/>
        <v>1</v>
      </c>
    </row>
    <row r="1839" spans="1:21" x14ac:dyDescent="0.2">
      <c r="A1839">
        <v>787</v>
      </c>
      <c r="B1839" t="s">
        <v>20</v>
      </c>
      <c r="C1839" t="s">
        <v>32</v>
      </c>
      <c r="D1839">
        <v>39</v>
      </c>
      <c r="E1839">
        <v>7</v>
      </c>
      <c r="F1839">
        <v>171646.76</v>
      </c>
      <c r="G1839">
        <v>1</v>
      </c>
      <c r="H1839" t="s">
        <v>23</v>
      </c>
      <c r="I1839" t="s">
        <v>22</v>
      </c>
      <c r="J1839">
        <v>100791.36</v>
      </c>
      <c r="K1839" t="s">
        <v>23</v>
      </c>
      <c r="L1839">
        <v>0.13502886225882871</v>
      </c>
      <c r="M1839" t="s">
        <v>23</v>
      </c>
      <c r="N1839">
        <v>0</v>
      </c>
      <c r="O1839">
        <v>0</v>
      </c>
      <c r="P1839" t="s">
        <v>34</v>
      </c>
      <c r="Q1839" t="s">
        <v>33</v>
      </c>
      <c r="R1839" t="s">
        <v>47</v>
      </c>
      <c r="S1839" t="s">
        <v>37</v>
      </c>
      <c r="T1839" t="s">
        <v>28</v>
      </c>
      <c r="U1839">
        <f t="shared" si="28"/>
        <v>1</v>
      </c>
    </row>
    <row r="1840" spans="1:21" x14ac:dyDescent="0.2">
      <c r="A1840">
        <v>713</v>
      </c>
      <c r="B1840" t="s">
        <v>20</v>
      </c>
      <c r="C1840" t="s">
        <v>21</v>
      </c>
      <c r="D1840">
        <v>42</v>
      </c>
      <c r="E1840">
        <v>0</v>
      </c>
      <c r="F1840">
        <v>109121.71</v>
      </c>
      <c r="G1840">
        <v>1</v>
      </c>
      <c r="H1840" t="s">
        <v>23</v>
      </c>
      <c r="I1840" t="s">
        <v>22</v>
      </c>
      <c r="J1840">
        <v>167873.49</v>
      </c>
      <c r="K1840" t="s">
        <v>23</v>
      </c>
      <c r="L1840">
        <v>0.10740982518098111</v>
      </c>
      <c r="M1840" t="s">
        <v>23</v>
      </c>
      <c r="N1840">
        <v>0</v>
      </c>
      <c r="O1840">
        <v>0</v>
      </c>
      <c r="P1840" t="s">
        <v>34</v>
      </c>
      <c r="Q1840" t="s">
        <v>25</v>
      </c>
      <c r="R1840" t="s">
        <v>26</v>
      </c>
      <c r="S1840" t="s">
        <v>37</v>
      </c>
      <c r="T1840" t="s">
        <v>31</v>
      </c>
      <c r="U1840">
        <f t="shared" si="28"/>
        <v>1</v>
      </c>
    </row>
    <row r="1841" spans="1:21" x14ac:dyDescent="0.2">
      <c r="A1841">
        <v>541</v>
      </c>
      <c r="B1841" t="s">
        <v>42</v>
      </c>
      <c r="C1841" t="s">
        <v>32</v>
      </c>
      <c r="D1841">
        <v>39</v>
      </c>
      <c r="E1841">
        <v>6</v>
      </c>
      <c r="F1841">
        <v>109844.81</v>
      </c>
      <c r="G1841">
        <v>1</v>
      </c>
      <c r="H1841" t="s">
        <v>22</v>
      </c>
      <c r="I1841" t="s">
        <v>23</v>
      </c>
      <c r="J1841">
        <v>25289.23</v>
      </c>
      <c r="K1841" t="s">
        <v>23</v>
      </c>
      <c r="L1841">
        <v>0.29937039874705013</v>
      </c>
      <c r="M1841" t="s">
        <v>23</v>
      </c>
      <c r="N1841">
        <v>0</v>
      </c>
      <c r="O1841">
        <v>0</v>
      </c>
      <c r="P1841" t="s">
        <v>24</v>
      </c>
      <c r="Q1841" t="s">
        <v>33</v>
      </c>
      <c r="R1841" t="s">
        <v>26</v>
      </c>
      <c r="S1841" t="s">
        <v>30</v>
      </c>
      <c r="T1841" t="s">
        <v>35</v>
      </c>
      <c r="U1841">
        <f t="shared" si="28"/>
        <v>1</v>
      </c>
    </row>
    <row r="1842" spans="1:21" x14ac:dyDescent="0.2">
      <c r="A1842">
        <v>765</v>
      </c>
      <c r="B1842" t="s">
        <v>41</v>
      </c>
      <c r="C1842" t="s">
        <v>21</v>
      </c>
      <c r="D1842">
        <v>37</v>
      </c>
      <c r="E1842">
        <v>7</v>
      </c>
      <c r="F1842">
        <v>102708.77</v>
      </c>
      <c r="G1842">
        <v>1</v>
      </c>
      <c r="H1842" t="s">
        <v>22</v>
      </c>
      <c r="I1842" t="s">
        <v>23</v>
      </c>
      <c r="J1842">
        <v>9087.81</v>
      </c>
      <c r="K1842" t="s">
        <v>23</v>
      </c>
      <c r="L1842">
        <v>0.27692389776999082</v>
      </c>
      <c r="M1842" t="s">
        <v>23</v>
      </c>
      <c r="N1842">
        <v>0</v>
      </c>
      <c r="O1842">
        <v>0</v>
      </c>
      <c r="P1842" t="s">
        <v>24</v>
      </c>
      <c r="Q1842" t="s">
        <v>33</v>
      </c>
      <c r="R1842" t="s">
        <v>26</v>
      </c>
      <c r="S1842" t="s">
        <v>37</v>
      </c>
      <c r="T1842" t="s">
        <v>35</v>
      </c>
      <c r="U1842">
        <f t="shared" si="28"/>
        <v>1</v>
      </c>
    </row>
    <row r="1843" spans="1:21" x14ac:dyDescent="0.2">
      <c r="A1843">
        <v>542</v>
      </c>
      <c r="B1843" t="s">
        <v>42</v>
      </c>
      <c r="C1843" t="s">
        <v>32</v>
      </c>
      <c r="D1843">
        <v>31</v>
      </c>
      <c r="E1843">
        <v>3</v>
      </c>
      <c r="F1843">
        <v>0</v>
      </c>
      <c r="G1843">
        <v>2</v>
      </c>
      <c r="H1843" t="s">
        <v>22</v>
      </c>
      <c r="I1843" t="s">
        <v>22</v>
      </c>
      <c r="J1843">
        <v>115217.59</v>
      </c>
      <c r="K1843" t="s">
        <v>23</v>
      </c>
      <c r="L1843">
        <v>5.6709556066450201E-2</v>
      </c>
      <c r="M1843" t="s">
        <v>23</v>
      </c>
      <c r="N1843">
        <v>0</v>
      </c>
      <c r="O1843">
        <v>0</v>
      </c>
      <c r="P1843" t="s">
        <v>34</v>
      </c>
      <c r="Q1843" t="s">
        <v>33</v>
      </c>
      <c r="R1843" t="s">
        <v>29</v>
      </c>
      <c r="S1843" t="s">
        <v>30</v>
      </c>
      <c r="T1843" t="s">
        <v>28</v>
      </c>
      <c r="U1843">
        <f t="shared" si="28"/>
        <v>1</v>
      </c>
    </row>
    <row r="1844" spans="1:21" x14ac:dyDescent="0.2">
      <c r="A1844">
        <v>727</v>
      </c>
      <c r="B1844" t="s">
        <v>42</v>
      </c>
      <c r="C1844" t="s">
        <v>21</v>
      </c>
      <c r="D1844">
        <v>62</v>
      </c>
      <c r="E1844">
        <v>5</v>
      </c>
      <c r="F1844">
        <v>0</v>
      </c>
      <c r="G1844">
        <v>2</v>
      </c>
      <c r="H1844" t="s">
        <v>23</v>
      </c>
      <c r="I1844" t="s">
        <v>22</v>
      </c>
      <c r="J1844">
        <v>38652.959999999999</v>
      </c>
      <c r="K1844" t="s">
        <v>23</v>
      </c>
      <c r="L1844">
        <v>0.22384552688718831</v>
      </c>
      <c r="M1844" t="s">
        <v>23</v>
      </c>
      <c r="N1844">
        <v>0</v>
      </c>
      <c r="O1844">
        <v>0</v>
      </c>
      <c r="P1844" t="s">
        <v>24</v>
      </c>
      <c r="Q1844" t="s">
        <v>46</v>
      </c>
      <c r="R1844" t="s">
        <v>29</v>
      </c>
      <c r="S1844" t="s">
        <v>37</v>
      </c>
      <c r="T1844" t="s">
        <v>35</v>
      </c>
      <c r="U1844">
        <f t="shared" si="28"/>
        <v>1</v>
      </c>
    </row>
    <row r="1845" spans="1:21" x14ac:dyDescent="0.2">
      <c r="A1845">
        <v>635</v>
      </c>
      <c r="B1845" t="s">
        <v>41</v>
      </c>
      <c r="C1845" t="s">
        <v>32</v>
      </c>
      <c r="D1845">
        <v>36</v>
      </c>
      <c r="E1845">
        <v>9</v>
      </c>
      <c r="F1845">
        <v>81231.850000000006</v>
      </c>
      <c r="G1845">
        <v>2</v>
      </c>
      <c r="H1845" t="s">
        <v>22</v>
      </c>
      <c r="I1845" t="s">
        <v>23</v>
      </c>
      <c r="J1845">
        <v>196731.08</v>
      </c>
      <c r="K1845" t="s">
        <v>23</v>
      </c>
      <c r="L1845">
        <v>0.37985634118172451</v>
      </c>
      <c r="M1845" t="s">
        <v>23</v>
      </c>
      <c r="N1845">
        <v>0</v>
      </c>
      <c r="O1845">
        <v>0</v>
      </c>
      <c r="P1845" t="s">
        <v>24</v>
      </c>
      <c r="Q1845" t="s">
        <v>33</v>
      </c>
      <c r="R1845" t="s">
        <v>38</v>
      </c>
      <c r="S1845" t="s">
        <v>27</v>
      </c>
      <c r="T1845" t="s">
        <v>31</v>
      </c>
      <c r="U1845">
        <f t="shared" si="28"/>
        <v>1</v>
      </c>
    </row>
    <row r="1846" spans="1:21" x14ac:dyDescent="0.2">
      <c r="A1846">
        <v>461</v>
      </c>
      <c r="B1846" t="s">
        <v>41</v>
      </c>
      <c r="C1846" t="s">
        <v>32</v>
      </c>
      <c r="D1846">
        <v>74</v>
      </c>
      <c r="E1846">
        <v>1</v>
      </c>
      <c r="F1846">
        <v>186445.31</v>
      </c>
      <c r="G1846">
        <v>2</v>
      </c>
      <c r="H1846" t="s">
        <v>22</v>
      </c>
      <c r="I1846" t="s">
        <v>22</v>
      </c>
      <c r="J1846">
        <v>196767.83</v>
      </c>
      <c r="K1846" t="s">
        <v>23</v>
      </c>
      <c r="L1846">
        <v>0.85609065448350363</v>
      </c>
      <c r="M1846" t="s">
        <v>22</v>
      </c>
      <c r="N1846">
        <v>0</v>
      </c>
      <c r="O1846">
        <v>1</v>
      </c>
      <c r="P1846" t="s">
        <v>43</v>
      </c>
      <c r="Q1846" t="s">
        <v>46</v>
      </c>
      <c r="R1846" t="s">
        <v>47</v>
      </c>
      <c r="S1846" t="s">
        <v>45</v>
      </c>
      <c r="T1846" t="s">
        <v>31</v>
      </c>
      <c r="U1846">
        <f t="shared" si="28"/>
        <v>0</v>
      </c>
    </row>
    <row r="1847" spans="1:21" x14ac:dyDescent="0.2">
      <c r="A1847">
        <v>713</v>
      </c>
      <c r="B1847" t="s">
        <v>42</v>
      </c>
      <c r="C1847" t="s">
        <v>21</v>
      </c>
      <c r="D1847">
        <v>36</v>
      </c>
      <c r="E1847">
        <v>8</v>
      </c>
      <c r="F1847">
        <v>133889.35</v>
      </c>
      <c r="G1847">
        <v>1</v>
      </c>
      <c r="H1847" t="s">
        <v>22</v>
      </c>
      <c r="I1847" t="s">
        <v>22</v>
      </c>
      <c r="J1847">
        <v>143265.65</v>
      </c>
      <c r="K1847" t="s">
        <v>23</v>
      </c>
      <c r="L1847">
        <v>6.0656797330697412E-2</v>
      </c>
      <c r="M1847" t="s">
        <v>23</v>
      </c>
      <c r="N1847">
        <v>0</v>
      </c>
      <c r="O1847">
        <v>0</v>
      </c>
      <c r="P1847" t="s">
        <v>34</v>
      </c>
      <c r="Q1847" t="s">
        <v>33</v>
      </c>
      <c r="R1847" t="s">
        <v>26</v>
      </c>
      <c r="S1847" t="s">
        <v>37</v>
      </c>
      <c r="T1847" t="s">
        <v>28</v>
      </c>
      <c r="U1847">
        <f t="shared" si="28"/>
        <v>1</v>
      </c>
    </row>
    <row r="1848" spans="1:21" x14ac:dyDescent="0.2">
      <c r="A1848">
        <v>658</v>
      </c>
      <c r="B1848" t="s">
        <v>41</v>
      </c>
      <c r="C1848" t="s">
        <v>32</v>
      </c>
      <c r="D1848">
        <v>45</v>
      </c>
      <c r="E1848">
        <v>9</v>
      </c>
      <c r="F1848">
        <v>134562.79999999999</v>
      </c>
      <c r="G1848">
        <v>1</v>
      </c>
      <c r="H1848" t="s">
        <v>22</v>
      </c>
      <c r="I1848" t="s">
        <v>22</v>
      </c>
      <c r="J1848">
        <v>159268.67000000001</v>
      </c>
      <c r="K1848" t="s">
        <v>23</v>
      </c>
      <c r="L1848">
        <v>0.32978986427343071</v>
      </c>
      <c r="M1848" t="s">
        <v>23</v>
      </c>
      <c r="N1848">
        <v>0</v>
      </c>
      <c r="O1848">
        <v>0</v>
      </c>
      <c r="P1848" t="s">
        <v>24</v>
      </c>
      <c r="Q1848" t="s">
        <v>25</v>
      </c>
      <c r="R1848" t="s">
        <v>26</v>
      </c>
      <c r="S1848" t="s">
        <v>27</v>
      </c>
      <c r="T1848" t="s">
        <v>31</v>
      </c>
      <c r="U1848">
        <f t="shared" si="28"/>
        <v>1</v>
      </c>
    </row>
    <row r="1849" spans="1:21" x14ac:dyDescent="0.2">
      <c r="A1849">
        <v>586</v>
      </c>
      <c r="B1849" t="s">
        <v>41</v>
      </c>
      <c r="C1849" t="s">
        <v>32</v>
      </c>
      <c r="D1849">
        <v>56</v>
      </c>
      <c r="E1849">
        <v>9</v>
      </c>
      <c r="F1849">
        <v>100781.75</v>
      </c>
      <c r="G1849">
        <v>2</v>
      </c>
      <c r="H1849" t="s">
        <v>22</v>
      </c>
      <c r="I1849" t="s">
        <v>22</v>
      </c>
      <c r="J1849">
        <v>54448.41</v>
      </c>
      <c r="K1849" t="s">
        <v>23</v>
      </c>
      <c r="L1849">
        <v>0.47622486784481682</v>
      </c>
      <c r="M1849" t="s">
        <v>23</v>
      </c>
      <c r="N1849">
        <v>0</v>
      </c>
      <c r="O1849">
        <v>0</v>
      </c>
      <c r="P1849" t="s">
        <v>24</v>
      </c>
      <c r="Q1849" t="s">
        <v>44</v>
      </c>
      <c r="R1849" t="s">
        <v>26</v>
      </c>
      <c r="S1849" t="s">
        <v>30</v>
      </c>
      <c r="T1849" t="s">
        <v>40</v>
      </c>
      <c r="U1849">
        <f t="shared" si="28"/>
        <v>1</v>
      </c>
    </row>
    <row r="1850" spans="1:21" x14ac:dyDescent="0.2">
      <c r="A1850">
        <v>698</v>
      </c>
      <c r="B1850" t="s">
        <v>20</v>
      </c>
      <c r="C1850" t="s">
        <v>32</v>
      </c>
      <c r="D1850">
        <v>38</v>
      </c>
      <c r="E1850">
        <v>1</v>
      </c>
      <c r="F1850">
        <v>171848.38</v>
      </c>
      <c r="G1850">
        <v>1</v>
      </c>
      <c r="H1850" t="s">
        <v>23</v>
      </c>
      <c r="I1850" t="s">
        <v>23</v>
      </c>
      <c r="J1850">
        <v>16957.45</v>
      </c>
      <c r="K1850" t="s">
        <v>23</v>
      </c>
      <c r="L1850">
        <v>0.330180015809589</v>
      </c>
      <c r="M1850" t="s">
        <v>23</v>
      </c>
      <c r="N1850">
        <v>0</v>
      </c>
      <c r="O1850">
        <v>0</v>
      </c>
      <c r="P1850" t="s">
        <v>24</v>
      </c>
      <c r="Q1850" t="s">
        <v>33</v>
      </c>
      <c r="R1850" t="s">
        <v>47</v>
      </c>
      <c r="S1850" t="s">
        <v>27</v>
      </c>
      <c r="T1850" t="s">
        <v>35</v>
      </c>
      <c r="U1850">
        <f t="shared" si="28"/>
        <v>1</v>
      </c>
    </row>
    <row r="1851" spans="1:21" x14ac:dyDescent="0.2">
      <c r="A1851">
        <v>742</v>
      </c>
      <c r="B1851" t="s">
        <v>42</v>
      </c>
      <c r="C1851" t="s">
        <v>21</v>
      </c>
      <c r="D1851">
        <v>27</v>
      </c>
      <c r="E1851">
        <v>0</v>
      </c>
      <c r="F1851">
        <v>0</v>
      </c>
      <c r="G1851">
        <v>2</v>
      </c>
      <c r="H1851" t="s">
        <v>23</v>
      </c>
      <c r="I1851" t="s">
        <v>22</v>
      </c>
      <c r="J1851">
        <v>131534.96</v>
      </c>
      <c r="K1851" t="s">
        <v>23</v>
      </c>
      <c r="L1851">
        <v>2.4301013880701852E-2</v>
      </c>
      <c r="M1851" t="s">
        <v>23</v>
      </c>
      <c r="N1851">
        <v>0</v>
      </c>
      <c r="O1851">
        <v>0</v>
      </c>
      <c r="P1851" t="s">
        <v>34</v>
      </c>
      <c r="Q1851" t="s">
        <v>36</v>
      </c>
      <c r="R1851" t="s">
        <v>29</v>
      </c>
      <c r="S1851" t="s">
        <v>37</v>
      </c>
      <c r="T1851" t="s">
        <v>28</v>
      </c>
      <c r="U1851">
        <f t="shared" si="28"/>
        <v>1</v>
      </c>
    </row>
    <row r="1852" spans="1:21" x14ac:dyDescent="0.2">
      <c r="A1852">
        <v>651</v>
      </c>
      <c r="B1852" t="s">
        <v>20</v>
      </c>
      <c r="C1852" t="s">
        <v>21</v>
      </c>
      <c r="D1852">
        <v>47</v>
      </c>
      <c r="E1852">
        <v>2</v>
      </c>
      <c r="F1852">
        <v>0</v>
      </c>
      <c r="G1852">
        <v>2</v>
      </c>
      <c r="H1852" t="s">
        <v>22</v>
      </c>
      <c r="I1852" t="s">
        <v>22</v>
      </c>
      <c r="J1852">
        <v>119808.64</v>
      </c>
      <c r="K1852" t="s">
        <v>23</v>
      </c>
      <c r="L1852">
        <v>0.10067944855021831</v>
      </c>
      <c r="M1852" t="s">
        <v>23</v>
      </c>
      <c r="N1852">
        <v>0</v>
      </c>
      <c r="O1852">
        <v>0</v>
      </c>
      <c r="P1852" t="s">
        <v>34</v>
      </c>
      <c r="Q1852" t="s">
        <v>25</v>
      </c>
      <c r="R1852" t="s">
        <v>29</v>
      </c>
      <c r="S1852" t="s">
        <v>27</v>
      </c>
      <c r="T1852" t="s">
        <v>28</v>
      </c>
      <c r="U1852">
        <f t="shared" si="28"/>
        <v>1</v>
      </c>
    </row>
    <row r="1853" spans="1:21" x14ac:dyDescent="0.2">
      <c r="A1853">
        <v>636</v>
      </c>
      <c r="B1853" t="s">
        <v>42</v>
      </c>
      <c r="C1853" t="s">
        <v>21</v>
      </c>
      <c r="D1853">
        <v>31</v>
      </c>
      <c r="E1853">
        <v>6</v>
      </c>
      <c r="F1853">
        <v>0</v>
      </c>
      <c r="G1853">
        <v>2</v>
      </c>
      <c r="H1853" t="s">
        <v>22</v>
      </c>
      <c r="I1853" t="s">
        <v>22</v>
      </c>
      <c r="J1853">
        <v>2382.61</v>
      </c>
      <c r="K1853" t="s">
        <v>23</v>
      </c>
      <c r="L1853">
        <v>2.801842085810451E-2</v>
      </c>
      <c r="M1853" t="s">
        <v>23</v>
      </c>
      <c r="N1853">
        <v>0</v>
      </c>
      <c r="O1853">
        <v>0</v>
      </c>
      <c r="P1853" t="s">
        <v>34</v>
      </c>
      <c r="Q1853" t="s">
        <v>33</v>
      </c>
      <c r="R1853" t="s">
        <v>29</v>
      </c>
      <c r="S1853" t="s">
        <v>27</v>
      </c>
      <c r="T1853" t="s">
        <v>35</v>
      </c>
      <c r="U1853">
        <f t="shared" si="28"/>
        <v>1</v>
      </c>
    </row>
    <row r="1854" spans="1:21" x14ac:dyDescent="0.2">
      <c r="A1854">
        <v>780</v>
      </c>
      <c r="B1854" t="s">
        <v>41</v>
      </c>
      <c r="C1854" t="s">
        <v>21</v>
      </c>
      <c r="D1854">
        <v>71</v>
      </c>
      <c r="E1854">
        <v>9</v>
      </c>
      <c r="F1854">
        <v>142550.25</v>
      </c>
      <c r="G1854">
        <v>2</v>
      </c>
      <c r="H1854" t="s">
        <v>22</v>
      </c>
      <c r="I1854" t="s">
        <v>22</v>
      </c>
      <c r="J1854">
        <v>122506.78</v>
      </c>
      <c r="K1854" t="s">
        <v>23</v>
      </c>
      <c r="L1854">
        <v>0.61757605868047893</v>
      </c>
      <c r="M1854" t="s">
        <v>22</v>
      </c>
      <c r="N1854">
        <v>0</v>
      </c>
      <c r="O1854">
        <v>1</v>
      </c>
      <c r="P1854" t="s">
        <v>43</v>
      </c>
      <c r="Q1854" t="s">
        <v>46</v>
      </c>
      <c r="R1854" t="s">
        <v>26</v>
      </c>
      <c r="S1854" t="s">
        <v>37</v>
      </c>
      <c r="T1854" t="s">
        <v>28</v>
      </c>
      <c r="U1854">
        <f t="shared" si="28"/>
        <v>0</v>
      </c>
    </row>
    <row r="1855" spans="1:21" x14ac:dyDescent="0.2">
      <c r="A1855">
        <v>710</v>
      </c>
      <c r="B1855" t="s">
        <v>41</v>
      </c>
      <c r="C1855" t="s">
        <v>32</v>
      </c>
      <c r="D1855">
        <v>62</v>
      </c>
      <c r="E1855">
        <v>9</v>
      </c>
      <c r="F1855">
        <v>148214.35999999999</v>
      </c>
      <c r="G1855">
        <v>1</v>
      </c>
      <c r="H1855" t="s">
        <v>22</v>
      </c>
      <c r="I1855" t="s">
        <v>23</v>
      </c>
      <c r="J1855">
        <v>48571.14</v>
      </c>
      <c r="K1855" t="s">
        <v>22</v>
      </c>
      <c r="L1855">
        <v>0.82864619261153671</v>
      </c>
      <c r="M1855" t="s">
        <v>22</v>
      </c>
      <c r="N1855">
        <v>1</v>
      </c>
      <c r="O1855">
        <v>1</v>
      </c>
      <c r="P1855" t="s">
        <v>43</v>
      </c>
      <c r="Q1855" t="s">
        <v>46</v>
      </c>
      <c r="R1855" t="s">
        <v>26</v>
      </c>
      <c r="S1855" t="s">
        <v>37</v>
      </c>
      <c r="T1855" t="s">
        <v>35</v>
      </c>
      <c r="U1855">
        <f t="shared" si="28"/>
        <v>1</v>
      </c>
    </row>
    <row r="1856" spans="1:21" x14ac:dyDescent="0.2">
      <c r="A1856">
        <v>558</v>
      </c>
      <c r="B1856" t="s">
        <v>41</v>
      </c>
      <c r="C1856" t="s">
        <v>21</v>
      </c>
      <c r="D1856">
        <v>58</v>
      </c>
      <c r="E1856">
        <v>2</v>
      </c>
      <c r="F1856">
        <v>142537.18</v>
      </c>
      <c r="G1856">
        <v>1</v>
      </c>
      <c r="H1856" t="s">
        <v>22</v>
      </c>
      <c r="I1856" t="s">
        <v>22</v>
      </c>
      <c r="J1856">
        <v>88791.83</v>
      </c>
      <c r="K1856" t="s">
        <v>23</v>
      </c>
      <c r="L1856">
        <v>0.47359629052964708</v>
      </c>
      <c r="M1856" t="s">
        <v>23</v>
      </c>
      <c r="N1856">
        <v>0</v>
      </c>
      <c r="O1856">
        <v>0</v>
      </c>
      <c r="P1856" t="s">
        <v>24</v>
      </c>
      <c r="Q1856" t="s">
        <v>44</v>
      </c>
      <c r="R1856" t="s">
        <v>26</v>
      </c>
      <c r="S1856" t="s">
        <v>30</v>
      </c>
      <c r="T1856" t="s">
        <v>40</v>
      </c>
      <c r="U1856">
        <f t="shared" si="28"/>
        <v>1</v>
      </c>
    </row>
    <row r="1857" spans="1:21" x14ac:dyDescent="0.2">
      <c r="A1857">
        <v>716</v>
      </c>
      <c r="B1857" t="s">
        <v>42</v>
      </c>
      <c r="C1857" t="s">
        <v>21</v>
      </c>
      <c r="D1857">
        <v>41</v>
      </c>
      <c r="E1857">
        <v>9</v>
      </c>
      <c r="F1857">
        <v>0</v>
      </c>
      <c r="G1857">
        <v>1</v>
      </c>
      <c r="H1857" t="s">
        <v>22</v>
      </c>
      <c r="I1857" t="s">
        <v>22</v>
      </c>
      <c r="J1857">
        <v>113267.48</v>
      </c>
      <c r="K1857" t="s">
        <v>23</v>
      </c>
      <c r="L1857">
        <v>5.9768664289679467E-2</v>
      </c>
      <c r="M1857" t="s">
        <v>23</v>
      </c>
      <c r="N1857">
        <v>0</v>
      </c>
      <c r="O1857">
        <v>0</v>
      </c>
      <c r="P1857" t="s">
        <v>34</v>
      </c>
      <c r="Q1857" t="s">
        <v>25</v>
      </c>
      <c r="R1857" t="s">
        <v>29</v>
      </c>
      <c r="S1857" t="s">
        <v>37</v>
      </c>
      <c r="T1857" t="s">
        <v>28</v>
      </c>
      <c r="U1857">
        <f t="shared" si="28"/>
        <v>1</v>
      </c>
    </row>
    <row r="1858" spans="1:21" x14ac:dyDescent="0.2">
      <c r="A1858">
        <v>667</v>
      </c>
      <c r="B1858" t="s">
        <v>42</v>
      </c>
      <c r="C1858" t="s">
        <v>21</v>
      </c>
      <c r="D1858">
        <v>40</v>
      </c>
      <c r="E1858">
        <v>8</v>
      </c>
      <c r="F1858">
        <v>72945.289999999994</v>
      </c>
      <c r="G1858">
        <v>2</v>
      </c>
      <c r="H1858" t="s">
        <v>22</v>
      </c>
      <c r="I1858" t="s">
        <v>23</v>
      </c>
      <c r="J1858">
        <v>98931.5</v>
      </c>
      <c r="K1858" t="s">
        <v>23</v>
      </c>
      <c r="L1858">
        <v>0.16677862233945731</v>
      </c>
      <c r="M1858" t="s">
        <v>23</v>
      </c>
      <c r="N1858">
        <v>0</v>
      </c>
      <c r="O1858">
        <v>0</v>
      </c>
      <c r="P1858" t="s">
        <v>34</v>
      </c>
      <c r="Q1858" t="s">
        <v>33</v>
      </c>
      <c r="R1858" t="s">
        <v>38</v>
      </c>
      <c r="S1858" t="s">
        <v>27</v>
      </c>
      <c r="T1858" t="s">
        <v>40</v>
      </c>
      <c r="U1858">
        <f t="shared" ref="U1858:U1921" si="29">IF(K1858=M1858,1,0)</f>
        <v>1</v>
      </c>
    </row>
    <row r="1859" spans="1:21" x14ac:dyDescent="0.2">
      <c r="A1859">
        <v>739</v>
      </c>
      <c r="B1859" t="s">
        <v>20</v>
      </c>
      <c r="C1859" t="s">
        <v>32</v>
      </c>
      <c r="D1859">
        <v>40</v>
      </c>
      <c r="E1859">
        <v>8</v>
      </c>
      <c r="F1859">
        <v>0</v>
      </c>
      <c r="G1859">
        <v>1</v>
      </c>
      <c r="H1859" t="s">
        <v>22</v>
      </c>
      <c r="I1859" t="s">
        <v>23</v>
      </c>
      <c r="J1859">
        <v>167030.51</v>
      </c>
      <c r="K1859" t="s">
        <v>23</v>
      </c>
      <c r="L1859">
        <v>0.246024106381492</v>
      </c>
      <c r="M1859" t="s">
        <v>23</v>
      </c>
      <c r="N1859">
        <v>0</v>
      </c>
      <c r="O1859">
        <v>0</v>
      </c>
      <c r="P1859" t="s">
        <v>24</v>
      </c>
      <c r="Q1859" t="s">
        <v>33</v>
      </c>
      <c r="R1859" t="s">
        <v>29</v>
      </c>
      <c r="S1859" t="s">
        <v>37</v>
      </c>
      <c r="T1859" t="s">
        <v>31</v>
      </c>
      <c r="U1859">
        <f t="shared" si="29"/>
        <v>1</v>
      </c>
    </row>
    <row r="1860" spans="1:21" x14ac:dyDescent="0.2">
      <c r="A1860">
        <v>645</v>
      </c>
      <c r="B1860" t="s">
        <v>41</v>
      </c>
      <c r="C1860" t="s">
        <v>21</v>
      </c>
      <c r="D1860">
        <v>43</v>
      </c>
      <c r="E1860">
        <v>9</v>
      </c>
      <c r="F1860">
        <v>140121.17000000001</v>
      </c>
      <c r="G1860">
        <v>1</v>
      </c>
      <c r="H1860" t="s">
        <v>22</v>
      </c>
      <c r="I1860" t="s">
        <v>23</v>
      </c>
      <c r="J1860">
        <v>11302.7</v>
      </c>
      <c r="K1860" t="s">
        <v>22</v>
      </c>
      <c r="L1860">
        <v>0.40754946180616058</v>
      </c>
      <c r="M1860" t="s">
        <v>23</v>
      </c>
      <c r="N1860">
        <v>1</v>
      </c>
      <c r="O1860">
        <v>0</v>
      </c>
      <c r="P1860" t="s">
        <v>24</v>
      </c>
      <c r="Q1860" t="s">
        <v>25</v>
      </c>
      <c r="R1860" t="s">
        <v>26</v>
      </c>
      <c r="S1860" t="s">
        <v>27</v>
      </c>
      <c r="T1860" t="s">
        <v>35</v>
      </c>
      <c r="U1860">
        <f t="shared" si="29"/>
        <v>0</v>
      </c>
    </row>
    <row r="1861" spans="1:21" x14ac:dyDescent="0.2">
      <c r="A1861">
        <v>552</v>
      </c>
      <c r="B1861" t="s">
        <v>41</v>
      </c>
      <c r="C1861" t="s">
        <v>21</v>
      </c>
      <c r="D1861">
        <v>39</v>
      </c>
      <c r="E1861">
        <v>2</v>
      </c>
      <c r="F1861">
        <v>132906.88</v>
      </c>
      <c r="G1861">
        <v>1</v>
      </c>
      <c r="H1861" t="s">
        <v>23</v>
      </c>
      <c r="I1861" t="s">
        <v>22</v>
      </c>
      <c r="J1861">
        <v>149384.43</v>
      </c>
      <c r="K1861" t="s">
        <v>23</v>
      </c>
      <c r="L1861">
        <v>0.18750951806179109</v>
      </c>
      <c r="M1861" t="s">
        <v>23</v>
      </c>
      <c r="N1861">
        <v>0</v>
      </c>
      <c r="O1861">
        <v>0</v>
      </c>
      <c r="P1861" t="s">
        <v>34</v>
      </c>
      <c r="Q1861" t="s">
        <v>33</v>
      </c>
      <c r="R1861" t="s">
        <v>26</v>
      </c>
      <c r="S1861" t="s">
        <v>30</v>
      </c>
      <c r="T1861" t="s">
        <v>28</v>
      </c>
      <c r="U1861">
        <f t="shared" si="29"/>
        <v>1</v>
      </c>
    </row>
    <row r="1862" spans="1:21" x14ac:dyDescent="0.2">
      <c r="A1862">
        <v>561</v>
      </c>
      <c r="B1862" t="s">
        <v>42</v>
      </c>
      <c r="C1862" t="s">
        <v>21</v>
      </c>
      <c r="D1862">
        <v>43</v>
      </c>
      <c r="E1862">
        <v>4</v>
      </c>
      <c r="F1862">
        <v>0</v>
      </c>
      <c r="G1862">
        <v>4</v>
      </c>
      <c r="H1862" t="s">
        <v>23</v>
      </c>
      <c r="I1862" t="s">
        <v>23</v>
      </c>
      <c r="J1862">
        <v>18522.91</v>
      </c>
      <c r="K1862" t="s">
        <v>22</v>
      </c>
      <c r="L1862">
        <v>0.1620343659054789</v>
      </c>
      <c r="M1862" t="s">
        <v>23</v>
      </c>
      <c r="N1862">
        <v>1</v>
      </c>
      <c r="O1862">
        <v>0</v>
      </c>
      <c r="P1862" t="s">
        <v>34</v>
      </c>
      <c r="Q1862" t="s">
        <v>25</v>
      </c>
      <c r="R1862" t="s">
        <v>29</v>
      </c>
      <c r="S1862" t="s">
        <v>30</v>
      </c>
      <c r="T1862" t="s">
        <v>35</v>
      </c>
      <c r="U1862">
        <f t="shared" si="29"/>
        <v>0</v>
      </c>
    </row>
    <row r="1863" spans="1:21" x14ac:dyDescent="0.2">
      <c r="A1863">
        <v>645</v>
      </c>
      <c r="B1863" t="s">
        <v>42</v>
      </c>
      <c r="C1863" t="s">
        <v>32</v>
      </c>
      <c r="D1863">
        <v>38</v>
      </c>
      <c r="E1863">
        <v>7</v>
      </c>
      <c r="F1863">
        <v>59568.57</v>
      </c>
      <c r="G1863">
        <v>1</v>
      </c>
      <c r="H1863" t="s">
        <v>22</v>
      </c>
      <c r="I1863" t="s">
        <v>22</v>
      </c>
      <c r="J1863">
        <v>167723.25</v>
      </c>
      <c r="K1863" t="s">
        <v>23</v>
      </c>
      <c r="L1863">
        <v>0.1037193962125777</v>
      </c>
      <c r="M1863" t="s">
        <v>23</v>
      </c>
      <c r="N1863">
        <v>0</v>
      </c>
      <c r="O1863">
        <v>0</v>
      </c>
      <c r="P1863" t="s">
        <v>34</v>
      </c>
      <c r="Q1863" t="s">
        <v>33</v>
      </c>
      <c r="R1863" t="s">
        <v>38</v>
      </c>
      <c r="S1863" t="s">
        <v>27</v>
      </c>
      <c r="T1863" t="s">
        <v>31</v>
      </c>
      <c r="U1863">
        <f t="shared" si="29"/>
        <v>1</v>
      </c>
    </row>
    <row r="1864" spans="1:21" x14ac:dyDescent="0.2">
      <c r="A1864">
        <v>687</v>
      </c>
      <c r="B1864" t="s">
        <v>41</v>
      </c>
      <c r="C1864" t="s">
        <v>21</v>
      </c>
      <c r="D1864">
        <v>44</v>
      </c>
      <c r="E1864">
        <v>8</v>
      </c>
      <c r="F1864">
        <v>95368.14</v>
      </c>
      <c r="G1864">
        <v>2</v>
      </c>
      <c r="H1864" t="s">
        <v>22</v>
      </c>
      <c r="I1864" t="s">
        <v>22</v>
      </c>
      <c r="J1864">
        <v>1787.85</v>
      </c>
      <c r="K1864" t="s">
        <v>23</v>
      </c>
      <c r="L1864">
        <v>0.16462738106375119</v>
      </c>
      <c r="M1864" t="s">
        <v>23</v>
      </c>
      <c r="N1864">
        <v>0</v>
      </c>
      <c r="O1864">
        <v>0</v>
      </c>
      <c r="P1864" t="s">
        <v>34</v>
      </c>
      <c r="Q1864" t="s">
        <v>25</v>
      </c>
      <c r="R1864" t="s">
        <v>38</v>
      </c>
      <c r="S1864" t="s">
        <v>27</v>
      </c>
      <c r="T1864" t="s">
        <v>35</v>
      </c>
      <c r="U1864">
        <f t="shared" si="29"/>
        <v>1</v>
      </c>
    </row>
    <row r="1865" spans="1:21" x14ac:dyDescent="0.2">
      <c r="A1865">
        <v>679</v>
      </c>
      <c r="B1865" t="s">
        <v>20</v>
      </c>
      <c r="C1865" t="s">
        <v>21</v>
      </c>
      <c r="D1865">
        <v>39</v>
      </c>
      <c r="E1865">
        <v>5</v>
      </c>
      <c r="F1865">
        <v>0</v>
      </c>
      <c r="G1865">
        <v>2</v>
      </c>
      <c r="H1865" t="s">
        <v>22</v>
      </c>
      <c r="I1865" t="s">
        <v>22</v>
      </c>
      <c r="J1865">
        <v>100060.54</v>
      </c>
      <c r="K1865" t="s">
        <v>23</v>
      </c>
      <c r="L1865">
        <v>5.3583588740177823E-2</v>
      </c>
      <c r="M1865" t="s">
        <v>23</v>
      </c>
      <c r="N1865">
        <v>0</v>
      </c>
      <c r="O1865">
        <v>0</v>
      </c>
      <c r="P1865" t="s">
        <v>34</v>
      </c>
      <c r="Q1865" t="s">
        <v>33</v>
      </c>
      <c r="R1865" t="s">
        <v>29</v>
      </c>
      <c r="S1865" t="s">
        <v>27</v>
      </c>
      <c r="T1865" t="s">
        <v>28</v>
      </c>
      <c r="U1865">
        <f t="shared" si="29"/>
        <v>1</v>
      </c>
    </row>
    <row r="1866" spans="1:21" x14ac:dyDescent="0.2">
      <c r="A1866">
        <v>766</v>
      </c>
      <c r="B1866" t="s">
        <v>42</v>
      </c>
      <c r="C1866" t="s">
        <v>32</v>
      </c>
      <c r="D1866">
        <v>52</v>
      </c>
      <c r="E1866">
        <v>7</v>
      </c>
      <c r="F1866">
        <v>92510.9</v>
      </c>
      <c r="G1866">
        <v>2</v>
      </c>
      <c r="H1866" t="s">
        <v>23</v>
      </c>
      <c r="I1866" t="s">
        <v>22</v>
      </c>
      <c r="J1866">
        <v>66193.61</v>
      </c>
      <c r="K1866" t="s">
        <v>23</v>
      </c>
      <c r="L1866">
        <v>0.22317604701805169</v>
      </c>
      <c r="M1866" t="s">
        <v>23</v>
      </c>
      <c r="N1866">
        <v>0</v>
      </c>
      <c r="O1866">
        <v>0</v>
      </c>
      <c r="P1866" t="s">
        <v>24</v>
      </c>
      <c r="Q1866" t="s">
        <v>44</v>
      </c>
      <c r="R1866" t="s">
        <v>38</v>
      </c>
      <c r="S1866" t="s">
        <v>37</v>
      </c>
      <c r="T1866" t="s">
        <v>40</v>
      </c>
      <c r="U1866">
        <f t="shared" si="29"/>
        <v>1</v>
      </c>
    </row>
    <row r="1867" spans="1:21" x14ac:dyDescent="0.2">
      <c r="A1867">
        <v>595</v>
      </c>
      <c r="B1867" t="s">
        <v>20</v>
      </c>
      <c r="C1867" t="s">
        <v>32</v>
      </c>
      <c r="D1867">
        <v>43</v>
      </c>
      <c r="E1867">
        <v>5</v>
      </c>
      <c r="F1867">
        <v>0</v>
      </c>
      <c r="G1867">
        <v>2</v>
      </c>
      <c r="H1867" t="s">
        <v>23</v>
      </c>
      <c r="I1867" t="s">
        <v>23</v>
      </c>
      <c r="J1867">
        <v>105149.8</v>
      </c>
      <c r="K1867" t="s">
        <v>23</v>
      </c>
      <c r="L1867">
        <v>0.30050145267569611</v>
      </c>
      <c r="M1867" t="s">
        <v>23</v>
      </c>
      <c r="N1867">
        <v>0</v>
      </c>
      <c r="O1867">
        <v>0</v>
      </c>
      <c r="P1867" t="s">
        <v>24</v>
      </c>
      <c r="Q1867" t="s">
        <v>25</v>
      </c>
      <c r="R1867" t="s">
        <v>29</v>
      </c>
      <c r="S1867" t="s">
        <v>30</v>
      </c>
      <c r="T1867" t="s">
        <v>28</v>
      </c>
      <c r="U1867">
        <f t="shared" si="29"/>
        <v>1</v>
      </c>
    </row>
    <row r="1868" spans="1:21" x14ac:dyDescent="0.2">
      <c r="A1868">
        <v>419</v>
      </c>
      <c r="B1868" t="s">
        <v>20</v>
      </c>
      <c r="C1868" t="s">
        <v>32</v>
      </c>
      <c r="D1868">
        <v>27</v>
      </c>
      <c r="E1868">
        <v>2</v>
      </c>
      <c r="F1868">
        <v>121580.42</v>
      </c>
      <c r="G1868">
        <v>1</v>
      </c>
      <c r="H1868" t="s">
        <v>23</v>
      </c>
      <c r="I1868" t="s">
        <v>22</v>
      </c>
      <c r="J1868">
        <v>134720.51</v>
      </c>
      <c r="K1868" t="s">
        <v>23</v>
      </c>
      <c r="L1868">
        <v>7.5704840958164377E-2</v>
      </c>
      <c r="M1868" t="s">
        <v>23</v>
      </c>
      <c r="N1868">
        <v>0</v>
      </c>
      <c r="O1868">
        <v>0</v>
      </c>
      <c r="P1868" t="s">
        <v>34</v>
      </c>
      <c r="Q1868" t="s">
        <v>36</v>
      </c>
      <c r="R1868" t="s">
        <v>26</v>
      </c>
      <c r="S1868" t="s">
        <v>45</v>
      </c>
      <c r="T1868" t="s">
        <v>28</v>
      </c>
      <c r="U1868">
        <f t="shared" si="29"/>
        <v>1</v>
      </c>
    </row>
    <row r="1869" spans="1:21" x14ac:dyDescent="0.2">
      <c r="A1869">
        <v>570</v>
      </c>
      <c r="B1869" t="s">
        <v>20</v>
      </c>
      <c r="C1869" t="s">
        <v>21</v>
      </c>
      <c r="D1869">
        <v>34</v>
      </c>
      <c r="E1869">
        <v>10</v>
      </c>
      <c r="F1869">
        <v>0</v>
      </c>
      <c r="G1869">
        <v>2</v>
      </c>
      <c r="H1869" t="s">
        <v>23</v>
      </c>
      <c r="I1869" t="s">
        <v>22</v>
      </c>
      <c r="J1869">
        <v>183387.12</v>
      </c>
      <c r="K1869" t="s">
        <v>23</v>
      </c>
      <c r="L1869">
        <v>3.9694160401527533E-2</v>
      </c>
      <c r="M1869" t="s">
        <v>23</v>
      </c>
      <c r="N1869">
        <v>0</v>
      </c>
      <c r="O1869">
        <v>0</v>
      </c>
      <c r="P1869" t="s">
        <v>34</v>
      </c>
      <c r="Q1869" t="s">
        <v>33</v>
      </c>
      <c r="R1869" t="s">
        <v>29</v>
      </c>
      <c r="S1869" t="s">
        <v>30</v>
      </c>
      <c r="T1869" t="s">
        <v>31</v>
      </c>
      <c r="U1869">
        <f t="shared" si="29"/>
        <v>1</v>
      </c>
    </row>
    <row r="1870" spans="1:21" x14ac:dyDescent="0.2">
      <c r="A1870">
        <v>640</v>
      </c>
      <c r="B1870" t="s">
        <v>41</v>
      </c>
      <c r="C1870" t="s">
        <v>32</v>
      </c>
      <c r="D1870">
        <v>46</v>
      </c>
      <c r="E1870">
        <v>5</v>
      </c>
      <c r="F1870">
        <v>107978.4</v>
      </c>
      <c r="G1870">
        <v>2</v>
      </c>
      <c r="H1870" t="s">
        <v>22</v>
      </c>
      <c r="I1870" t="s">
        <v>23</v>
      </c>
      <c r="J1870">
        <v>155876.06</v>
      </c>
      <c r="K1870" t="s">
        <v>23</v>
      </c>
      <c r="L1870">
        <v>0.59192445906364499</v>
      </c>
      <c r="M1870" t="s">
        <v>22</v>
      </c>
      <c r="N1870">
        <v>0</v>
      </c>
      <c r="O1870">
        <v>1</v>
      </c>
      <c r="P1870" t="s">
        <v>43</v>
      </c>
      <c r="Q1870" t="s">
        <v>25</v>
      </c>
      <c r="R1870" t="s">
        <v>26</v>
      </c>
      <c r="S1870" t="s">
        <v>27</v>
      </c>
      <c r="T1870" t="s">
        <v>31</v>
      </c>
      <c r="U1870">
        <f t="shared" si="29"/>
        <v>0</v>
      </c>
    </row>
    <row r="1871" spans="1:21" x14ac:dyDescent="0.2">
      <c r="A1871">
        <v>768</v>
      </c>
      <c r="B1871" t="s">
        <v>41</v>
      </c>
      <c r="C1871" t="s">
        <v>32</v>
      </c>
      <c r="D1871">
        <v>43</v>
      </c>
      <c r="E1871">
        <v>2</v>
      </c>
      <c r="F1871">
        <v>129264.05</v>
      </c>
      <c r="G1871">
        <v>2</v>
      </c>
      <c r="H1871" t="s">
        <v>23</v>
      </c>
      <c r="I1871" t="s">
        <v>23</v>
      </c>
      <c r="J1871">
        <v>19150.14</v>
      </c>
      <c r="K1871" t="s">
        <v>23</v>
      </c>
      <c r="L1871">
        <v>0.53284760281650201</v>
      </c>
      <c r="M1871" t="s">
        <v>22</v>
      </c>
      <c r="N1871">
        <v>0</v>
      </c>
      <c r="O1871">
        <v>1</v>
      </c>
      <c r="P1871" t="s">
        <v>43</v>
      </c>
      <c r="Q1871" t="s">
        <v>25</v>
      </c>
      <c r="R1871" t="s">
        <v>26</v>
      </c>
      <c r="S1871" t="s">
        <v>37</v>
      </c>
      <c r="T1871" t="s">
        <v>35</v>
      </c>
      <c r="U1871">
        <f t="shared" si="29"/>
        <v>0</v>
      </c>
    </row>
    <row r="1872" spans="1:21" x14ac:dyDescent="0.2">
      <c r="A1872">
        <v>689</v>
      </c>
      <c r="B1872" t="s">
        <v>42</v>
      </c>
      <c r="C1872" t="s">
        <v>32</v>
      </c>
      <c r="D1872">
        <v>40</v>
      </c>
      <c r="E1872">
        <v>1</v>
      </c>
      <c r="F1872">
        <v>0</v>
      </c>
      <c r="G1872">
        <v>2</v>
      </c>
      <c r="H1872" t="s">
        <v>22</v>
      </c>
      <c r="I1872" t="s">
        <v>22</v>
      </c>
      <c r="J1872">
        <v>119446.64</v>
      </c>
      <c r="K1872" t="s">
        <v>23</v>
      </c>
      <c r="L1872">
        <v>9.9273434805518687E-2</v>
      </c>
      <c r="M1872" t="s">
        <v>23</v>
      </c>
      <c r="N1872">
        <v>0</v>
      </c>
      <c r="O1872">
        <v>0</v>
      </c>
      <c r="P1872" t="s">
        <v>34</v>
      </c>
      <c r="Q1872" t="s">
        <v>33</v>
      </c>
      <c r="R1872" t="s">
        <v>29</v>
      </c>
      <c r="S1872" t="s">
        <v>27</v>
      </c>
      <c r="T1872" t="s">
        <v>28</v>
      </c>
      <c r="U1872">
        <f t="shared" si="29"/>
        <v>1</v>
      </c>
    </row>
    <row r="1873" spans="1:21" x14ac:dyDescent="0.2">
      <c r="A1873">
        <v>737</v>
      </c>
      <c r="B1873" t="s">
        <v>42</v>
      </c>
      <c r="C1873" t="s">
        <v>32</v>
      </c>
      <c r="D1873">
        <v>70</v>
      </c>
      <c r="E1873">
        <v>9</v>
      </c>
      <c r="F1873">
        <v>87542.89</v>
      </c>
      <c r="G1873">
        <v>2</v>
      </c>
      <c r="H1873" t="s">
        <v>22</v>
      </c>
      <c r="I1873" t="s">
        <v>22</v>
      </c>
      <c r="J1873">
        <v>42576.86</v>
      </c>
      <c r="K1873" t="s">
        <v>23</v>
      </c>
      <c r="L1873">
        <v>0.50170565948091728</v>
      </c>
      <c r="M1873" t="s">
        <v>22</v>
      </c>
      <c r="N1873">
        <v>0</v>
      </c>
      <c r="O1873">
        <v>1</v>
      </c>
      <c r="P1873" t="s">
        <v>43</v>
      </c>
      <c r="Q1873" t="s">
        <v>46</v>
      </c>
      <c r="R1873" t="s">
        <v>38</v>
      </c>
      <c r="S1873" t="s">
        <v>37</v>
      </c>
      <c r="T1873" t="s">
        <v>35</v>
      </c>
      <c r="U1873">
        <f t="shared" si="29"/>
        <v>0</v>
      </c>
    </row>
    <row r="1874" spans="1:21" x14ac:dyDescent="0.2">
      <c r="A1874">
        <v>651</v>
      </c>
      <c r="B1874" t="s">
        <v>42</v>
      </c>
      <c r="C1874" t="s">
        <v>32</v>
      </c>
      <c r="D1874">
        <v>32</v>
      </c>
      <c r="E1874">
        <v>8</v>
      </c>
      <c r="F1874">
        <v>144581.96</v>
      </c>
      <c r="G1874">
        <v>1</v>
      </c>
      <c r="H1874" t="s">
        <v>22</v>
      </c>
      <c r="I1874" t="s">
        <v>22</v>
      </c>
      <c r="J1874">
        <v>87609.5</v>
      </c>
      <c r="K1874" t="s">
        <v>23</v>
      </c>
      <c r="L1874">
        <v>7.9515389839974249E-2</v>
      </c>
      <c r="M1874" t="s">
        <v>23</v>
      </c>
      <c r="N1874">
        <v>0</v>
      </c>
      <c r="O1874">
        <v>0</v>
      </c>
      <c r="P1874" t="s">
        <v>34</v>
      </c>
      <c r="Q1874" t="s">
        <v>33</v>
      </c>
      <c r="R1874" t="s">
        <v>26</v>
      </c>
      <c r="S1874" t="s">
        <v>27</v>
      </c>
      <c r="T1874" t="s">
        <v>40</v>
      </c>
      <c r="U1874">
        <f t="shared" si="29"/>
        <v>1</v>
      </c>
    </row>
    <row r="1875" spans="1:21" x14ac:dyDescent="0.2">
      <c r="A1875">
        <v>685</v>
      </c>
      <c r="B1875" t="s">
        <v>41</v>
      </c>
      <c r="C1875" t="s">
        <v>21</v>
      </c>
      <c r="D1875">
        <v>38</v>
      </c>
      <c r="E1875">
        <v>4</v>
      </c>
      <c r="F1875">
        <v>111798.06</v>
      </c>
      <c r="G1875">
        <v>2</v>
      </c>
      <c r="H1875" t="s">
        <v>22</v>
      </c>
      <c r="I1875" t="s">
        <v>22</v>
      </c>
      <c r="J1875">
        <v>102184.66</v>
      </c>
      <c r="K1875" t="s">
        <v>23</v>
      </c>
      <c r="L1875">
        <v>0.13137403911587239</v>
      </c>
      <c r="M1875" t="s">
        <v>23</v>
      </c>
      <c r="N1875">
        <v>0</v>
      </c>
      <c r="O1875">
        <v>0</v>
      </c>
      <c r="P1875" t="s">
        <v>34</v>
      </c>
      <c r="Q1875" t="s">
        <v>33</v>
      </c>
      <c r="R1875" t="s">
        <v>26</v>
      </c>
      <c r="S1875" t="s">
        <v>27</v>
      </c>
      <c r="T1875" t="s">
        <v>28</v>
      </c>
      <c r="U1875">
        <f t="shared" si="29"/>
        <v>1</v>
      </c>
    </row>
    <row r="1876" spans="1:21" x14ac:dyDescent="0.2">
      <c r="A1876">
        <v>670</v>
      </c>
      <c r="B1876" t="s">
        <v>42</v>
      </c>
      <c r="C1876" t="s">
        <v>32</v>
      </c>
      <c r="D1876">
        <v>27</v>
      </c>
      <c r="E1876">
        <v>5</v>
      </c>
      <c r="F1876">
        <v>79336.61</v>
      </c>
      <c r="G1876">
        <v>1</v>
      </c>
      <c r="H1876" t="s">
        <v>22</v>
      </c>
      <c r="I1876" t="s">
        <v>22</v>
      </c>
      <c r="J1876">
        <v>26170.080000000002</v>
      </c>
      <c r="K1876" t="s">
        <v>23</v>
      </c>
      <c r="L1876">
        <v>4.8513551175512017E-2</v>
      </c>
      <c r="M1876" t="s">
        <v>23</v>
      </c>
      <c r="N1876">
        <v>0</v>
      </c>
      <c r="O1876">
        <v>0</v>
      </c>
      <c r="P1876" t="s">
        <v>34</v>
      </c>
      <c r="Q1876" t="s">
        <v>36</v>
      </c>
      <c r="R1876" t="s">
        <v>38</v>
      </c>
      <c r="S1876" t="s">
        <v>27</v>
      </c>
      <c r="T1876" t="s">
        <v>35</v>
      </c>
      <c r="U1876">
        <f t="shared" si="29"/>
        <v>1</v>
      </c>
    </row>
    <row r="1877" spans="1:21" x14ac:dyDescent="0.2">
      <c r="A1877">
        <v>701</v>
      </c>
      <c r="B1877" t="s">
        <v>41</v>
      </c>
      <c r="C1877" t="s">
        <v>21</v>
      </c>
      <c r="D1877">
        <v>63</v>
      </c>
      <c r="E1877">
        <v>3</v>
      </c>
      <c r="F1877">
        <v>120916.52</v>
      </c>
      <c r="G1877">
        <v>3</v>
      </c>
      <c r="H1877" t="s">
        <v>23</v>
      </c>
      <c r="I1877" t="s">
        <v>23</v>
      </c>
      <c r="J1877">
        <v>144727.45000000001</v>
      </c>
      <c r="K1877" t="s">
        <v>22</v>
      </c>
      <c r="L1877">
        <v>0.73799604697479659</v>
      </c>
      <c r="M1877" t="s">
        <v>22</v>
      </c>
      <c r="N1877">
        <v>1</v>
      </c>
      <c r="O1877">
        <v>1</v>
      </c>
      <c r="P1877" t="s">
        <v>43</v>
      </c>
      <c r="Q1877" t="s">
        <v>46</v>
      </c>
      <c r="R1877" t="s">
        <v>26</v>
      </c>
      <c r="S1877" t="s">
        <v>37</v>
      </c>
      <c r="T1877" t="s">
        <v>28</v>
      </c>
      <c r="U1877">
        <f t="shared" si="29"/>
        <v>1</v>
      </c>
    </row>
    <row r="1878" spans="1:21" x14ac:dyDescent="0.2">
      <c r="A1878">
        <v>544</v>
      </c>
      <c r="B1878" t="s">
        <v>42</v>
      </c>
      <c r="C1878" t="s">
        <v>21</v>
      </c>
      <c r="D1878">
        <v>30</v>
      </c>
      <c r="E1878">
        <v>4</v>
      </c>
      <c r="F1878">
        <v>73218.89</v>
      </c>
      <c r="G1878">
        <v>1</v>
      </c>
      <c r="H1878" t="s">
        <v>23</v>
      </c>
      <c r="I1878" t="s">
        <v>22</v>
      </c>
      <c r="J1878">
        <v>126796.69</v>
      </c>
      <c r="K1878" t="s">
        <v>23</v>
      </c>
      <c r="L1878">
        <v>4.2208880753815847E-2</v>
      </c>
      <c r="M1878" t="s">
        <v>23</v>
      </c>
      <c r="N1878">
        <v>0</v>
      </c>
      <c r="O1878">
        <v>0</v>
      </c>
      <c r="P1878" t="s">
        <v>34</v>
      </c>
      <c r="Q1878" t="s">
        <v>36</v>
      </c>
      <c r="R1878" t="s">
        <v>38</v>
      </c>
      <c r="S1878" t="s">
        <v>30</v>
      </c>
      <c r="T1878" t="s">
        <v>28</v>
      </c>
      <c r="U1878">
        <f t="shared" si="29"/>
        <v>1</v>
      </c>
    </row>
    <row r="1879" spans="1:21" x14ac:dyDescent="0.2">
      <c r="A1879">
        <v>663</v>
      </c>
      <c r="B1879" t="s">
        <v>41</v>
      </c>
      <c r="C1879" t="s">
        <v>21</v>
      </c>
      <c r="D1879">
        <v>28</v>
      </c>
      <c r="E1879">
        <v>8</v>
      </c>
      <c r="F1879">
        <v>123674.28</v>
      </c>
      <c r="G1879">
        <v>2</v>
      </c>
      <c r="H1879" t="s">
        <v>22</v>
      </c>
      <c r="I1879" t="s">
        <v>22</v>
      </c>
      <c r="J1879">
        <v>87985.2</v>
      </c>
      <c r="K1879" t="s">
        <v>23</v>
      </c>
      <c r="L1879">
        <v>6.4774311214083044E-2</v>
      </c>
      <c r="M1879" t="s">
        <v>23</v>
      </c>
      <c r="N1879">
        <v>0</v>
      </c>
      <c r="O1879">
        <v>0</v>
      </c>
      <c r="P1879" t="s">
        <v>34</v>
      </c>
      <c r="Q1879" t="s">
        <v>36</v>
      </c>
      <c r="R1879" t="s">
        <v>26</v>
      </c>
      <c r="S1879" t="s">
        <v>27</v>
      </c>
      <c r="T1879" t="s">
        <v>40</v>
      </c>
      <c r="U1879">
        <f t="shared" si="29"/>
        <v>1</v>
      </c>
    </row>
    <row r="1880" spans="1:21" x14ac:dyDescent="0.2">
      <c r="A1880">
        <v>727</v>
      </c>
      <c r="B1880" t="s">
        <v>42</v>
      </c>
      <c r="C1880" t="s">
        <v>21</v>
      </c>
      <c r="D1880">
        <v>52</v>
      </c>
      <c r="E1880">
        <v>4</v>
      </c>
      <c r="F1880">
        <v>0</v>
      </c>
      <c r="G1880">
        <v>2</v>
      </c>
      <c r="H1880" t="s">
        <v>22</v>
      </c>
      <c r="I1880" t="s">
        <v>22</v>
      </c>
      <c r="J1880">
        <v>118429.02</v>
      </c>
      <c r="K1880" t="s">
        <v>23</v>
      </c>
      <c r="L1880">
        <v>0.12443127273260531</v>
      </c>
      <c r="M1880" t="s">
        <v>23</v>
      </c>
      <c r="N1880">
        <v>0</v>
      </c>
      <c r="O1880">
        <v>0</v>
      </c>
      <c r="P1880" t="s">
        <v>34</v>
      </c>
      <c r="Q1880" t="s">
        <v>44</v>
      </c>
      <c r="R1880" t="s">
        <v>29</v>
      </c>
      <c r="S1880" t="s">
        <v>37</v>
      </c>
      <c r="T1880" t="s">
        <v>28</v>
      </c>
      <c r="U1880">
        <f t="shared" si="29"/>
        <v>1</v>
      </c>
    </row>
    <row r="1881" spans="1:21" x14ac:dyDescent="0.2">
      <c r="A1881">
        <v>639</v>
      </c>
      <c r="B1881" t="s">
        <v>42</v>
      </c>
      <c r="C1881" t="s">
        <v>21</v>
      </c>
      <c r="D1881">
        <v>39</v>
      </c>
      <c r="E1881">
        <v>6</v>
      </c>
      <c r="F1881">
        <v>150555.82999999999</v>
      </c>
      <c r="G1881">
        <v>1</v>
      </c>
      <c r="H1881" t="s">
        <v>22</v>
      </c>
      <c r="I1881" t="s">
        <v>23</v>
      </c>
      <c r="J1881">
        <v>30414.17</v>
      </c>
      <c r="K1881" t="s">
        <v>23</v>
      </c>
      <c r="L1881">
        <v>0.204689715240851</v>
      </c>
      <c r="M1881" t="s">
        <v>23</v>
      </c>
      <c r="N1881">
        <v>0</v>
      </c>
      <c r="O1881">
        <v>0</v>
      </c>
      <c r="P1881" t="s">
        <v>24</v>
      </c>
      <c r="Q1881" t="s">
        <v>33</v>
      </c>
      <c r="R1881" t="s">
        <v>47</v>
      </c>
      <c r="S1881" t="s">
        <v>27</v>
      </c>
      <c r="T1881" t="s">
        <v>35</v>
      </c>
      <c r="U1881">
        <f t="shared" si="29"/>
        <v>1</v>
      </c>
    </row>
    <row r="1882" spans="1:21" x14ac:dyDescent="0.2">
      <c r="A1882">
        <v>678</v>
      </c>
      <c r="B1882" t="s">
        <v>42</v>
      </c>
      <c r="C1882" t="s">
        <v>21</v>
      </c>
      <c r="D1882">
        <v>28</v>
      </c>
      <c r="E1882">
        <v>2</v>
      </c>
      <c r="F1882">
        <v>109137.12</v>
      </c>
      <c r="G1882">
        <v>1</v>
      </c>
      <c r="H1882" t="s">
        <v>22</v>
      </c>
      <c r="I1882" t="s">
        <v>22</v>
      </c>
      <c r="J1882">
        <v>58814.41</v>
      </c>
      <c r="K1882" t="s">
        <v>23</v>
      </c>
      <c r="L1882">
        <v>3.555962177912643E-2</v>
      </c>
      <c r="M1882" t="s">
        <v>23</v>
      </c>
      <c r="N1882">
        <v>0</v>
      </c>
      <c r="O1882">
        <v>0</v>
      </c>
      <c r="P1882" t="s">
        <v>34</v>
      </c>
      <c r="Q1882" t="s">
        <v>36</v>
      </c>
      <c r="R1882" t="s">
        <v>26</v>
      </c>
      <c r="S1882" t="s">
        <v>27</v>
      </c>
      <c r="T1882" t="s">
        <v>40</v>
      </c>
      <c r="U1882">
        <f t="shared" si="29"/>
        <v>1</v>
      </c>
    </row>
    <row r="1883" spans="1:21" x14ac:dyDescent="0.2">
      <c r="A1883">
        <v>800</v>
      </c>
      <c r="B1883" t="s">
        <v>20</v>
      </c>
      <c r="C1883" t="s">
        <v>32</v>
      </c>
      <c r="D1883">
        <v>46</v>
      </c>
      <c r="E1883">
        <v>6</v>
      </c>
      <c r="F1883">
        <v>0</v>
      </c>
      <c r="G1883">
        <v>2</v>
      </c>
      <c r="H1883" t="s">
        <v>22</v>
      </c>
      <c r="I1883" t="s">
        <v>23</v>
      </c>
      <c r="J1883">
        <v>171928.04</v>
      </c>
      <c r="K1883" t="s">
        <v>23</v>
      </c>
      <c r="L1883">
        <v>0.31442777525089299</v>
      </c>
      <c r="M1883" t="s">
        <v>23</v>
      </c>
      <c r="N1883">
        <v>0</v>
      </c>
      <c r="O1883">
        <v>0</v>
      </c>
      <c r="P1883" t="s">
        <v>24</v>
      </c>
      <c r="Q1883" t="s">
        <v>25</v>
      </c>
      <c r="R1883" t="s">
        <v>29</v>
      </c>
      <c r="S1883" t="s">
        <v>37</v>
      </c>
      <c r="T1883" t="s">
        <v>31</v>
      </c>
      <c r="U1883">
        <f t="shared" si="29"/>
        <v>1</v>
      </c>
    </row>
    <row r="1884" spans="1:21" x14ac:dyDescent="0.2">
      <c r="A1884">
        <v>664</v>
      </c>
      <c r="B1884" t="s">
        <v>42</v>
      </c>
      <c r="C1884" t="s">
        <v>21</v>
      </c>
      <c r="D1884">
        <v>24</v>
      </c>
      <c r="E1884">
        <v>7</v>
      </c>
      <c r="F1884">
        <v>0</v>
      </c>
      <c r="G1884">
        <v>1</v>
      </c>
      <c r="H1884" t="s">
        <v>23</v>
      </c>
      <c r="I1884" t="s">
        <v>22</v>
      </c>
      <c r="J1884">
        <v>35611.35</v>
      </c>
      <c r="K1884" t="s">
        <v>23</v>
      </c>
      <c r="L1884">
        <v>1.8906091695904102E-2</v>
      </c>
      <c r="M1884" t="s">
        <v>23</v>
      </c>
      <c r="N1884">
        <v>0</v>
      </c>
      <c r="O1884">
        <v>0</v>
      </c>
      <c r="P1884" t="s">
        <v>34</v>
      </c>
      <c r="Q1884" t="s">
        <v>36</v>
      </c>
      <c r="R1884" t="s">
        <v>29</v>
      </c>
      <c r="S1884" t="s">
        <v>27</v>
      </c>
      <c r="T1884" t="s">
        <v>35</v>
      </c>
      <c r="U1884">
        <f t="shared" si="29"/>
        <v>1</v>
      </c>
    </row>
    <row r="1885" spans="1:21" x14ac:dyDescent="0.2">
      <c r="A1885">
        <v>559</v>
      </c>
      <c r="B1885" t="s">
        <v>42</v>
      </c>
      <c r="C1885" t="s">
        <v>21</v>
      </c>
      <c r="D1885">
        <v>52</v>
      </c>
      <c r="E1885">
        <v>2</v>
      </c>
      <c r="F1885">
        <v>0</v>
      </c>
      <c r="G1885">
        <v>1</v>
      </c>
      <c r="H1885" t="s">
        <v>22</v>
      </c>
      <c r="I1885" t="s">
        <v>23</v>
      </c>
      <c r="J1885">
        <v>129013.59</v>
      </c>
      <c r="K1885" t="s">
        <v>22</v>
      </c>
      <c r="L1885">
        <v>0.35529728844584141</v>
      </c>
      <c r="M1885" t="s">
        <v>23</v>
      </c>
      <c r="N1885">
        <v>1</v>
      </c>
      <c r="O1885">
        <v>0</v>
      </c>
      <c r="P1885" t="s">
        <v>24</v>
      </c>
      <c r="Q1885" t="s">
        <v>44</v>
      </c>
      <c r="R1885" t="s">
        <v>29</v>
      </c>
      <c r="S1885" t="s">
        <v>30</v>
      </c>
      <c r="T1885" t="s">
        <v>28</v>
      </c>
      <c r="U1885">
        <f t="shared" si="29"/>
        <v>0</v>
      </c>
    </row>
    <row r="1886" spans="1:21" x14ac:dyDescent="0.2">
      <c r="A1886">
        <v>676</v>
      </c>
      <c r="B1886" t="s">
        <v>20</v>
      </c>
      <c r="C1886" t="s">
        <v>21</v>
      </c>
      <c r="D1886">
        <v>36</v>
      </c>
      <c r="E1886">
        <v>1</v>
      </c>
      <c r="F1886">
        <v>82729.490000000005</v>
      </c>
      <c r="G1886">
        <v>1</v>
      </c>
      <c r="H1886" t="s">
        <v>22</v>
      </c>
      <c r="I1886" t="s">
        <v>23</v>
      </c>
      <c r="J1886">
        <v>113810.12</v>
      </c>
      <c r="K1886" t="s">
        <v>23</v>
      </c>
      <c r="L1886">
        <v>0.16845682853888261</v>
      </c>
      <c r="M1886" t="s">
        <v>23</v>
      </c>
      <c r="N1886">
        <v>0</v>
      </c>
      <c r="O1886">
        <v>0</v>
      </c>
      <c r="P1886" t="s">
        <v>34</v>
      </c>
      <c r="Q1886" t="s">
        <v>33</v>
      </c>
      <c r="R1886" t="s">
        <v>38</v>
      </c>
      <c r="S1886" t="s">
        <v>27</v>
      </c>
      <c r="T1886" t="s">
        <v>28</v>
      </c>
      <c r="U1886">
        <f t="shared" si="29"/>
        <v>1</v>
      </c>
    </row>
    <row r="1887" spans="1:21" x14ac:dyDescent="0.2">
      <c r="A1887">
        <v>613</v>
      </c>
      <c r="B1887" t="s">
        <v>41</v>
      </c>
      <c r="C1887" t="s">
        <v>32</v>
      </c>
      <c r="D1887">
        <v>45</v>
      </c>
      <c r="E1887">
        <v>9</v>
      </c>
      <c r="F1887">
        <v>142765.24</v>
      </c>
      <c r="G1887">
        <v>2</v>
      </c>
      <c r="H1887" t="s">
        <v>22</v>
      </c>
      <c r="I1887" t="s">
        <v>23</v>
      </c>
      <c r="J1887">
        <v>34749.65</v>
      </c>
      <c r="K1887" t="s">
        <v>23</v>
      </c>
      <c r="L1887">
        <v>0.56460395484504766</v>
      </c>
      <c r="M1887" t="s">
        <v>22</v>
      </c>
      <c r="N1887">
        <v>0</v>
      </c>
      <c r="O1887">
        <v>1</v>
      </c>
      <c r="P1887" t="s">
        <v>43</v>
      </c>
      <c r="Q1887" t="s">
        <v>25</v>
      </c>
      <c r="R1887" t="s">
        <v>26</v>
      </c>
      <c r="S1887" t="s">
        <v>27</v>
      </c>
      <c r="T1887" t="s">
        <v>35</v>
      </c>
      <c r="U1887">
        <f t="shared" si="29"/>
        <v>0</v>
      </c>
    </row>
    <row r="1888" spans="1:21" x14ac:dyDescent="0.2">
      <c r="A1888">
        <v>751</v>
      </c>
      <c r="B1888" t="s">
        <v>41</v>
      </c>
      <c r="C1888" t="s">
        <v>32</v>
      </c>
      <c r="D1888">
        <v>28</v>
      </c>
      <c r="E1888">
        <v>10</v>
      </c>
      <c r="F1888">
        <v>132932.14000000001</v>
      </c>
      <c r="G1888">
        <v>2</v>
      </c>
      <c r="H1888" t="s">
        <v>22</v>
      </c>
      <c r="I1888" t="s">
        <v>22</v>
      </c>
      <c r="J1888">
        <v>46630.47</v>
      </c>
      <c r="K1888" t="s">
        <v>23</v>
      </c>
      <c r="L1888">
        <v>9.7787930400940817E-2</v>
      </c>
      <c r="M1888" t="s">
        <v>23</v>
      </c>
      <c r="N1888">
        <v>0</v>
      </c>
      <c r="O1888">
        <v>0</v>
      </c>
      <c r="P1888" t="s">
        <v>34</v>
      </c>
      <c r="Q1888" t="s">
        <v>36</v>
      </c>
      <c r="R1888" t="s">
        <v>26</v>
      </c>
      <c r="S1888" t="s">
        <v>37</v>
      </c>
      <c r="T1888" t="s">
        <v>35</v>
      </c>
      <c r="U1888">
        <f t="shared" si="29"/>
        <v>1</v>
      </c>
    </row>
    <row r="1889" spans="1:21" x14ac:dyDescent="0.2">
      <c r="A1889">
        <v>673</v>
      </c>
      <c r="B1889" t="s">
        <v>42</v>
      </c>
      <c r="C1889" t="s">
        <v>21</v>
      </c>
      <c r="D1889">
        <v>51</v>
      </c>
      <c r="E1889">
        <v>8</v>
      </c>
      <c r="F1889">
        <v>79563.360000000001</v>
      </c>
      <c r="G1889">
        <v>2</v>
      </c>
      <c r="H1889" t="s">
        <v>22</v>
      </c>
      <c r="I1889" t="s">
        <v>22</v>
      </c>
      <c r="J1889">
        <v>172200.91</v>
      </c>
      <c r="K1889" t="s">
        <v>23</v>
      </c>
      <c r="L1889">
        <v>0.13816881552336191</v>
      </c>
      <c r="M1889" t="s">
        <v>23</v>
      </c>
      <c r="N1889">
        <v>0</v>
      </c>
      <c r="O1889">
        <v>0</v>
      </c>
      <c r="P1889" t="s">
        <v>34</v>
      </c>
      <c r="Q1889" t="s">
        <v>44</v>
      </c>
      <c r="R1889" t="s">
        <v>38</v>
      </c>
      <c r="S1889" t="s">
        <v>27</v>
      </c>
      <c r="T1889" t="s">
        <v>31</v>
      </c>
      <c r="U1889">
        <f t="shared" si="29"/>
        <v>1</v>
      </c>
    </row>
    <row r="1890" spans="1:21" x14ac:dyDescent="0.2">
      <c r="A1890">
        <v>650</v>
      </c>
      <c r="B1890" t="s">
        <v>41</v>
      </c>
      <c r="C1890" t="s">
        <v>32</v>
      </c>
      <c r="D1890">
        <v>48</v>
      </c>
      <c r="E1890">
        <v>7</v>
      </c>
      <c r="F1890">
        <v>138232.24</v>
      </c>
      <c r="G1890">
        <v>1</v>
      </c>
      <c r="H1890" t="s">
        <v>22</v>
      </c>
      <c r="I1890" t="s">
        <v>23</v>
      </c>
      <c r="J1890">
        <v>57594.78</v>
      </c>
      <c r="K1890" t="s">
        <v>23</v>
      </c>
      <c r="L1890">
        <v>0.64575947291976399</v>
      </c>
      <c r="M1890" t="s">
        <v>22</v>
      </c>
      <c r="N1890">
        <v>0</v>
      </c>
      <c r="O1890">
        <v>1</v>
      </c>
      <c r="P1890" t="s">
        <v>43</v>
      </c>
      <c r="Q1890" t="s">
        <v>25</v>
      </c>
      <c r="R1890" t="s">
        <v>26</v>
      </c>
      <c r="S1890" t="s">
        <v>27</v>
      </c>
      <c r="T1890" t="s">
        <v>40</v>
      </c>
      <c r="U1890">
        <f t="shared" si="29"/>
        <v>0</v>
      </c>
    </row>
    <row r="1891" spans="1:21" x14ac:dyDescent="0.2">
      <c r="A1891">
        <v>781</v>
      </c>
      <c r="B1891" t="s">
        <v>20</v>
      </c>
      <c r="C1891" t="s">
        <v>21</v>
      </c>
      <c r="D1891">
        <v>35</v>
      </c>
      <c r="E1891">
        <v>1</v>
      </c>
      <c r="F1891">
        <v>0</v>
      </c>
      <c r="G1891">
        <v>2</v>
      </c>
      <c r="H1891" t="s">
        <v>23</v>
      </c>
      <c r="I1891" t="s">
        <v>23</v>
      </c>
      <c r="J1891">
        <v>42117.9</v>
      </c>
      <c r="K1891" t="s">
        <v>23</v>
      </c>
      <c r="L1891">
        <v>0.1121251038472129</v>
      </c>
      <c r="M1891" t="s">
        <v>23</v>
      </c>
      <c r="N1891">
        <v>0</v>
      </c>
      <c r="O1891">
        <v>0</v>
      </c>
      <c r="P1891" t="s">
        <v>34</v>
      </c>
      <c r="Q1891" t="s">
        <v>33</v>
      </c>
      <c r="R1891" t="s">
        <v>29</v>
      </c>
      <c r="S1891" t="s">
        <v>37</v>
      </c>
      <c r="T1891" t="s">
        <v>35</v>
      </c>
      <c r="U1891">
        <f t="shared" si="29"/>
        <v>1</v>
      </c>
    </row>
    <row r="1892" spans="1:21" x14ac:dyDescent="0.2">
      <c r="A1892">
        <v>692</v>
      </c>
      <c r="B1892" t="s">
        <v>42</v>
      </c>
      <c r="C1892" t="s">
        <v>32</v>
      </c>
      <c r="D1892">
        <v>36</v>
      </c>
      <c r="E1892">
        <v>3</v>
      </c>
      <c r="F1892">
        <v>79551.12</v>
      </c>
      <c r="G1892">
        <v>1</v>
      </c>
      <c r="H1892" t="s">
        <v>23</v>
      </c>
      <c r="I1892" t="s">
        <v>22</v>
      </c>
      <c r="J1892">
        <v>178267.07</v>
      </c>
      <c r="K1892" t="s">
        <v>23</v>
      </c>
      <c r="L1892">
        <v>0.1026578485065661</v>
      </c>
      <c r="M1892" t="s">
        <v>23</v>
      </c>
      <c r="N1892">
        <v>0</v>
      </c>
      <c r="O1892">
        <v>0</v>
      </c>
      <c r="P1892" t="s">
        <v>34</v>
      </c>
      <c r="Q1892" t="s">
        <v>33</v>
      </c>
      <c r="R1892" t="s">
        <v>38</v>
      </c>
      <c r="S1892" t="s">
        <v>27</v>
      </c>
      <c r="T1892" t="s">
        <v>31</v>
      </c>
      <c r="U1892">
        <f t="shared" si="29"/>
        <v>1</v>
      </c>
    </row>
    <row r="1893" spans="1:21" x14ac:dyDescent="0.2">
      <c r="A1893">
        <v>813</v>
      </c>
      <c r="B1893" t="s">
        <v>41</v>
      </c>
      <c r="C1893" t="s">
        <v>21</v>
      </c>
      <c r="D1893">
        <v>30</v>
      </c>
      <c r="E1893">
        <v>1</v>
      </c>
      <c r="F1893">
        <v>116416.94</v>
      </c>
      <c r="G1893">
        <v>1</v>
      </c>
      <c r="H1893" t="s">
        <v>23</v>
      </c>
      <c r="I1893" t="s">
        <v>22</v>
      </c>
      <c r="J1893">
        <v>85808.22</v>
      </c>
      <c r="K1893" t="s">
        <v>23</v>
      </c>
      <c r="L1893">
        <v>8.5377419059691664E-2</v>
      </c>
      <c r="M1893" t="s">
        <v>23</v>
      </c>
      <c r="N1893">
        <v>0</v>
      </c>
      <c r="O1893">
        <v>0</v>
      </c>
      <c r="P1893" t="s">
        <v>34</v>
      </c>
      <c r="Q1893" t="s">
        <v>36</v>
      </c>
      <c r="R1893" t="s">
        <v>26</v>
      </c>
      <c r="S1893" t="s">
        <v>39</v>
      </c>
      <c r="T1893" t="s">
        <v>40</v>
      </c>
      <c r="U1893">
        <f t="shared" si="29"/>
        <v>1</v>
      </c>
    </row>
    <row r="1894" spans="1:21" x14ac:dyDescent="0.2">
      <c r="A1894">
        <v>680</v>
      </c>
      <c r="B1894" t="s">
        <v>42</v>
      </c>
      <c r="C1894" t="s">
        <v>21</v>
      </c>
      <c r="D1894">
        <v>33</v>
      </c>
      <c r="E1894">
        <v>10</v>
      </c>
      <c r="F1894">
        <v>183768.47</v>
      </c>
      <c r="G1894">
        <v>1</v>
      </c>
      <c r="H1894" t="s">
        <v>22</v>
      </c>
      <c r="I1894" t="s">
        <v>23</v>
      </c>
      <c r="J1894">
        <v>164119.35</v>
      </c>
      <c r="K1894" t="s">
        <v>23</v>
      </c>
      <c r="L1894">
        <v>0.1483189028918335</v>
      </c>
      <c r="M1894" t="s">
        <v>23</v>
      </c>
      <c r="N1894">
        <v>0</v>
      </c>
      <c r="O1894">
        <v>0</v>
      </c>
      <c r="P1894" t="s">
        <v>34</v>
      </c>
      <c r="Q1894" t="s">
        <v>33</v>
      </c>
      <c r="R1894" t="s">
        <v>47</v>
      </c>
      <c r="S1894" t="s">
        <v>27</v>
      </c>
      <c r="T1894" t="s">
        <v>31</v>
      </c>
      <c r="U1894">
        <f t="shared" si="29"/>
        <v>1</v>
      </c>
    </row>
    <row r="1895" spans="1:21" x14ac:dyDescent="0.2">
      <c r="A1895">
        <v>701</v>
      </c>
      <c r="B1895" t="s">
        <v>42</v>
      </c>
      <c r="C1895" t="s">
        <v>21</v>
      </c>
      <c r="D1895">
        <v>37</v>
      </c>
      <c r="E1895">
        <v>1</v>
      </c>
      <c r="F1895">
        <v>0</v>
      </c>
      <c r="G1895">
        <v>2</v>
      </c>
      <c r="H1895" t="s">
        <v>22</v>
      </c>
      <c r="I1895" t="s">
        <v>23</v>
      </c>
      <c r="J1895">
        <v>163457.54999999999</v>
      </c>
      <c r="K1895" t="s">
        <v>23</v>
      </c>
      <c r="L1895">
        <v>0.13370443855242689</v>
      </c>
      <c r="M1895" t="s">
        <v>23</v>
      </c>
      <c r="N1895">
        <v>0</v>
      </c>
      <c r="O1895">
        <v>0</v>
      </c>
      <c r="P1895" t="s">
        <v>34</v>
      </c>
      <c r="Q1895" t="s">
        <v>33</v>
      </c>
      <c r="R1895" t="s">
        <v>29</v>
      </c>
      <c r="S1895" t="s">
        <v>37</v>
      </c>
      <c r="T1895" t="s">
        <v>31</v>
      </c>
      <c r="U1895">
        <f t="shared" si="29"/>
        <v>1</v>
      </c>
    </row>
    <row r="1896" spans="1:21" x14ac:dyDescent="0.2">
      <c r="A1896">
        <v>790</v>
      </c>
      <c r="B1896" t="s">
        <v>20</v>
      </c>
      <c r="C1896" t="s">
        <v>21</v>
      </c>
      <c r="D1896">
        <v>29</v>
      </c>
      <c r="E1896">
        <v>3</v>
      </c>
      <c r="F1896">
        <v>46057.96</v>
      </c>
      <c r="G1896">
        <v>2</v>
      </c>
      <c r="H1896" t="s">
        <v>22</v>
      </c>
      <c r="I1896" t="s">
        <v>22</v>
      </c>
      <c r="J1896">
        <v>189777.66</v>
      </c>
      <c r="K1896" t="s">
        <v>23</v>
      </c>
      <c r="L1896">
        <v>2.991345533384053E-2</v>
      </c>
      <c r="M1896" t="s">
        <v>23</v>
      </c>
      <c r="N1896">
        <v>0</v>
      </c>
      <c r="O1896">
        <v>0</v>
      </c>
      <c r="P1896" t="s">
        <v>34</v>
      </c>
      <c r="Q1896" t="s">
        <v>36</v>
      </c>
      <c r="R1896" t="s">
        <v>48</v>
      </c>
      <c r="S1896" t="s">
        <v>37</v>
      </c>
      <c r="T1896" t="s">
        <v>31</v>
      </c>
      <c r="U1896">
        <f t="shared" si="29"/>
        <v>1</v>
      </c>
    </row>
    <row r="1897" spans="1:21" x14ac:dyDescent="0.2">
      <c r="A1897">
        <v>671</v>
      </c>
      <c r="B1897" t="s">
        <v>42</v>
      </c>
      <c r="C1897" t="s">
        <v>32</v>
      </c>
      <c r="D1897">
        <v>48</v>
      </c>
      <c r="E1897">
        <v>6</v>
      </c>
      <c r="F1897">
        <v>119769.77</v>
      </c>
      <c r="G1897">
        <v>1</v>
      </c>
      <c r="H1897" t="s">
        <v>23</v>
      </c>
      <c r="I1897" t="s">
        <v>22</v>
      </c>
      <c r="J1897">
        <v>66032.649999999994</v>
      </c>
      <c r="K1897" t="s">
        <v>23</v>
      </c>
      <c r="L1897">
        <v>0.21695563860770889</v>
      </c>
      <c r="M1897" t="s">
        <v>23</v>
      </c>
      <c r="N1897">
        <v>0</v>
      </c>
      <c r="O1897">
        <v>0</v>
      </c>
      <c r="P1897" t="s">
        <v>24</v>
      </c>
      <c r="Q1897" t="s">
        <v>25</v>
      </c>
      <c r="R1897" t="s">
        <v>26</v>
      </c>
      <c r="S1897" t="s">
        <v>27</v>
      </c>
      <c r="T1897" t="s">
        <v>40</v>
      </c>
      <c r="U1897">
        <f t="shared" si="29"/>
        <v>1</v>
      </c>
    </row>
    <row r="1898" spans="1:21" x14ac:dyDescent="0.2">
      <c r="A1898">
        <v>808</v>
      </c>
      <c r="B1898" t="s">
        <v>42</v>
      </c>
      <c r="C1898" t="s">
        <v>21</v>
      </c>
      <c r="D1898">
        <v>41</v>
      </c>
      <c r="E1898">
        <v>0</v>
      </c>
      <c r="F1898">
        <v>0</v>
      </c>
      <c r="G1898">
        <v>1</v>
      </c>
      <c r="H1898" t="s">
        <v>22</v>
      </c>
      <c r="I1898" t="s">
        <v>22</v>
      </c>
      <c r="J1898">
        <v>79888.78</v>
      </c>
      <c r="K1898" t="s">
        <v>23</v>
      </c>
      <c r="L1898">
        <v>6.5380022325626258E-2</v>
      </c>
      <c r="M1898" t="s">
        <v>23</v>
      </c>
      <c r="N1898">
        <v>0</v>
      </c>
      <c r="O1898">
        <v>0</v>
      </c>
      <c r="P1898" t="s">
        <v>34</v>
      </c>
      <c r="Q1898" t="s">
        <v>25</v>
      </c>
      <c r="R1898" t="s">
        <v>29</v>
      </c>
      <c r="S1898" t="s">
        <v>39</v>
      </c>
      <c r="T1898" t="s">
        <v>40</v>
      </c>
      <c r="U1898">
        <f t="shared" si="29"/>
        <v>1</v>
      </c>
    </row>
    <row r="1899" spans="1:21" x14ac:dyDescent="0.2">
      <c r="A1899">
        <v>688</v>
      </c>
      <c r="B1899" t="s">
        <v>42</v>
      </c>
      <c r="C1899" t="s">
        <v>21</v>
      </c>
      <c r="D1899">
        <v>29</v>
      </c>
      <c r="E1899">
        <v>1</v>
      </c>
      <c r="F1899">
        <v>0</v>
      </c>
      <c r="G1899">
        <v>2</v>
      </c>
      <c r="H1899" t="s">
        <v>22</v>
      </c>
      <c r="I1899" t="s">
        <v>23</v>
      </c>
      <c r="J1899">
        <v>154695.57</v>
      </c>
      <c r="K1899" t="s">
        <v>23</v>
      </c>
      <c r="L1899">
        <v>7.8968777748054039E-2</v>
      </c>
      <c r="M1899" t="s">
        <v>23</v>
      </c>
      <c r="N1899">
        <v>0</v>
      </c>
      <c r="O1899">
        <v>0</v>
      </c>
      <c r="P1899" t="s">
        <v>34</v>
      </c>
      <c r="Q1899" t="s">
        <v>36</v>
      </c>
      <c r="R1899" t="s">
        <v>29</v>
      </c>
      <c r="S1899" t="s">
        <v>27</v>
      </c>
      <c r="T1899" t="s">
        <v>31</v>
      </c>
      <c r="U1899">
        <f t="shared" si="29"/>
        <v>1</v>
      </c>
    </row>
    <row r="1900" spans="1:21" x14ac:dyDescent="0.2">
      <c r="A1900">
        <v>515</v>
      </c>
      <c r="B1900" t="s">
        <v>42</v>
      </c>
      <c r="C1900" t="s">
        <v>21</v>
      </c>
      <c r="D1900">
        <v>48</v>
      </c>
      <c r="E1900">
        <v>5</v>
      </c>
      <c r="F1900">
        <v>129387.94</v>
      </c>
      <c r="G1900">
        <v>1</v>
      </c>
      <c r="H1900" t="s">
        <v>23</v>
      </c>
      <c r="I1900" t="s">
        <v>22</v>
      </c>
      <c r="J1900">
        <v>147955.91</v>
      </c>
      <c r="K1900" t="s">
        <v>22</v>
      </c>
      <c r="L1900">
        <v>0.16349957744811711</v>
      </c>
      <c r="M1900" t="s">
        <v>23</v>
      </c>
      <c r="N1900">
        <v>1</v>
      </c>
      <c r="O1900">
        <v>0</v>
      </c>
      <c r="P1900" t="s">
        <v>34</v>
      </c>
      <c r="Q1900" t="s">
        <v>25</v>
      </c>
      <c r="R1900" t="s">
        <v>26</v>
      </c>
      <c r="S1900" t="s">
        <v>30</v>
      </c>
      <c r="T1900" t="s">
        <v>28</v>
      </c>
      <c r="U1900">
        <f t="shared" si="29"/>
        <v>0</v>
      </c>
    </row>
    <row r="1901" spans="1:21" x14ac:dyDescent="0.2">
      <c r="A1901">
        <v>845</v>
      </c>
      <c r="B1901" t="s">
        <v>42</v>
      </c>
      <c r="C1901" t="s">
        <v>32</v>
      </c>
      <c r="D1901">
        <v>28</v>
      </c>
      <c r="E1901">
        <v>9</v>
      </c>
      <c r="F1901">
        <v>0</v>
      </c>
      <c r="G1901">
        <v>2</v>
      </c>
      <c r="H1901" t="s">
        <v>22</v>
      </c>
      <c r="I1901" t="s">
        <v>22</v>
      </c>
      <c r="J1901">
        <v>56185.98</v>
      </c>
      <c r="K1901" t="s">
        <v>23</v>
      </c>
      <c r="L1901">
        <v>3.2454013478120838E-2</v>
      </c>
      <c r="M1901" t="s">
        <v>23</v>
      </c>
      <c r="N1901">
        <v>0</v>
      </c>
      <c r="O1901">
        <v>0</v>
      </c>
      <c r="P1901" t="s">
        <v>34</v>
      </c>
      <c r="Q1901" t="s">
        <v>36</v>
      </c>
      <c r="R1901" t="s">
        <v>29</v>
      </c>
      <c r="S1901" t="s">
        <v>39</v>
      </c>
      <c r="T1901" t="s">
        <v>40</v>
      </c>
      <c r="U1901">
        <f t="shared" si="29"/>
        <v>1</v>
      </c>
    </row>
    <row r="1902" spans="1:21" x14ac:dyDescent="0.2">
      <c r="A1902">
        <v>618</v>
      </c>
      <c r="B1902" t="s">
        <v>42</v>
      </c>
      <c r="C1902" t="s">
        <v>32</v>
      </c>
      <c r="D1902">
        <v>46</v>
      </c>
      <c r="E1902">
        <v>6</v>
      </c>
      <c r="F1902">
        <v>150213.71</v>
      </c>
      <c r="G1902">
        <v>1</v>
      </c>
      <c r="H1902" t="s">
        <v>22</v>
      </c>
      <c r="I1902" t="s">
        <v>23</v>
      </c>
      <c r="J1902">
        <v>120668.46</v>
      </c>
      <c r="K1902" t="s">
        <v>22</v>
      </c>
      <c r="L1902">
        <v>0.44332830728398742</v>
      </c>
      <c r="M1902" t="s">
        <v>23</v>
      </c>
      <c r="N1902">
        <v>1</v>
      </c>
      <c r="O1902">
        <v>0</v>
      </c>
      <c r="P1902" t="s">
        <v>24</v>
      </c>
      <c r="Q1902" t="s">
        <v>25</v>
      </c>
      <c r="R1902" t="s">
        <v>47</v>
      </c>
      <c r="S1902" t="s">
        <v>27</v>
      </c>
      <c r="T1902" t="s">
        <v>28</v>
      </c>
      <c r="U1902">
        <f t="shared" si="29"/>
        <v>0</v>
      </c>
    </row>
    <row r="1903" spans="1:21" x14ac:dyDescent="0.2">
      <c r="A1903">
        <v>642</v>
      </c>
      <c r="B1903" t="s">
        <v>41</v>
      </c>
      <c r="C1903" t="s">
        <v>21</v>
      </c>
      <c r="D1903">
        <v>18</v>
      </c>
      <c r="E1903">
        <v>5</v>
      </c>
      <c r="F1903">
        <v>111183.53</v>
      </c>
      <c r="G1903">
        <v>2</v>
      </c>
      <c r="H1903" t="s">
        <v>23</v>
      </c>
      <c r="I1903" t="s">
        <v>22</v>
      </c>
      <c r="J1903">
        <v>10063.75</v>
      </c>
      <c r="K1903" t="s">
        <v>23</v>
      </c>
      <c r="L1903">
        <v>3.2937139199327052E-2</v>
      </c>
      <c r="M1903" t="s">
        <v>23</v>
      </c>
      <c r="N1903">
        <v>0</v>
      </c>
      <c r="O1903">
        <v>0</v>
      </c>
      <c r="P1903" t="s">
        <v>34</v>
      </c>
      <c r="R1903" t="s">
        <v>26</v>
      </c>
      <c r="S1903" t="s">
        <v>27</v>
      </c>
      <c r="T1903" t="s">
        <v>35</v>
      </c>
      <c r="U1903">
        <f t="shared" si="29"/>
        <v>1</v>
      </c>
    </row>
    <row r="1904" spans="1:21" x14ac:dyDescent="0.2">
      <c r="A1904">
        <v>850</v>
      </c>
      <c r="B1904" t="s">
        <v>42</v>
      </c>
      <c r="C1904" t="s">
        <v>32</v>
      </c>
      <c r="D1904">
        <v>40</v>
      </c>
      <c r="E1904">
        <v>9</v>
      </c>
      <c r="F1904">
        <v>99816.46</v>
      </c>
      <c r="G1904">
        <v>1</v>
      </c>
      <c r="H1904" t="s">
        <v>22</v>
      </c>
      <c r="I1904" t="s">
        <v>22</v>
      </c>
      <c r="J1904">
        <v>163989.66</v>
      </c>
      <c r="K1904" t="s">
        <v>22</v>
      </c>
      <c r="L1904">
        <v>0.11028283958324291</v>
      </c>
      <c r="M1904" t="s">
        <v>23</v>
      </c>
      <c r="N1904">
        <v>1</v>
      </c>
      <c r="O1904">
        <v>0</v>
      </c>
      <c r="P1904" t="s">
        <v>34</v>
      </c>
      <c r="Q1904" t="s">
        <v>33</v>
      </c>
      <c r="R1904" t="s">
        <v>38</v>
      </c>
      <c r="S1904" t="s">
        <v>39</v>
      </c>
      <c r="T1904" t="s">
        <v>31</v>
      </c>
      <c r="U1904">
        <f t="shared" si="29"/>
        <v>0</v>
      </c>
    </row>
    <row r="1905" spans="1:21" x14ac:dyDescent="0.2">
      <c r="A1905">
        <v>739</v>
      </c>
      <c r="B1905" t="s">
        <v>42</v>
      </c>
      <c r="C1905" t="s">
        <v>21</v>
      </c>
      <c r="D1905">
        <v>34</v>
      </c>
      <c r="E1905">
        <v>9</v>
      </c>
      <c r="F1905">
        <v>0</v>
      </c>
      <c r="G1905">
        <v>1</v>
      </c>
      <c r="H1905" t="s">
        <v>22</v>
      </c>
      <c r="I1905" t="s">
        <v>23</v>
      </c>
      <c r="J1905">
        <v>60584.33</v>
      </c>
      <c r="K1905" t="s">
        <v>23</v>
      </c>
      <c r="L1905">
        <v>9.7165099475963274E-2</v>
      </c>
      <c r="M1905" t="s">
        <v>23</v>
      </c>
      <c r="N1905">
        <v>0</v>
      </c>
      <c r="O1905">
        <v>0</v>
      </c>
      <c r="P1905" t="s">
        <v>34</v>
      </c>
      <c r="Q1905" t="s">
        <v>33</v>
      </c>
      <c r="R1905" t="s">
        <v>29</v>
      </c>
      <c r="S1905" t="s">
        <v>37</v>
      </c>
      <c r="T1905" t="s">
        <v>40</v>
      </c>
      <c r="U1905">
        <f t="shared" si="29"/>
        <v>1</v>
      </c>
    </row>
    <row r="1906" spans="1:21" x14ac:dyDescent="0.2">
      <c r="A1906">
        <v>508</v>
      </c>
      <c r="B1906" t="s">
        <v>42</v>
      </c>
      <c r="C1906" t="s">
        <v>32</v>
      </c>
      <c r="D1906">
        <v>41</v>
      </c>
      <c r="E1906">
        <v>5</v>
      </c>
      <c r="F1906">
        <v>0</v>
      </c>
      <c r="G1906">
        <v>2</v>
      </c>
      <c r="H1906" t="s">
        <v>22</v>
      </c>
      <c r="I1906" t="s">
        <v>22</v>
      </c>
      <c r="J1906">
        <v>94170.84</v>
      </c>
      <c r="K1906" t="s">
        <v>23</v>
      </c>
      <c r="L1906">
        <v>0.1091637382476813</v>
      </c>
      <c r="M1906" t="s">
        <v>23</v>
      </c>
      <c r="N1906">
        <v>0</v>
      </c>
      <c r="O1906">
        <v>0</v>
      </c>
      <c r="P1906" t="s">
        <v>34</v>
      </c>
      <c r="Q1906" t="s">
        <v>25</v>
      </c>
      <c r="R1906" t="s">
        <v>29</v>
      </c>
      <c r="S1906" t="s">
        <v>30</v>
      </c>
      <c r="T1906" t="s">
        <v>40</v>
      </c>
      <c r="U1906">
        <f t="shared" si="29"/>
        <v>1</v>
      </c>
    </row>
    <row r="1907" spans="1:21" x14ac:dyDescent="0.2">
      <c r="A1907">
        <v>773</v>
      </c>
      <c r="B1907" t="s">
        <v>20</v>
      </c>
      <c r="C1907" t="s">
        <v>21</v>
      </c>
      <c r="D1907">
        <v>52</v>
      </c>
      <c r="E1907">
        <v>2</v>
      </c>
      <c r="F1907">
        <v>0</v>
      </c>
      <c r="G1907">
        <v>2</v>
      </c>
      <c r="H1907" t="s">
        <v>22</v>
      </c>
      <c r="I1907" t="s">
        <v>23</v>
      </c>
      <c r="J1907">
        <v>57337.79</v>
      </c>
      <c r="K1907" t="s">
        <v>23</v>
      </c>
      <c r="L1907">
        <v>0.29958387458010322</v>
      </c>
      <c r="M1907" t="s">
        <v>23</v>
      </c>
      <c r="N1907">
        <v>0</v>
      </c>
      <c r="O1907">
        <v>0</v>
      </c>
      <c r="P1907" t="s">
        <v>24</v>
      </c>
      <c r="Q1907" t="s">
        <v>44</v>
      </c>
      <c r="R1907" t="s">
        <v>29</v>
      </c>
      <c r="S1907" t="s">
        <v>37</v>
      </c>
      <c r="T1907" t="s">
        <v>40</v>
      </c>
      <c r="U1907">
        <f t="shared" si="29"/>
        <v>1</v>
      </c>
    </row>
    <row r="1908" spans="1:21" x14ac:dyDescent="0.2">
      <c r="A1908">
        <v>550</v>
      </c>
      <c r="B1908" t="s">
        <v>41</v>
      </c>
      <c r="C1908" t="s">
        <v>32</v>
      </c>
      <c r="D1908">
        <v>42</v>
      </c>
      <c r="E1908">
        <v>10</v>
      </c>
      <c r="F1908">
        <v>128707.31</v>
      </c>
      <c r="G1908">
        <v>1</v>
      </c>
      <c r="H1908" t="s">
        <v>22</v>
      </c>
      <c r="I1908" t="s">
        <v>23</v>
      </c>
      <c r="J1908">
        <v>63092.65</v>
      </c>
      <c r="K1908" t="s">
        <v>22</v>
      </c>
      <c r="L1908">
        <v>0.53612466103843437</v>
      </c>
      <c r="M1908" t="s">
        <v>22</v>
      </c>
      <c r="N1908">
        <v>1</v>
      </c>
      <c r="O1908">
        <v>1</v>
      </c>
      <c r="P1908" t="s">
        <v>43</v>
      </c>
      <c r="Q1908" t="s">
        <v>25</v>
      </c>
      <c r="R1908" t="s">
        <v>26</v>
      </c>
      <c r="S1908" t="s">
        <v>30</v>
      </c>
      <c r="T1908" t="s">
        <v>40</v>
      </c>
      <c r="U1908">
        <f t="shared" si="29"/>
        <v>1</v>
      </c>
    </row>
    <row r="1909" spans="1:21" x14ac:dyDescent="0.2">
      <c r="A1909">
        <v>783</v>
      </c>
      <c r="B1909" t="s">
        <v>42</v>
      </c>
      <c r="C1909" t="s">
        <v>21</v>
      </c>
      <c r="D1909">
        <v>40</v>
      </c>
      <c r="E1909">
        <v>6</v>
      </c>
      <c r="F1909">
        <v>0</v>
      </c>
      <c r="G1909">
        <v>2</v>
      </c>
      <c r="H1909" t="s">
        <v>22</v>
      </c>
      <c r="I1909" t="s">
        <v>23</v>
      </c>
      <c r="J1909">
        <v>109742.55</v>
      </c>
      <c r="K1909" t="s">
        <v>23</v>
      </c>
      <c r="L1909">
        <v>0.13795538505667171</v>
      </c>
      <c r="M1909" t="s">
        <v>23</v>
      </c>
      <c r="N1909">
        <v>0</v>
      </c>
      <c r="O1909">
        <v>0</v>
      </c>
      <c r="P1909" t="s">
        <v>34</v>
      </c>
      <c r="Q1909" t="s">
        <v>33</v>
      </c>
      <c r="R1909" t="s">
        <v>29</v>
      </c>
      <c r="S1909" t="s">
        <v>37</v>
      </c>
      <c r="T1909" t="s">
        <v>28</v>
      </c>
      <c r="U1909">
        <f t="shared" si="29"/>
        <v>1</v>
      </c>
    </row>
    <row r="1910" spans="1:21" x14ac:dyDescent="0.2">
      <c r="A1910">
        <v>727</v>
      </c>
      <c r="B1910" t="s">
        <v>41</v>
      </c>
      <c r="C1910" t="s">
        <v>21</v>
      </c>
      <c r="D1910">
        <v>46</v>
      </c>
      <c r="E1910">
        <v>3</v>
      </c>
      <c r="F1910">
        <v>115248.11</v>
      </c>
      <c r="G1910">
        <v>4</v>
      </c>
      <c r="H1910" t="s">
        <v>22</v>
      </c>
      <c r="I1910" t="s">
        <v>23</v>
      </c>
      <c r="J1910">
        <v>130752.01</v>
      </c>
      <c r="K1910" t="s">
        <v>22</v>
      </c>
      <c r="L1910">
        <v>0.40163916138172667</v>
      </c>
      <c r="M1910" t="s">
        <v>23</v>
      </c>
      <c r="N1910">
        <v>1</v>
      </c>
      <c r="O1910">
        <v>0</v>
      </c>
      <c r="P1910" t="s">
        <v>24</v>
      </c>
      <c r="Q1910" t="s">
        <v>25</v>
      </c>
      <c r="R1910" t="s">
        <v>26</v>
      </c>
      <c r="S1910" t="s">
        <v>37</v>
      </c>
      <c r="T1910" t="s">
        <v>28</v>
      </c>
      <c r="U1910">
        <f t="shared" si="29"/>
        <v>0</v>
      </c>
    </row>
    <row r="1911" spans="1:21" x14ac:dyDescent="0.2">
      <c r="A1911">
        <v>626</v>
      </c>
      <c r="B1911" t="s">
        <v>42</v>
      </c>
      <c r="C1911" t="s">
        <v>32</v>
      </c>
      <c r="D1911">
        <v>34</v>
      </c>
      <c r="E1911">
        <v>3</v>
      </c>
      <c r="F1911">
        <v>0</v>
      </c>
      <c r="G1911">
        <v>2</v>
      </c>
      <c r="H1911" t="s">
        <v>22</v>
      </c>
      <c r="I1911" t="s">
        <v>22</v>
      </c>
      <c r="J1911">
        <v>37870.29</v>
      </c>
      <c r="K1911" t="s">
        <v>23</v>
      </c>
      <c r="L1911">
        <v>6.3513577304814758E-2</v>
      </c>
      <c r="M1911" t="s">
        <v>23</v>
      </c>
      <c r="N1911">
        <v>0</v>
      </c>
      <c r="O1911">
        <v>0</v>
      </c>
      <c r="P1911" t="s">
        <v>34</v>
      </c>
      <c r="Q1911" t="s">
        <v>33</v>
      </c>
      <c r="R1911" t="s">
        <v>29</v>
      </c>
      <c r="S1911" t="s">
        <v>27</v>
      </c>
      <c r="T1911" t="s">
        <v>35</v>
      </c>
      <c r="U1911">
        <f t="shared" si="29"/>
        <v>1</v>
      </c>
    </row>
    <row r="1912" spans="1:21" x14ac:dyDescent="0.2">
      <c r="A1912">
        <v>664</v>
      </c>
      <c r="B1912" t="s">
        <v>42</v>
      </c>
      <c r="C1912" t="s">
        <v>32</v>
      </c>
      <c r="D1912">
        <v>41</v>
      </c>
      <c r="E1912">
        <v>5</v>
      </c>
      <c r="F1912">
        <v>0</v>
      </c>
      <c r="G1912">
        <v>1</v>
      </c>
      <c r="H1912" t="s">
        <v>22</v>
      </c>
      <c r="I1912" t="s">
        <v>22</v>
      </c>
      <c r="J1912">
        <v>152054.32999999999</v>
      </c>
      <c r="K1912" t="s">
        <v>23</v>
      </c>
      <c r="L1912">
        <v>0.1119158512981942</v>
      </c>
      <c r="M1912" t="s">
        <v>23</v>
      </c>
      <c r="N1912">
        <v>0</v>
      </c>
      <c r="O1912">
        <v>0</v>
      </c>
      <c r="P1912" t="s">
        <v>34</v>
      </c>
      <c r="Q1912" t="s">
        <v>25</v>
      </c>
      <c r="R1912" t="s">
        <v>29</v>
      </c>
      <c r="S1912" t="s">
        <v>27</v>
      </c>
      <c r="T1912" t="s">
        <v>31</v>
      </c>
      <c r="U1912">
        <f t="shared" si="29"/>
        <v>1</v>
      </c>
    </row>
    <row r="1913" spans="1:21" x14ac:dyDescent="0.2">
      <c r="A1913">
        <v>623</v>
      </c>
      <c r="B1913" t="s">
        <v>20</v>
      </c>
      <c r="C1913" t="s">
        <v>21</v>
      </c>
      <c r="D1913">
        <v>46</v>
      </c>
      <c r="E1913">
        <v>4</v>
      </c>
      <c r="F1913">
        <v>0</v>
      </c>
      <c r="G1913">
        <v>1</v>
      </c>
      <c r="H1913" t="s">
        <v>22</v>
      </c>
      <c r="I1913" t="s">
        <v>23</v>
      </c>
      <c r="J1913">
        <v>5549.11</v>
      </c>
      <c r="K1913" t="s">
        <v>22</v>
      </c>
      <c r="L1913">
        <v>0.2396992650678057</v>
      </c>
      <c r="M1913" t="s">
        <v>23</v>
      </c>
      <c r="N1913">
        <v>1</v>
      </c>
      <c r="O1913">
        <v>0</v>
      </c>
      <c r="P1913" t="s">
        <v>24</v>
      </c>
      <c r="Q1913" t="s">
        <v>25</v>
      </c>
      <c r="R1913" t="s">
        <v>29</v>
      </c>
      <c r="S1913" t="s">
        <v>27</v>
      </c>
      <c r="T1913" t="s">
        <v>35</v>
      </c>
      <c r="U1913">
        <f t="shared" si="29"/>
        <v>0</v>
      </c>
    </row>
    <row r="1914" spans="1:21" x14ac:dyDescent="0.2">
      <c r="A1914">
        <v>582</v>
      </c>
      <c r="B1914" t="s">
        <v>42</v>
      </c>
      <c r="C1914" t="s">
        <v>32</v>
      </c>
      <c r="D1914">
        <v>38</v>
      </c>
      <c r="E1914">
        <v>9</v>
      </c>
      <c r="F1914">
        <v>135979.01</v>
      </c>
      <c r="G1914">
        <v>4</v>
      </c>
      <c r="H1914" t="s">
        <v>22</v>
      </c>
      <c r="I1914" t="s">
        <v>22</v>
      </c>
      <c r="J1914">
        <v>76582.95</v>
      </c>
      <c r="K1914" t="s">
        <v>22</v>
      </c>
      <c r="L1914">
        <v>8.9781374146458801E-2</v>
      </c>
      <c r="M1914" t="s">
        <v>23</v>
      </c>
      <c r="N1914">
        <v>1</v>
      </c>
      <c r="O1914">
        <v>0</v>
      </c>
      <c r="P1914" t="s">
        <v>34</v>
      </c>
      <c r="Q1914" t="s">
        <v>33</v>
      </c>
      <c r="R1914" t="s">
        <v>26</v>
      </c>
      <c r="S1914" t="s">
        <v>30</v>
      </c>
      <c r="T1914" t="s">
        <v>40</v>
      </c>
      <c r="U1914">
        <f t="shared" si="29"/>
        <v>0</v>
      </c>
    </row>
    <row r="1915" spans="1:21" x14ac:dyDescent="0.2">
      <c r="A1915">
        <v>724</v>
      </c>
      <c r="B1915" t="s">
        <v>42</v>
      </c>
      <c r="C1915" t="s">
        <v>21</v>
      </c>
      <c r="D1915">
        <v>29</v>
      </c>
      <c r="E1915">
        <v>4</v>
      </c>
      <c r="F1915">
        <v>0</v>
      </c>
      <c r="G1915">
        <v>1</v>
      </c>
      <c r="H1915" t="s">
        <v>22</v>
      </c>
      <c r="I1915" t="s">
        <v>23</v>
      </c>
      <c r="J1915">
        <v>8982.75</v>
      </c>
      <c r="K1915" t="s">
        <v>23</v>
      </c>
      <c r="L1915">
        <v>7.4561739606333874E-2</v>
      </c>
      <c r="M1915" t="s">
        <v>23</v>
      </c>
      <c r="N1915">
        <v>0</v>
      </c>
      <c r="O1915">
        <v>0</v>
      </c>
      <c r="P1915" t="s">
        <v>34</v>
      </c>
      <c r="Q1915" t="s">
        <v>36</v>
      </c>
      <c r="R1915" t="s">
        <v>29</v>
      </c>
      <c r="S1915" t="s">
        <v>37</v>
      </c>
      <c r="T1915" t="s">
        <v>35</v>
      </c>
      <c r="U1915">
        <f t="shared" si="29"/>
        <v>1</v>
      </c>
    </row>
    <row r="1916" spans="1:21" x14ac:dyDescent="0.2">
      <c r="A1916">
        <v>710</v>
      </c>
      <c r="B1916" t="s">
        <v>20</v>
      </c>
      <c r="C1916" t="s">
        <v>32</v>
      </c>
      <c r="D1916">
        <v>30</v>
      </c>
      <c r="E1916">
        <v>10</v>
      </c>
      <c r="F1916">
        <v>0</v>
      </c>
      <c r="G1916">
        <v>2</v>
      </c>
      <c r="H1916" t="s">
        <v>22</v>
      </c>
      <c r="I1916" t="s">
        <v>23</v>
      </c>
      <c r="J1916">
        <v>19500.099999999999</v>
      </c>
      <c r="K1916" t="s">
        <v>23</v>
      </c>
      <c r="L1916">
        <v>0.1124944688127643</v>
      </c>
      <c r="M1916" t="s">
        <v>23</v>
      </c>
      <c r="N1916">
        <v>0</v>
      </c>
      <c r="O1916">
        <v>0</v>
      </c>
      <c r="P1916" t="s">
        <v>34</v>
      </c>
      <c r="Q1916" t="s">
        <v>36</v>
      </c>
      <c r="R1916" t="s">
        <v>29</v>
      </c>
      <c r="S1916" t="s">
        <v>37</v>
      </c>
      <c r="T1916" t="s">
        <v>35</v>
      </c>
      <c r="U1916">
        <f t="shared" si="29"/>
        <v>1</v>
      </c>
    </row>
    <row r="1917" spans="1:21" x14ac:dyDescent="0.2">
      <c r="A1917">
        <v>739</v>
      </c>
      <c r="B1917" t="s">
        <v>20</v>
      </c>
      <c r="C1917" t="s">
        <v>32</v>
      </c>
      <c r="D1917">
        <v>41</v>
      </c>
      <c r="E1917">
        <v>8</v>
      </c>
      <c r="F1917">
        <v>0</v>
      </c>
      <c r="G1917">
        <v>1</v>
      </c>
      <c r="H1917" t="s">
        <v>22</v>
      </c>
      <c r="I1917" t="s">
        <v>23</v>
      </c>
      <c r="J1917">
        <v>191694.77</v>
      </c>
      <c r="K1917" t="s">
        <v>22</v>
      </c>
      <c r="L1917">
        <v>0.26266967870442898</v>
      </c>
      <c r="M1917" t="s">
        <v>23</v>
      </c>
      <c r="N1917">
        <v>1</v>
      </c>
      <c r="O1917">
        <v>0</v>
      </c>
      <c r="P1917" t="s">
        <v>24</v>
      </c>
      <c r="Q1917" t="s">
        <v>25</v>
      </c>
      <c r="R1917" t="s">
        <v>29</v>
      </c>
      <c r="S1917" t="s">
        <v>37</v>
      </c>
      <c r="T1917" t="s">
        <v>31</v>
      </c>
      <c r="U1917">
        <f t="shared" si="29"/>
        <v>0</v>
      </c>
    </row>
    <row r="1918" spans="1:21" x14ac:dyDescent="0.2">
      <c r="A1918">
        <v>662</v>
      </c>
      <c r="B1918" t="s">
        <v>42</v>
      </c>
      <c r="C1918" t="s">
        <v>21</v>
      </c>
      <c r="D1918">
        <v>34</v>
      </c>
      <c r="E1918">
        <v>2</v>
      </c>
      <c r="F1918">
        <v>117731.79</v>
      </c>
      <c r="G1918">
        <v>2</v>
      </c>
      <c r="H1918" t="s">
        <v>23</v>
      </c>
      <c r="I1918" t="s">
        <v>22</v>
      </c>
      <c r="J1918">
        <v>55120.79</v>
      </c>
      <c r="K1918" t="s">
        <v>23</v>
      </c>
      <c r="L1918">
        <v>5.2327381482666642E-2</v>
      </c>
      <c r="M1918" t="s">
        <v>23</v>
      </c>
      <c r="N1918">
        <v>0</v>
      </c>
      <c r="O1918">
        <v>0</v>
      </c>
      <c r="P1918" t="s">
        <v>34</v>
      </c>
      <c r="Q1918" t="s">
        <v>33</v>
      </c>
      <c r="R1918" t="s">
        <v>26</v>
      </c>
      <c r="S1918" t="s">
        <v>27</v>
      </c>
      <c r="T1918" t="s">
        <v>40</v>
      </c>
      <c r="U1918">
        <f t="shared" si="29"/>
        <v>1</v>
      </c>
    </row>
    <row r="1919" spans="1:21" x14ac:dyDescent="0.2">
      <c r="A1919">
        <v>783</v>
      </c>
      <c r="B1919" t="s">
        <v>42</v>
      </c>
      <c r="C1919" t="s">
        <v>21</v>
      </c>
      <c r="D1919">
        <v>38</v>
      </c>
      <c r="E1919">
        <v>9</v>
      </c>
      <c r="F1919">
        <v>114135.17</v>
      </c>
      <c r="G1919">
        <v>1</v>
      </c>
      <c r="H1919" t="s">
        <v>22</v>
      </c>
      <c r="I1919" t="s">
        <v>23</v>
      </c>
      <c r="J1919">
        <v>153269.98000000001</v>
      </c>
      <c r="K1919" t="s">
        <v>23</v>
      </c>
      <c r="L1919">
        <v>0.16576439214541031</v>
      </c>
      <c r="M1919" t="s">
        <v>23</v>
      </c>
      <c r="N1919">
        <v>0</v>
      </c>
      <c r="O1919">
        <v>0</v>
      </c>
      <c r="P1919" t="s">
        <v>34</v>
      </c>
      <c r="Q1919" t="s">
        <v>33</v>
      </c>
      <c r="R1919" t="s">
        <v>26</v>
      </c>
      <c r="S1919" t="s">
        <v>37</v>
      </c>
      <c r="T1919" t="s">
        <v>31</v>
      </c>
      <c r="U1919">
        <f t="shared" si="29"/>
        <v>1</v>
      </c>
    </row>
    <row r="1920" spans="1:21" x14ac:dyDescent="0.2">
      <c r="A1920">
        <v>850</v>
      </c>
      <c r="B1920" t="s">
        <v>42</v>
      </c>
      <c r="C1920" t="s">
        <v>32</v>
      </c>
      <c r="D1920">
        <v>28</v>
      </c>
      <c r="E1920">
        <v>9</v>
      </c>
      <c r="F1920">
        <v>0</v>
      </c>
      <c r="G1920">
        <v>2</v>
      </c>
      <c r="H1920" t="s">
        <v>22</v>
      </c>
      <c r="I1920" t="s">
        <v>22</v>
      </c>
      <c r="J1920">
        <v>164864.67000000001</v>
      </c>
      <c r="K1920" t="s">
        <v>23</v>
      </c>
      <c r="L1920">
        <v>3.4303654952550798E-2</v>
      </c>
      <c r="M1920" t="s">
        <v>23</v>
      </c>
      <c r="N1920">
        <v>0</v>
      </c>
      <c r="O1920">
        <v>0</v>
      </c>
      <c r="P1920" t="s">
        <v>34</v>
      </c>
      <c r="Q1920" t="s">
        <v>36</v>
      </c>
      <c r="R1920" t="s">
        <v>29</v>
      </c>
      <c r="S1920" t="s">
        <v>39</v>
      </c>
      <c r="T1920" t="s">
        <v>31</v>
      </c>
      <c r="U1920">
        <f t="shared" si="29"/>
        <v>1</v>
      </c>
    </row>
    <row r="1921" spans="1:21" x14ac:dyDescent="0.2">
      <c r="A1921">
        <v>563</v>
      </c>
      <c r="B1921" t="s">
        <v>41</v>
      </c>
      <c r="C1921" t="s">
        <v>21</v>
      </c>
      <c r="D1921">
        <v>41</v>
      </c>
      <c r="E1921">
        <v>2</v>
      </c>
      <c r="F1921">
        <v>100520.92</v>
      </c>
      <c r="G1921">
        <v>1</v>
      </c>
      <c r="H1921" t="s">
        <v>22</v>
      </c>
      <c r="I1921" t="s">
        <v>22</v>
      </c>
      <c r="J1921">
        <v>19412.8</v>
      </c>
      <c r="K1921" t="s">
        <v>22</v>
      </c>
      <c r="L1921">
        <v>0.18023279072871179</v>
      </c>
      <c r="M1921" t="s">
        <v>23</v>
      </c>
      <c r="N1921">
        <v>1</v>
      </c>
      <c r="O1921">
        <v>0</v>
      </c>
      <c r="P1921" t="s">
        <v>34</v>
      </c>
      <c r="Q1921" t="s">
        <v>25</v>
      </c>
      <c r="R1921" t="s">
        <v>26</v>
      </c>
      <c r="S1921" t="s">
        <v>30</v>
      </c>
      <c r="T1921" t="s">
        <v>35</v>
      </c>
      <c r="U1921">
        <f t="shared" si="29"/>
        <v>0</v>
      </c>
    </row>
    <row r="1922" spans="1:21" x14ac:dyDescent="0.2">
      <c r="A1922">
        <v>708</v>
      </c>
      <c r="B1922" t="s">
        <v>20</v>
      </c>
      <c r="C1922" t="s">
        <v>21</v>
      </c>
      <c r="D1922">
        <v>40</v>
      </c>
      <c r="E1922">
        <v>8</v>
      </c>
      <c r="F1922">
        <v>83015.710000000006</v>
      </c>
      <c r="G1922">
        <v>1</v>
      </c>
      <c r="H1922" t="s">
        <v>22</v>
      </c>
      <c r="I1922" t="s">
        <v>23</v>
      </c>
      <c r="J1922">
        <v>101089.76</v>
      </c>
      <c r="K1922" t="s">
        <v>23</v>
      </c>
      <c r="L1922">
        <v>0.18729630247637369</v>
      </c>
      <c r="M1922" t="s">
        <v>23</v>
      </c>
      <c r="N1922">
        <v>0</v>
      </c>
      <c r="O1922">
        <v>0</v>
      </c>
      <c r="P1922" t="s">
        <v>34</v>
      </c>
      <c r="Q1922" t="s">
        <v>33</v>
      </c>
      <c r="R1922" t="s">
        <v>38</v>
      </c>
      <c r="S1922" t="s">
        <v>37</v>
      </c>
      <c r="T1922" t="s">
        <v>28</v>
      </c>
      <c r="U1922">
        <f t="shared" ref="U1922:U1985" si="30">IF(K1922=M1922,1,0)</f>
        <v>1</v>
      </c>
    </row>
    <row r="1923" spans="1:21" x14ac:dyDescent="0.2">
      <c r="A1923">
        <v>668</v>
      </c>
      <c r="B1923" t="s">
        <v>41</v>
      </c>
      <c r="C1923" t="s">
        <v>32</v>
      </c>
      <c r="D1923">
        <v>28</v>
      </c>
      <c r="E1923">
        <v>1</v>
      </c>
      <c r="F1923">
        <v>124511.01</v>
      </c>
      <c r="G1923">
        <v>1</v>
      </c>
      <c r="H1923" t="s">
        <v>23</v>
      </c>
      <c r="I1923" t="s">
        <v>23</v>
      </c>
      <c r="J1923">
        <v>114258.18</v>
      </c>
      <c r="K1923" t="s">
        <v>23</v>
      </c>
      <c r="L1923">
        <v>0.32195670528834069</v>
      </c>
      <c r="M1923" t="s">
        <v>23</v>
      </c>
      <c r="N1923">
        <v>0</v>
      </c>
      <c r="O1923">
        <v>0</v>
      </c>
      <c r="P1923" t="s">
        <v>24</v>
      </c>
      <c r="Q1923" t="s">
        <v>36</v>
      </c>
      <c r="R1923" t="s">
        <v>26</v>
      </c>
      <c r="S1923" t="s">
        <v>27</v>
      </c>
      <c r="T1923" t="s">
        <v>28</v>
      </c>
      <c r="U1923">
        <f t="shared" si="30"/>
        <v>1</v>
      </c>
    </row>
    <row r="1924" spans="1:21" x14ac:dyDescent="0.2">
      <c r="A1924">
        <v>738</v>
      </c>
      <c r="B1924" t="s">
        <v>42</v>
      </c>
      <c r="C1924" t="s">
        <v>32</v>
      </c>
      <c r="D1924">
        <v>67</v>
      </c>
      <c r="E1924">
        <v>1</v>
      </c>
      <c r="F1924">
        <v>130652.52</v>
      </c>
      <c r="G1924">
        <v>1</v>
      </c>
      <c r="H1924" t="s">
        <v>23</v>
      </c>
      <c r="I1924" t="s">
        <v>22</v>
      </c>
      <c r="J1924">
        <v>22762.23</v>
      </c>
      <c r="K1924" t="s">
        <v>23</v>
      </c>
      <c r="L1924">
        <v>0.54461180581456337</v>
      </c>
      <c r="M1924" t="s">
        <v>22</v>
      </c>
      <c r="N1924">
        <v>0</v>
      </c>
      <c r="O1924">
        <v>1</v>
      </c>
      <c r="P1924" t="s">
        <v>43</v>
      </c>
      <c r="Q1924" t="s">
        <v>46</v>
      </c>
      <c r="R1924" t="s">
        <v>26</v>
      </c>
      <c r="S1924" t="s">
        <v>37</v>
      </c>
      <c r="T1924" t="s">
        <v>35</v>
      </c>
      <c r="U1924">
        <f t="shared" si="30"/>
        <v>0</v>
      </c>
    </row>
    <row r="1925" spans="1:21" x14ac:dyDescent="0.2">
      <c r="A1925">
        <v>508</v>
      </c>
      <c r="B1925" t="s">
        <v>42</v>
      </c>
      <c r="C1925" t="s">
        <v>21</v>
      </c>
      <c r="D1925">
        <v>35</v>
      </c>
      <c r="E1925">
        <v>1</v>
      </c>
      <c r="F1925">
        <v>86893.28</v>
      </c>
      <c r="G1925">
        <v>1</v>
      </c>
      <c r="H1925" t="s">
        <v>23</v>
      </c>
      <c r="I1925" t="s">
        <v>23</v>
      </c>
      <c r="J1925">
        <v>59374.82</v>
      </c>
      <c r="K1925" t="s">
        <v>23</v>
      </c>
      <c r="L1925">
        <v>0.17077289360199041</v>
      </c>
      <c r="M1925" t="s">
        <v>23</v>
      </c>
      <c r="N1925">
        <v>0</v>
      </c>
      <c r="O1925">
        <v>0</v>
      </c>
      <c r="P1925" t="s">
        <v>34</v>
      </c>
      <c r="Q1925" t="s">
        <v>33</v>
      </c>
      <c r="R1925" t="s">
        <v>38</v>
      </c>
      <c r="S1925" t="s">
        <v>30</v>
      </c>
      <c r="T1925" t="s">
        <v>40</v>
      </c>
      <c r="U1925">
        <f t="shared" si="30"/>
        <v>1</v>
      </c>
    </row>
    <row r="1926" spans="1:21" x14ac:dyDescent="0.2">
      <c r="A1926">
        <v>659</v>
      </c>
      <c r="B1926" t="s">
        <v>42</v>
      </c>
      <c r="C1926" t="s">
        <v>32</v>
      </c>
      <c r="D1926">
        <v>33</v>
      </c>
      <c r="E1926">
        <v>7</v>
      </c>
      <c r="F1926">
        <v>89939.62</v>
      </c>
      <c r="G1926">
        <v>1</v>
      </c>
      <c r="H1926" t="s">
        <v>22</v>
      </c>
      <c r="I1926" t="s">
        <v>23</v>
      </c>
      <c r="J1926">
        <v>136540.09</v>
      </c>
      <c r="K1926" t="s">
        <v>23</v>
      </c>
      <c r="L1926">
        <v>0.200193274143773</v>
      </c>
      <c r="M1926" t="s">
        <v>23</v>
      </c>
      <c r="N1926">
        <v>0</v>
      </c>
      <c r="O1926">
        <v>0</v>
      </c>
      <c r="P1926" t="s">
        <v>24</v>
      </c>
      <c r="Q1926" t="s">
        <v>33</v>
      </c>
      <c r="R1926" t="s">
        <v>38</v>
      </c>
      <c r="S1926" t="s">
        <v>27</v>
      </c>
      <c r="T1926" t="s">
        <v>28</v>
      </c>
      <c r="U1926">
        <f t="shared" si="30"/>
        <v>1</v>
      </c>
    </row>
    <row r="1927" spans="1:21" x14ac:dyDescent="0.2">
      <c r="A1927">
        <v>675</v>
      </c>
      <c r="B1927" t="s">
        <v>42</v>
      </c>
      <c r="C1927" t="s">
        <v>21</v>
      </c>
      <c r="D1927">
        <v>39</v>
      </c>
      <c r="E1927">
        <v>7</v>
      </c>
      <c r="F1927">
        <v>0</v>
      </c>
      <c r="G1927">
        <v>2</v>
      </c>
      <c r="H1927" t="s">
        <v>23</v>
      </c>
      <c r="I1927" t="s">
        <v>22</v>
      </c>
      <c r="J1927">
        <v>36267.21</v>
      </c>
      <c r="K1927" t="s">
        <v>23</v>
      </c>
      <c r="L1927">
        <v>4.9729579257650113E-2</v>
      </c>
      <c r="M1927" t="s">
        <v>23</v>
      </c>
      <c r="N1927">
        <v>0</v>
      </c>
      <c r="O1927">
        <v>0</v>
      </c>
      <c r="P1927" t="s">
        <v>34</v>
      </c>
      <c r="Q1927" t="s">
        <v>33</v>
      </c>
      <c r="R1927" t="s">
        <v>29</v>
      </c>
      <c r="S1927" t="s">
        <v>27</v>
      </c>
      <c r="T1927" t="s">
        <v>35</v>
      </c>
      <c r="U1927">
        <f t="shared" si="30"/>
        <v>1</v>
      </c>
    </row>
    <row r="1928" spans="1:21" x14ac:dyDescent="0.2">
      <c r="A1928">
        <v>455</v>
      </c>
      <c r="B1928" t="s">
        <v>42</v>
      </c>
      <c r="C1928" t="s">
        <v>21</v>
      </c>
      <c r="D1928">
        <v>40</v>
      </c>
      <c r="E1928">
        <v>1</v>
      </c>
      <c r="F1928">
        <v>0</v>
      </c>
      <c r="G1928">
        <v>3</v>
      </c>
      <c r="H1928" t="s">
        <v>23</v>
      </c>
      <c r="I1928" t="s">
        <v>22</v>
      </c>
      <c r="J1928">
        <v>129975.34</v>
      </c>
      <c r="K1928" t="s">
        <v>23</v>
      </c>
      <c r="L1928">
        <v>6.5601829671786141E-2</v>
      </c>
      <c r="M1928" t="s">
        <v>23</v>
      </c>
      <c r="N1928">
        <v>0</v>
      </c>
      <c r="O1928">
        <v>0</v>
      </c>
      <c r="P1928" t="s">
        <v>34</v>
      </c>
      <c r="Q1928" t="s">
        <v>33</v>
      </c>
      <c r="R1928" t="s">
        <v>29</v>
      </c>
      <c r="S1928" t="s">
        <v>45</v>
      </c>
      <c r="T1928" t="s">
        <v>28</v>
      </c>
      <c r="U1928">
        <f t="shared" si="30"/>
        <v>1</v>
      </c>
    </row>
    <row r="1929" spans="1:21" x14ac:dyDescent="0.2">
      <c r="A1929">
        <v>746</v>
      </c>
      <c r="B1929" t="s">
        <v>42</v>
      </c>
      <c r="C1929" t="s">
        <v>32</v>
      </c>
      <c r="D1929">
        <v>37</v>
      </c>
      <c r="E1929">
        <v>4</v>
      </c>
      <c r="F1929">
        <v>0</v>
      </c>
      <c r="G1929">
        <v>2</v>
      </c>
      <c r="H1929" t="s">
        <v>23</v>
      </c>
      <c r="I1929" t="s">
        <v>22</v>
      </c>
      <c r="J1929">
        <v>171039.56</v>
      </c>
      <c r="K1929" t="s">
        <v>23</v>
      </c>
      <c r="L1929">
        <v>7.8344900693217964E-2</v>
      </c>
      <c r="M1929" t="s">
        <v>23</v>
      </c>
      <c r="N1929">
        <v>0</v>
      </c>
      <c r="O1929">
        <v>0</v>
      </c>
      <c r="P1929" t="s">
        <v>34</v>
      </c>
      <c r="Q1929" t="s">
        <v>33</v>
      </c>
      <c r="R1929" t="s">
        <v>29</v>
      </c>
      <c r="S1929" t="s">
        <v>37</v>
      </c>
      <c r="T1929" t="s">
        <v>31</v>
      </c>
      <c r="U1929">
        <f t="shared" si="30"/>
        <v>1</v>
      </c>
    </row>
    <row r="1930" spans="1:21" x14ac:dyDescent="0.2">
      <c r="A1930">
        <v>813</v>
      </c>
      <c r="B1930" t="s">
        <v>20</v>
      </c>
      <c r="C1930" t="s">
        <v>21</v>
      </c>
      <c r="D1930">
        <v>27</v>
      </c>
      <c r="E1930">
        <v>1</v>
      </c>
      <c r="F1930">
        <v>137275.35999999999</v>
      </c>
      <c r="G1930">
        <v>1</v>
      </c>
      <c r="H1930" t="s">
        <v>23</v>
      </c>
      <c r="I1930" t="s">
        <v>22</v>
      </c>
      <c r="J1930">
        <v>115733.16</v>
      </c>
      <c r="K1930" t="s">
        <v>23</v>
      </c>
      <c r="L1930">
        <v>3.6523364287267962E-2</v>
      </c>
      <c r="M1930" t="s">
        <v>23</v>
      </c>
      <c r="N1930">
        <v>0</v>
      </c>
      <c r="O1930">
        <v>0</v>
      </c>
      <c r="P1930" t="s">
        <v>34</v>
      </c>
      <c r="Q1930" t="s">
        <v>36</v>
      </c>
      <c r="R1930" t="s">
        <v>26</v>
      </c>
      <c r="S1930" t="s">
        <v>39</v>
      </c>
      <c r="T1930" t="s">
        <v>28</v>
      </c>
      <c r="U1930">
        <f t="shared" si="30"/>
        <v>1</v>
      </c>
    </row>
    <row r="1931" spans="1:21" x14ac:dyDescent="0.2">
      <c r="A1931">
        <v>669</v>
      </c>
      <c r="B1931" t="s">
        <v>42</v>
      </c>
      <c r="C1931" t="s">
        <v>32</v>
      </c>
      <c r="D1931">
        <v>31</v>
      </c>
      <c r="E1931">
        <v>6</v>
      </c>
      <c r="F1931">
        <v>113000.66</v>
      </c>
      <c r="G1931">
        <v>1</v>
      </c>
      <c r="H1931" t="s">
        <v>22</v>
      </c>
      <c r="I1931" t="s">
        <v>23</v>
      </c>
      <c r="J1931">
        <v>40467.82</v>
      </c>
      <c r="K1931" t="s">
        <v>23</v>
      </c>
      <c r="L1931">
        <v>0.18031877930133419</v>
      </c>
      <c r="M1931" t="s">
        <v>23</v>
      </c>
      <c r="N1931">
        <v>0</v>
      </c>
      <c r="O1931">
        <v>0</v>
      </c>
      <c r="P1931" t="s">
        <v>34</v>
      </c>
      <c r="Q1931" t="s">
        <v>33</v>
      </c>
      <c r="R1931" t="s">
        <v>26</v>
      </c>
      <c r="S1931" t="s">
        <v>27</v>
      </c>
      <c r="T1931" t="s">
        <v>35</v>
      </c>
      <c r="U1931">
        <f t="shared" si="30"/>
        <v>1</v>
      </c>
    </row>
    <row r="1932" spans="1:21" x14ac:dyDescent="0.2">
      <c r="A1932">
        <v>696</v>
      </c>
      <c r="B1932" t="s">
        <v>41</v>
      </c>
      <c r="C1932" t="s">
        <v>21</v>
      </c>
      <c r="D1932">
        <v>32</v>
      </c>
      <c r="E1932">
        <v>4</v>
      </c>
      <c r="F1932">
        <v>84421.62</v>
      </c>
      <c r="G1932">
        <v>1</v>
      </c>
      <c r="H1932" t="s">
        <v>23</v>
      </c>
      <c r="I1932" t="s">
        <v>22</v>
      </c>
      <c r="J1932">
        <v>52314.71</v>
      </c>
      <c r="K1932" t="s">
        <v>23</v>
      </c>
      <c r="L1932">
        <v>9.0836105038366921E-2</v>
      </c>
      <c r="M1932" t="s">
        <v>23</v>
      </c>
      <c r="N1932">
        <v>0</v>
      </c>
      <c r="O1932">
        <v>0</v>
      </c>
      <c r="P1932" t="s">
        <v>34</v>
      </c>
      <c r="Q1932" t="s">
        <v>33</v>
      </c>
      <c r="R1932" t="s">
        <v>38</v>
      </c>
      <c r="S1932" t="s">
        <v>27</v>
      </c>
      <c r="T1932" t="s">
        <v>40</v>
      </c>
      <c r="U1932">
        <f t="shared" si="30"/>
        <v>1</v>
      </c>
    </row>
    <row r="1933" spans="1:21" x14ac:dyDescent="0.2">
      <c r="A1933">
        <v>550</v>
      </c>
      <c r="B1933" t="s">
        <v>42</v>
      </c>
      <c r="C1933" t="s">
        <v>32</v>
      </c>
      <c r="D1933">
        <v>30</v>
      </c>
      <c r="E1933">
        <v>4</v>
      </c>
      <c r="F1933">
        <v>0</v>
      </c>
      <c r="G1933">
        <v>2</v>
      </c>
      <c r="H1933" t="s">
        <v>22</v>
      </c>
      <c r="I1933" t="s">
        <v>23</v>
      </c>
      <c r="J1933">
        <v>89216.29</v>
      </c>
      <c r="K1933" t="s">
        <v>23</v>
      </c>
      <c r="L1933">
        <v>0.1375925049094833</v>
      </c>
      <c r="M1933" t="s">
        <v>23</v>
      </c>
      <c r="N1933">
        <v>0</v>
      </c>
      <c r="O1933">
        <v>0</v>
      </c>
      <c r="P1933" t="s">
        <v>34</v>
      </c>
      <c r="Q1933" t="s">
        <v>36</v>
      </c>
      <c r="R1933" t="s">
        <v>29</v>
      </c>
      <c r="S1933" t="s">
        <v>30</v>
      </c>
      <c r="T1933" t="s">
        <v>40</v>
      </c>
      <c r="U1933">
        <f t="shared" si="30"/>
        <v>1</v>
      </c>
    </row>
    <row r="1934" spans="1:21" x14ac:dyDescent="0.2">
      <c r="A1934">
        <v>758</v>
      </c>
      <c r="B1934" t="s">
        <v>20</v>
      </c>
      <c r="C1934" t="s">
        <v>21</v>
      </c>
      <c r="D1934">
        <v>35</v>
      </c>
      <c r="E1934">
        <v>5</v>
      </c>
      <c r="F1934">
        <v>0</v>
      </c>
      <c r="G1934">
        <v>2</v>
      </c>
      <c r="H1934" t="s">
        <v>22</v>
      </c>
      <c r="I1934" t="s">
        <v>23</v>
      </c>
      <c r="J1934">
        <v>95009.600000000006</v>
      </c>
      <c r="K1934" t="s">
        <v>23</v>
      </c>
      <c r="L1934">
        <v>0.1057350778199759</v>
      </c>
      <c r="M1934" t="s">
        <v>23</v>
      </c>
      <c r="N1934">
        <v>0</v>
      </c>
      <c r="O1934">
        <v>0</v>
      </c>
      <c r="P1934" t="s">
        <v>34</v>
      </c>
      <c r="Q1934" t="s">
        <v>33</v>
      </c>
      <c r="R1934" t="s">
        <v>29</v>
      </c>
      <c r="S1934" t="s">
        <v>37</v>
      </c>
      <c r="T1934" t="s">
        <v>40</v>
      </c>
      <c r="U1934">
        <f t="shared" si="30"/>
        <v>1</v>
      </c>
    </row>
    <row r="1935" spans="1:21" x14ac:dyDescent="0.2">
      <c r="A1935">
        <v>596</v>
      </c>
      <c r="B1935" t="s">
        <v>42</v>
      </c>
      <c r="C1935" t="s">
        <v>21</v>
      </c>
      <c r="D1935">
        <v>37</v>
      </c>
      <c r="E1935">
        <v>2</v>
      </c>
      <c r="F1935">
        <v>0</v>
      </c>
      <c r="G1935">
        <v>1</v>
      </c>
      <c r="H1935" t="s">
        <v>23</v>
      </c>
      <c r="I1935" t="s">
        <v>22</v>
      </c>
      <c r="J1935">
        <v>121175.86</v>
      </c>
      <c r="K1935" t="s">
        <v>23</v>
      </c>
      <c r="L1935">
        <v>5.7682672917731839E-2</v>
      </c>
      <c r="M1935" t="s">
        <v>23</v>
      </c>
      <c r="N1935">
        <v>0</v>
      </c>
      <c r="O1935">
        <v>0</v>
      </c>
      <c r="P1935" t="s">
        <v>34</v>
      </c>
      <c r="Q1935" t="s">
        <v>33</v>
      </c>
      <c r="R1935" t="s">
        <v>29</v>
      </c>
      <c r="S1935" t="s">
        <v>30</v>
      </c>
      <c r="T1935" t="s">
        <v>28</v>
      </c>
      <c r="U1935">
        <f t="shared" si="30"/>
        <v>1</v>
      </c>
    </row>
    <row r="1936" spans="1:21" x14ac:dyDescent="0.2">
      <c r="A1936">
        <v>649</v>
      </c>
      <c r="B1936" t="s">
        <v>41</v>
      </c>
      <c r="C1936" t="s">
        <v>21</v>
      </c>
      <c r="D1936">
        <v>78</v>
      </c>
      <c r="E1936">
        <v>4</v>
      </c>
      <c r="F1936">
        <v>68345.86</v>
      </c>
      <c r="G1936">
        <v>2</v>
      </c>
      <c r="H1936" t="s">
        <v>22</v>
      </c>
      <c r="I1936" t="s">
        <v>22</v>
      </c>
      <c r="J1936">
        <v>142566.75</v>
      </c>
      <c r="K1936" t="s">
        <v>23</v>
      </c>
      <c r="L1936">
        <v>0.73218930317002717</v>
      </c>
      <c r="M1936" t="s">
        <v>22</v>
      </c>
      <c r="N1936">
        <v>0</v>
      </c>
      <c r="O1936">
        <v>1</v>
      </c>
      <c r="P1936" t="s">
        <v>43</v>
      </c>
      <c r="Q1936" t="s">
        <v>46</v>
      </c>
      <c r="R1936" t="s">
        <v>38</v>
      </c>
      <c r="S1936" t="s">
        <v>27</v>
      </c>
      <c r="T1936" t="s">
        <v>28</v>
      </c>
      <c r="U1936">
        <f t="shared" si="30"/>
        <v>0</v>
      </c>
    </row>
    <row r="1937" spans="1:21" x14ac:dyDescent="0.2">
      <c r="A1937">
        <v>600</v>
      </c>
      <c r="B1937" t="s">
        <v>42</v>
      </c>
      <c r="C1937" t="s">
        <v>21</v>
      </c>
      <c r="D1937">
        <v>31</v>
      </c>
      <c r="E1937">
        <v>8</v>
      </c>
      <c r="F1937">
        <v>0</v>
      </c>
      <c r="G1937">
        <v>2</v>
      </c>
      <c r="H1937" t="s">
        <v>22</v>
      </c>
      <c r="I1937" t="s">
        <v>22</v>
      </c>
      <c r="J1937">
        <v>121555.51</v>
      </c>
      <c r="K1937" t="s">
        <v>23</v>
      </c>
      <c r="L1937">
        <v>2.9470494001560571E-2</v>
      </c>
      <c r="M1937" t="s">
        <v>23</v>
      </c>
      <c r="N1937">
        <v>0</v>
      </c>
      <c r="O1937">
        <v>0</v>
      </c>
      <c r="P1937" t="s">
        <v>34</v>
      </c>
      <c r="Q1937" t="s">
        <v>33</v>
      </c>
      <c r="R1937" t="s">
        <v>29</v>
      </c>
      <c r="S1937" t="s">
        <v>30</v>
      </c>
      <c r="T1937" t="s">
        <v>28</v>
      </c>
      <c r="U1937">
        <f t="shared" si="30"/>
        <v>1</v>
      </c>
    </row>
    <row r="1938" spans="1:21" x14ac:dyDescent="0.2">
      <c r="A1938">
        <v>686</v>
      </c>
      <c r="B1938" t="s">
        <v>41</v>
      </c>
      <c r="C1938" t="s">
        <v>32</v>
      </c>
      <c r="D1938">
        <v>39</v>
      </c>
      <c r="E1938">
        <v>4</v>
      </c>
      <c r="F1938">
        <v>157731.6</v>
      </c>
      <c r="G1938">
        <v>2</v>
      </c>
      <c r="H1938" t="s">
        <v>22</v>
      </c>
      <c r="I1938" t="s">
        <v>23</v>
      </c>
      <c r="J1938">
        <v>162820.6</v>
      </c>
      <c r="K1938" t="s">
        <v>23</v>
      </c>
      <c r="L1938">
        <v>0.49368799313122808</v>
      </c>
      <c r="M1938" t="s">
        <v>23</v>
      </c>
      <c r="N1938">
        <v>0</v>
      </c>
      <c r="O1938">
        <v>0</v>
      </c>
      <c r="P1938" t="s">
        <v>24</v>
      </c>
      <c r="Q1938" t="s">
        <v>33</v>
      </c>
      <c r="R1938" t="s">
        <v>47</v>
      </c>
      <c r="S1938" t="s">
        <v>27</v>
      </c>
      <c r="T1938" t="s">
        <v>31</v>
      </c>
      <c r="U1938">
        <f t="shared" si="30"/>
        <v>1</v>
      </c>
    </row>
    <row r="1939" spans="1:21" x14ac:dyDescent="0.2">
      <c r="A1939">
        <v>779</v>
      </c>
      <c r="B1939" t="s">
        <v>42</v>
      </c>
      <c r="C1939" t="s">
        <v>21</v>
      </c>
      <c r="D1939">
        <v>49</v>
      </c>
      <c r="E1939">
        <v>9</v>
      </c>
      <c r="F1939">
        <v>106160.37</v>
      </c>
      <c r="G1939">
        <v>1</v>
      </c>
      <c r="H1939" t="s">
        <v>23</v>
      </c>
      <c r="I1939" t="s">
        <v>23</v>
      </c>
      <c r="J1939">
        <v>116893.87</v>
      </c>
      <c r="K1939" t="s">
        <v>23</v>
      </c>
      <c r="L1939">
        <v>0.30830376971116119</v>
      </c>
      <c r="M1939" t="s">
        <v>23</v>
      </c>
      <c r="N1939">
        <v>0</v>
      </c>
      <c r="O1939">
        <v>0</v>
      </c>
      <c r="P1939" t="s">
        <v>24</v>
      </c>
      <c r="Q1939" t="s">
        <v>25</v>
      </c>
      <c r="R1939" t="s">
        <v>26</v>
      </c>
      <c r="S1939" t="s">
        <v>37</v>
      </c>
      <c r="T1939" t="s">
        <v>28</v>
      </c>
      <c r="U1939">
        <f t="shared" si="30"/>
        <v>1</v>
      </c>
    </row>
    <row r="1940" spans="1:21" x14ac:dyDescent="0.2">
      <c r="A1940">
        <v>642</v>
      </c>
      <c r="B1940" t="s">
        <v>42</v>
      </c>
      <c r="C1940" t="s">
        <v>32</v>
      </c>
      <c r="D1940">
        <v>41</v>
      </c>
      <c r="E1940">
        <v>7</v>
      </c>
      <c r="F1940">
        <v>115171.71</v>
      </c>
      <c r="G1940">
        <v>1</v>
      </c>
      <c r="H1940" t="s">
        <v>22</v>
      </c>
      <c r="I1940" t="s">
        <v>22</v>
      </c>
      <c r="J1940">
        <v>37674.47</v>
      </c>
      <c r="K1940" t="s">
        <v>23</v>
      </c>
      <c r="L1940">
        <v>0.1345684418617269</v>
      </c>
      <c r="M1940" t="s">
        <v>23</v>
      </c>
      <c r="N1940">
        <v>0</v>
      </c>
      <c r="O1940">
        <v>0</v>
      </c>
      <c r="P1940" t="s">
        <v>34</v>
      </c>
      <c r="Q1940" t="s">
        <v>25</v>
      </c>
      <c r="R1940" t="s">
        <v>26</v>
      </c>
      <c r="S1940" t="s">
        <v>27</v>
      </c>
      <c r="T1940" t="s">
        <v>35</v>
      </c>
      <c r="U1940">
        <f t="shared" si="30"/>
        <v>1</v>
      </c>
    </row>
    <row r="1941" spans="1:21" x14ac:dyDescent="0.2">
      <c r="A1941">
        <v>637</v>
      </c>
      <c r="B1941" t="s">
        <v>42</v>
      </c>
      <c r="C1941" t="s">
        <v>21</v>
      </c>
      <c r="D1941">
        <v>32</v>
      </c>
      <c r="E1941">
        <v>3</v>
      </c>
      <c r="F1941">
        <v>0</v>
      </c>
      <c r="G1941">
        <v>2</v>
      </c>
      <c r="H1941" t="s">
        <v>22</v>
      </c>
      <c r="I1941" t="s">
        <v>22</v>
      </c>
      <c r="J1941">
        <v>197827.06</v>
      </c>
      <c r="K1941" t="s">
        <v>23</v>
      </c>
      <c r="L1941">
        <v>3.541834820468142E-2</v>
      </c>
      <c r="M1941" t="s">
        <v>23</v>
      </c>
      <c r="N1941">
        <v>0</v>
      </c>
      <c r="O1941">
        <v>0</v>
      </c>
      <c r="P1941" t="s">
        <v>34</v>
      </c>
      <c r="Q1941" t="s">
        <v>33</v>
      </c>
      <c r="R1941" t="s">
        <v>29</v>
      </c>
      <c r="S1941" t="s">
        <v>27</v>
      </c>
      <c r="T1941" t="s">
        <v>31</v>
      </c>
      <c r="U1941">
        <f t="shared" si="30"/>
        <v>1</v>
      </c>
    </row>
    <row r="1942" spans="1:21" x14ac:dyDescent="0.2">
      <c r="A1942">
        <v>812</v>
      </c>
      <c r="B1942" t="s">
        <v>41</v>
      </c>
      <c r="C1942" t="s">
        <v>21</v>
      </c>
      <c r="D1942">
        <v>39</v>
      </c>
      <c r="E1942">
        <v>5</v>
      </c>
      <c r="F1942">
        <v>115730.71</v>
      </c>
      <c r="G1942">
        <v>3</v>
      </c>
      <c r="H1942" t="s">
        <v>22</v>
      </c>
      <c r="I1942" t="s">
        <v>22</v>
      </c>
      <c r="J1942">
        <v>185599.34</v>
      </c>
      <c r="K1942" t="s">
        <v>22</v>
      </c>
      <c r="L1942">
        <v>0.12246042239868909</v>
      </c>
      <c r="M1942" t="s">
        <v>23</v>
      </c>
      <c r="N1942">
        <v>1</v>
      </c>
      <c r="O1942">
        <v>0</v>
      </c>
      <c r="P1942" t="s">
        <v>34</v>
      </c>
      <c r="Q1942" t="s">
        <v>33</v>
      </c>
      <c r="R1942" t="s">
        <v>26</v>
      </c>
      <c r="S1942" t="s">
        <v>39</v>
      </c>
      <c r="T1942" t="s">
        <v>31</v>
      </c>
      <c r="U1942">
        <f t="shared" si="30"/>
        <v>0</v>
      </c>
    </row>
    <row r="1943" spans="1:21" x14ac:dyDescent="0.2">
      <c r="A1943">
        <v>803</v>
      </c>
      <c r="B1943" t="s">
        <v>42</v>
      </c>
      <c r="C1943" t="s">
        <v>32</v>
      </c>
      <c r="D1943">
        <v>40</v>
      </c>
      <c r="E1943">
        <v>6</v>
      </c>
      <c r="F1943">
        <v>165526.71</v>
      </c>
      <c r="G1943">
        <v>1</v>
      </c>
      <c r="H1943" t="s">
        <v>22</v>
      </c>
      <c r="I1943" t="s">
        <v>23</v>
      </c>
      <c r="J1943">
        <v>12328.08</v>
      </c>
      <c r="K1943" t="s">
        <v>23</v>
      </c>
      <c r="L1943">
        <v>0.30562999563733451</v>
      </c>
      <c r="M1943" t="s">
        <v>23</v>
      </c>
      <c r="N1943">
        <v>0</v>
      </c>
      <c r="O1943">
        <v>0</v>
      </c>
      <c r="P1943" t="s">
        <v>24</v>
      </c>
      <c r="Q1943" t="s">
        <v>33</v>
      </c>
      <c r="R1943" t="s">
        <v>47</v>
      </c>
      <c r="S1943" t="s">
        <v>39</v>
      </c>
      <c r="T1943" t="s">
        <v>35</v>
      </c>
      <c r="U1943">
        <f t="shared" si="30"/>
        <v>1</v>
      </c>
    </row>
    <row r="1944" spans="1:21" x14ac:dyDescent="0.2">
      <c r="A1944">
        <v>679</v>
      </c>
      <c r="B1944" t="s">
        <v>42</v>
      </c>
      <c r="C1944" t="s">
        <v>32</v>
      </c>
      <c r="D1944">
        <v>36</v>
      </c>
      <c r="E1944">
        <v>3</v>
      </c>
      <c r="F1944">
        <v>0</v>
      </c>
      <c r="G1944">
        <v>2</v>
      </c>
      <c r="H1944" t="s">
        <v>22</v>
      </c>
      <c r="I1944" t="s">
        <v>22</v>
      </c>
      <c r="J1944">
        <v>2243.41</v>
      </c>
      <c r="K1944" t="s">
        <v>23</v>
      </c>
      <c r="L1944">
        <v>6.9169275661578003E-2</v>
      </c>
      <c r="M1944" t="s">
        <v>23</v>
      </c>
      <c r="N1944">
        <v>0</v>
      </c>
      <c r="O1944">
        <v>0</v>
      </c>
      <c r="P1944" t="s">
        <v>34</v>
      </c>
      <c r="Q1944" t="s">
        <v>33</v>
      </c>
      <c r="R1944" t="s">
        <v>29</v>
      </c>
      <c r="S1944" t="s">
        <v>27</v>
      </c>
      <c r="T1944" t="s">
        <v>35</v>
      </c>
      <c r="U1944">
        <f t="shared" si="30"/>
        <v>1</v>
      </c>
    </row>
    <row r="1945" spans="1:21" x14ac:dyDescent="0.2">
      <c r="A1945">
        <v>651</v>
      </c>
      <c r="B1945" t="s">
        <v>42</v>
      </c>
      <c r="C1945" t="s">
        <v>21</v>
      </c>
      <c r="D1945">
        <v>23</v>
      </c>
      <c r="E1945">
        <v>10</v>
      </c>
      <c r="F1945">
        <v>0</v>
      </c>
      <c r="G1945">
        <v>2</v>
      </c>
      <c r="H1945" t="s">
        <v>22</v>
      </c>
      <c r="I1945" t="s">
        <v>22</v>
      </c>
      <c r="J1945">
        <v>170099.23</v>
      </c>
      <c r="K1945" t="s">
        <v>23</v>
      </c>
      <c r="L1945">
        <v>1.5764223298083871E-2</v>
      </c>
      <c r="M1945" t="s">
        <v>23</v>
      </c>
      <c r="N1945">
        <v>0</v>
      </c>
      <c r="O1945">
        <v>0</v>
      </c>
      <c r="P1945" t="s">
        <v>34</v>
      </c>
      <c r="Q1945" t="s">
        <v>36</v>
      </c>
      <c r="R1945" t="s">
        <v>29</v>
      </c>
      <c r="S1945" t="s">
        <v>27</v>
      </c>
      <c r="T1945" t="s">
        <v>31</v>
      </c>
      <c r="U1945">
        <f t="shared" si="30"/>
        <v>1</v>
      </c>
    </row>
    <row r="1946" spans="1:21" x14ac:dyDescent="0.2">
      <c r="A1946">
        <v>586</v>
      </c>
      <c r="B1946" t="s">
        <v>41</v>
      </c>
      <c r="C1946" t="s">
        <v>21</v>
      </c>
      <c r="D1946">
        <v>46</v>
      </c>
      <c r="E1946">
        <v>8</v>
      </c>
      <c r="F1946">
        <v>106968.96000000001</v>
      </c>
      <c r="G1946">
        <v>1</v>
      </c>
      <c r="H1946" t="s">
        <v>22</v>
      </c>
      <c r="I1946" t="s">
        <v>22</v>
      </c>
      <c r="J1946">
        <v>79366.98</v>
      </c>
      <c r="K1946" t="s">
        <v>22</v>
      </c>
      <c r="L1946">
        <v>0.22632136386182519</v>
      </c>
      <c r="M1946" t="s">
        <v>23</v>
      </c>
      <c r="N1946">
        <v>1</v>
      </c>
      <c r="O1946">
        <v>0</v>
      </c>
      <c r="P1946" t="s">
        <v>24</v>
      </c>
      <c r="Q1946" t="s">
        <v>25</v>
      </c>
      <c r="R1946" t="s">
        <v>26</v>
      </c>
      <c r="S1946" t="s">
        <v>30</v>
      </c>
      <c r="T1946" t="s">
        <v>40</v>
      </c>
      <c r="U1946">
        <f t="shared" si="30"/>
        <v>0</v>
      </c>
    </row>
    <row r="1947" spans="1:21" x14ac:dyDescent="0.2">
      <c r="A1947">
        <v>490</v>
      </c>
      <c r="B1947" t="s">
        <v>41</v>
      </c>
      <c r="C1947" t="s">
        <v>32</v>
      </c>
      <c r="D1947">
        <v>41</v>
      </c>
      <c r="E1947">
        <v>0</v>
      </c>
      <c r="F1947">
        <v>139659.04</v>
      </c>
      <c r="G1947">
        <v>1</v>
      </c>
      <c r="H1947" t="s">
        <v>22</v>
      </c>
      <c r="I1947" t="s">
        <v>22</v>
      </c>
      <c r="J1947">
        <v>176254.12</v>
      </c>
      <c r="K1947" t="s">
        <v>23</v>
      </c>
      <c r="L1947">
        <v>0.33447893975922238</v>
      </c>
      <c r="M1947" t="s">
        <v>23</v>
      </c>
      <c r="N1947">
        <v>0</v>
      </c>
      <c r="O1947">
        <v>0</v>
      </c>
      <c r="P1947" t="s">
        <v>24</v>
      </c>
      <c r="Q1947" t="s">
        <v>25</v>
      </c>
      <c r="R1947" t="s">
        <v>26</v>
      </c>
      <c r="S1947" t="s">
        <v>45</v>
      </c>
      <c r="T1947" t="s">
        <v>31</v>
      </c>
      <c r="U1947">
        <f t="shared" si="30"/>
        <v>1</v>
      </c>
    </row>
    <row r="1948" spans="1:21" x14ac:dyDescent="0.2">
      <c r="A1948">
        <v>656</v>
      </c>
      <c r="B1948" t="s">
        <v>41</v>
      </c>
      <c r="C1948" t="s">
        <v>21</v>
      </c>
      <c r="D1948">
        <v>68</v>
      </c>
      <c r="E1948">
        <v>7</v>
      </c>
      <c r="F1948">
        <v>153545.10999999999</v>
      </c>
      <c r="G1948">
        <v>1</v>
      </c>
      <c r="H1948" t="s">
        <v>22</v>
      </c>
      <c r="I1948" t="s">
        <v>22</v>
      </c>
      <c r="J1948">
        <v>186574.68</v>
      </c>
      <c r="K1948" t="s">
        <v>23</v>
      </c>
      <c r="L1948">
        <v>0.63429071735661224</v>
      </c>
      <c r="M1948" t="s">
        <v>22</v>
      </c>
      <c r="N1948">
        <v>0</v>
      </c>
      <c r="O1948">
        <v>1</v>
      </c>
      <c r="P1948" t="s">
        <v>43</v>
      </c>
      <c r="Q1948" t="s">
        <v>46</v>
      </c>
      <c r="R1948" t="s">
        <v>47</v>
      </c>
      <c r="S1948" t="s">
        <v>27</v>
      </c>
      <c r="T1948" t="s">
        <v>31</v>
      </c>
      <c r="U1948">
        <f t="shared" si="30"/>
        <v>0</v>
      </c>
    </row>
    <row r="1949" spans="1:21" x14ac:dyDescent="0.2">
      <c r="A1949">
        <v>673</v>
      </c>
      <c r="B1949" t="s">
        <v>20</v>
      </c>
      <c r="C1949" t="s">
        <v>21</v>
      </c>
      <c r="D1949">
        <v>40</v>
      </c>
      <c r="E1949">
        <v>1</v>
      </c>
      <c r="F1949">
        <v>121629.22</v>
      </c>
      <c r="G1949">
        <v>1</v>
      </c>
      <c r="H1949" t="s">
        <v>22</v>
      </c>
      <c r="I1949" t="s">
        <v>22</v>
      </c>
      <c r="J1949">
        <v>3258.6</v>
      </c>
      <c r="K1949" t="s">
        <v>23</v>
      </c>
      <c r="L1949">
        <v>8.710936803988252E-2</v>
      </c>
      <c r="M1949" t="s">
        <v>23</v>
      </c>
      <c r="N1949">
        <v>0</v>
      </c>
      <c r="O1949">
        <v>0</v>
      </c>
      <c r="P1949" t="s">
        <v>34</v>
      </c>
      <c r="Q1949" t="s">
        <v>33</v>
      </c>
      <c r="R1949" t="s">
        <v>26</v>
      </c>
      <c r="S1949" t="s">
        <v>27</v>
      </c>
      <c r="T1949" t="s">
        <v>35</v>
      </c>
      <c r="U1949">
        <f t="shared" si="30"/>
        <v>1</v>
      </c>
    </row>
    <row r="1950" spans="1:21" x14ac:dyDescent="0.2">
      <c r="A1950">
        <v>556</v>
      </c>
      <c r="B1950" t="s">
        <v>41</v>
      </c>
      <c r="C1950" t="s">
        <v>32</v>
      </c>
      <c r="D1950">
        <v>43</v>
      </c>
      <c r="E1950">
        <v>4</v>
      </c>
      <c r="F1950">
        <v>125890.72</v>
      </c>
      <c r="G1950">
        <v>1</v>
      </c>
      <c r="H1950" t="s">
        <v>22</v>
      </c>
      <c r="I1950" t="s">
        <v>22</v>
      </c>
      <c r="J1950">
        <v>74854.97</v>
      </c>
      <c r="K1950" t="s">
        <v>23</v>
      </c>
      <c r="L1950">
        <v>0.31923940236911741</v>
      </c>
      <c r="M1950" t="s">
        <v>23</v>
      </c>
      <c r="N1950">
        <v>0</v>
      </c>
      <c r="O1950">
        <v>0</v>
      </c>
      <c r="P1950" t="s">
        <v>24</v>
      </c>
      <c r="Q1950" t="s">
        <v>25</v>
      </c>
      <c r="R1950" t="s">
        <v>26</v>
      </c>
      <c r="S1950" t="s">
        <v>30</v>
      </c>
      <c r="T1950" t="s">
        <v>40</v>
      </c>
      <c r="U1950">
        <f t="shared" si="30"/>
        <v>1</v>
      </c>
    </row>
    <row r="1951" spans="1:21" x14ac:dyDescent="0.2">
      <c r="A1951">
        <v>520</v>
      </c>
      <c r="B1951" t="s">
        <v>42</v>
      </c>
      <c r="C1951" t="s">
        <v>21</v>
      </c>
      <c r="D1951">
        <v>49</v>
      </c>
      <c r="E1951">
        <v>5</v>
      </c>
      <c r="F1951">
        <v>121197.64</v>
      </c>
      <c r="G1951">
        <v>1</v>
      </c>
      <c r="H1951" t="s">
        <v>22</v>
      </c>
      <c r="I1951" t="s">
        <v>23</v>
      </c>
      <c r="J1951">
        <v>72577.33</v>
      </c>
      <c r="K1951" t="s">
        <v>22</v>
      </c>
      <c r="L1951">
        <v>0.36178334984644112</v>
      </c>
      <c r="M1951" t="s">
        <v>23</v>
      </c>
      <c r="N1951">
        <v>1</v>
      </c>
      <c r="O1951">
        <v>0</v>
      </c>
      <c r="P1951" t="s">
        <v>24</v>
      </c>
      <c r="Q1951" t="s">
        <v>25</v>
      </c>
      <c r="R1951" t="s">
        <v>26</v>
      </c>
      <c r="S1951" t="s">
        <v>30</v>
      </c>
      <c r="T1951" t="s">
        <v>40</v>
      </c>
      <c r="U1951">
        <f t="shared" si="30"/>
        <v>0</v>
      </c>
    </row>
    <row r="1952" spans="1:21" x14ac:dyDescent="0.2">
      <c r="A1952">
        <v>732</v>
      </c>
      <c r="B1952" t="s">
        <v>42</v>
      </c>
      <c r="C1952" t="s">
        <v>32</v>
      </c>
      <c r="D1952">
        <v>43</v>
      </c>
      <c r="E1952">
        <v>9</v>
      </c>
      <c r="F1952">
        <v>0</v>
      </c>
      <c r="G1952">
        <v>2</v>
      </c>
      <c r="H1952" t="s">
        <v>22</v>
      </c>
      <c r="I1952" t="s">
        <v>23</v>
      </c>
      <c r="J1952">
        <v>183147.17</v>
      </c>
      <c r="K1952" t="s">
        <v>23</v>
      </c>
      <c r="L1952">
        <v>0.26001109601093703</v>
      </c>
      <c r="M1952" t="s">
        <v>23</v>
      </c>
      <c r="N1952">
        <v>0</v>
      </c>
      <c r="O1952">
        <v>0</v>
      </c>
      <c r="P1952" t="s">
        <v>24</v>
      </c>
      <c r="Q1952" t="s">
        <v>25</v>
      </c>
      <c r="R1952" t="s">
        <v>29</v>
      </c>
      <c r="S1952" t="s">
        <v>37</v>
      </c>
      <c r="T1952" t="s">
        <v>31</v>
      </c>
      <c r="U1952">
        <f t="shared" si="30"/>
        <v>1</v>
      </c>
    </row>
    <row r="1953" spans="1:21" x14ac:dyDescent="0.2">
      <c r="A1953">
        <v>515</v>
      </c>
      <c r="B1953" t="s">
        <v>20</v>
      </c>
      <c r="C1953" t="s">
        <v>21</v>
      </c>
      <c r="D1953">
        <v>40</v>
      </c>
      <c r="E1953">
        <v>10</v>
      </c>
      <c r="F1953">
        <v>121355.99</v>
      </c>
      <c r="G1953">
        <v>1</v>
      </c>
      <c r="H1953" t="s">
        <v>22</v>
      </c>
      <c r="I1953" t="s">
        <v>23</v>
      </c>
      <c r="J1953">
        <v>138360.29</v>
      </c>
      <c r="K1953" t="s">
        <v>23</v>
      </c>
      <c r="L1953">
        <v>0.222110505411937</v>
      </c>
      <c r="M1953" t="s">
        <v>23</v>
      </c>
      <c r="N1953">
        <v>0</v>
      </c>
      <c r="O1953">
        <v>0</v>
      </c>
      <c r="P1953" t="s">
        <v>24</v>
      </c>
      <c r="Q1953" t="s">
        <v>33</v>
      </c>
      <c r="R1953" t="s">
        <v>26</v>
      </c>
      <c r="S1953" t="s">
        <v>30</v>
      </c>
      <c r="T1953" t="s">
        <v>28</v>
      </c>
      <c r="U1953">
        <f t="shared" si="30"/>
        <v>1</v>
      </c>
    </row>
    <row r="1954" spans="1:21" x14ac:dyDescent="0.2">
      <c r="A1954">
        <v>601</v>
      </c>
      <c r="B1954" t="s">
        <v>41</v>
      </c>
      <c r="C1954" t="s">
        <v>32</v>
      </c>
      <c r="D1954">
        <v>49</v>
      </c>
      <c r="E1954">
        <v>4</v>
      </c>
      <c r="F1954">
        <v>96252.98</v>
      </c>
      <c r="G1954">
        <v>2</v>
      </c>
      <c r="H1954" t="s">
        <v>22</v>
      </c>
      <c r="I1954" t="s">
        <v>23</v>
      </c>
      <c r="J1954">
        <v>104263.82</v>
      </c>
      <c r="K1954" t="s">
        <v>23</v>
      </c>
      <c r="L1954">
        <v>0.64139616144738054</v>
      </c>
      <c r="M1954" t="s">
        <v>22</v>
      </c>
      <c r="N1954">
        <v>0</v>
      </c>
      <c r="O1954">
        <v>1</v>
      </c>
      <c r="P1954" t="s">
        <v>43</v>
      </c>
      <c r="Q1954" t="s">
        <v>25</v>
      </c>
      <c r="R1954" t="s">
        <v>38</v>
      </c>
      <c r="S1954" t="s">
        <v>27</v>
      </c>
      <c r="T1954" t="s">
        <v>28</v>
      </c>
      <c r="U1954">
        <f t="shared" si="30"/>
        <v>0</v>
      </c>
    </row>
    <row r="1955" spans="1:21" x14ac:dyDescent="0.2">
      <c r="A1955">
        <v>553</v>
      </c>
      <c r="B1955" t="s">
        <v>42</v>
      </c>
      <c r="C1955" t="s">
        <v>21</v>
      </c>
      <c r="D1955">
        <v>32</v>
      </c>
      <c r="E1955">
        <v>7</v>
      </c>
      <c r="F1955">
        <v>64082.09</v>
      </c>
      <c r="G1955">
        <v>1</v>
      </c>
      <c r="H1955" t="s">
        <v>23</v>
      </c>
      <c r="I1955" t="s">
        <v>22</v>
      </c>
      <c r="J1955">
        <v>109159.58</v>
      </c>
      <c r="K1955" t="s">
        <v>23</v>
      </c>
      <c r="L1955">
        <v>4.4228260995733522E-2</v>
      </c>
      <c r="M1955" t="s">
        <v>23</v>
      </c>
      <c r="N1955">
        <v>0</v>
      </c>
      <c r="O1955">
        <v>0</v>
      </c>
      <c r="P1955" t="s">
        <v>34</v>
      </c>
      <c r="Q1955" t="s">
        <v>33</v>
      </c>
      <c r="R1955" t="s">
        <v>38</v>
      </c>
      <c r="S1955" t="s">
        <v>30</v>
      </c>
      <c r="T1955" t="s">
        <v>28</v>
      </c>
      <c r="U1955">
        <f t="shared" si="30"/>
        <v>1</v>
      </c>
    </row>
    <row r="1956" spans="1:21" x14ac:dyDescent="0.2">
      <c r="A1956">
        <v>610</v>
      </c>
      <c r="B1956" t="s">
        <v>42</v>
      </c>
      <c r="C1956" t="s">
        <v>32</v>
      </c>
      <c r="D1956">
        <v>45</v>
      </c>
      <c r="E1956">
        <v>1</v>
      </c>
      <c r="F1956">
        <v>0</v>
      </c>
      <c r="G1956">
        <v>2</v>
      </c>
      <c r="H1956" t="s">
        <v>22</v>
      </c>
      <c r="I1956" t="s">
        <v>22</v>
      </c>
      <c r="J1956">
        <v>199657.46</v>
      </c>
      <c r="K1956" t="s">
        <v>23</v>
      </c>
      <c r="L1956">
        <v>0.1498486752391994</v>
      </c>
      <c r="M1956" t="s">
        <v>23</v>
      </c>
      <c r="N1956">
        <v>0</v>
      </c>
      <c r="O1956">
        <v>0</v>
      </c>
      <c r="P1956" t="s">
        <v>34</v>
      </c>
      <c r="Q1956" t="s">
        <v>25</v>
      </c>
      <c r="R1956" t="s">
        <v>29</v>
      </c>
      <c r="S1956" t="s">
        <v>27</v>
      </c>
      <c r="T1956" t="s">
        <v>31</v>
      </c>
      <c r="U1956">
        <f t="shared" si="30"/>
        <v>1</v>
      </c>
    </row>
    <row r="1957" spans="1:21" x14ac:dyDescent="0.2">
      <c r="A1957">
        <v>627</v>
      </c>
      <c r="B1957" t="s">
        <v>20</v>
      </c>
      <c r="C1957" t="s">
        <v>21</v>
      </c>
      <c r="D1957">
        <v>40</v>
      </c>
      <c r="E1957">
        <v>10</v>
      </c>
      <c r="F1957">
        <v>0</v>
      </c>
      <c r="G1957">
        <v>2</v>
      </c>
      <c r="H1957" t="s">
        <v>22</v>
      </c>
      <c r="I1957" t="s">
        <v>22</v>
      </c>
      <c r="J1957">
        <v>194792.42</v>
      </c>
      <c r="K1957" t="s">
        <v>23</v>
      </c>
      <c r="L1957">
        <v>5.6926439277566777E-2</v>
      </c>
      <c r="M1957" t="s">
        <v>23</v>
      </c>
      <c r="N1957">
        <v>0</v>
      </c>
      <c r="O1957">
        <v>0</v>
      </c>
      <c r="P1957" t="s">
        <v>34</v>
      </c>
      <c r="Q1957" t="s">
        <v>33</v>
      </c>
      <c r="R1957" t="s">
        <v>29</v>
      </c>
      <c r="S1957" t="s">
        <v>27</v>
      </c>
      <c r="T1957" t="s">
        <v>31</v>
      </c>
      <c r="U1957">
        <f t="shared" si="30"/>
        <v>1</v>
      </c>
    </row>
    <row r="1958" spans="1:21" x14ac:dyDescent="0.2">
      <c r="A1958">
        <v>762</v>
      </c>
      <c r="B1958" t="s">
        <v>20</v>
      </c>
      <c r="C1958" t="s">
        <v>32</v>
      </c>
      <c r="D1958">
        <v>35</v>
      </c>
      <c r="E1958">
        <v>3</v>
      </c>
      <c r="F1958">
        <v>119349.69</v>
      </c>
      <c r="G1958">
        <v>3</v>
      </c>
      <c r="H1958" t="s">
        <v>22</v>
      </c>
      <c r="I1958" t="s">
        <v>22</v>
      </c>
      <c r="J1958">
        <v>47114.18</v>
      </c>
      <c r="K1958" t="s">
        <v>22</v>
      </c>
      <c r="L1958">
        <v>7.8584918473874485E-2</v>
      </c>
      <c r="M1958" t="s">
        <v>23</v>
      </c>
      <c r="N1958">
        <v>1</v>
      </c>
      <c r="O1958">
        <v>0</v>
      </c>
      <c r="P1958" t="s">
        <v>34</v>
      </c>
      <c r="Q1958" t="s">
        <v>33</v>
      </c>
      <c r="R1958" t="s">
        <v>26</v>
      </c>
      <c r="S1958" t="s">
        <v>37</v>
      </c>
      <c r="T1958" t="s">
        <v>35</v>
      </c>
      <c r="U1958">
        <f t="shared" si="30"/>
        <v>0</v>
      </c>
    </row>
    <row r="1959" spans="1:21" x14ac:dyDescent="0.2">
      <c r="A1959">
        <v>644</v>
      </c>
      <c r="B1959" t="s">
        <v>42</v>
      </c>
      <c r="C1959" t="s">
        <v>21</v>
      </c>
      <c r="D1959">
        <v>33</v>
      </c>
      <c r="E1959">
        <v>7</v>
      </c>
      <c r="F1959">
        <v>174571.36</v>
      </c>
      <c r="G1959">
        <v>1</v>
      </c>
      <c r="H1959" t="s">
        <v>23</v>
      </c>
      <c r="I1959" t="s">
        <v>22</v>
      </c>
      <c r="J1959">
        <v>43943.09</v>
      </c>
      <c r="K1959" t="s">
        <v>23</v>
      </c>
      <c r="L1959">
        <v>5.6663876370334522E-2</v>
      </c>
      <c r="M1959" t="s">
        <v>23</v>
      </c>
      <c r="N1959">
        <v>0</v>
      </c>
      <c r="O1959">
        <v>0</v>
      </c>
      <c r="P1959" t="s">
        <v>34</v>
      </c>
      <c r="Q1959" t="s">
        <v>33</v>
      </c>
      <c r="R1959" t="s">
        <v>47</v>
      </c>
      <c r="S1959" t="s">
        <v>27</v>
      </c>
      <c r="T1959" t="s">
        <v>35</v>
      </c>
      <c r="U1959">
        <f t="shared" si="30"/>
        <v>1</v>
      </c>
    </row>
    <row r="1960" spans="1:21" x14ac:dyDescent="0.2">
      <c r="A1960">
        <v>603</v>
      </c>
      <c r="B1960" t="s">
        <v>42</v>
      </c>
      <c r="C1960" t="s">
        <v>32</v>
      </c>
      <c r="D1960">
        <v>39</v>
      </c>
      <c r="E1960">
        <v>9</v>
      </c>
      <c r="F1960">
        <v>76769.679999999993</v>
      </c>
      <c r="G1960">
        <v>1</v>
      </c>
      <c r="H1960" t="s">
        <v>23</v>
      </c>
      <c r="I1960" t="s">
        <v>23</v>
      </c>
      <c r="J1960">
        <v>48224.72</v>
      </c>
      <c r="K1960" t="s">
        <v>23</v>
      </c>
      <c r="L1960">
        <v>0.27026799201913271</v>
      </c>
      <c r="M1960" t="s">
        <v>23</v>
      </c>
      <c r="N1960">
        <v>0</v>
      </c>
      <c r="O1960">
        <v>0</v>
      </c>
      <c r="P1960" t="s">
        <v>24</v>
      </c>
      <c r="Q1960" t="s">
        <v>33</v>
      </c>
      <c r="R1960" t="s">
        <v>38</v>
      </c>
      <c r="S1960" t="s">
        <v>27</v>
      </c>
      <c r="T1960" t="s">
        <v>35</v>
      </c>
      <c r="U1960">
        <f t="shared" si="30"/>
        <v>1</v>
      </c>
    </row>
    <row r="1961" spans="1:21" x14ac:dyDescent="0.2">
      <c r="A1961">
        <v>712</v>
      </c>
      <c r="B1961" t="s">
        <v>20</v>
      </c>
      <c r="C1961" t="s">
        <v>21</v>
      </c>
      <c r="D1961">
        <v>27</v>
      </c>
      <c r="E1961">
        <v>10</v>
      </c>
      <c r="F1961">
        <v>0</v>
      </c>
      <c r="G1961">
        <v>1</v>
      </c>
      <c r="H1961" t="s">
        <v>22</v>
      </c>
      <c r="I1961" t="s">
        <v>23</v>
      </c>
      <c r="J1961">
        <v>94544.88</v>
      </c>
      <c r="K1961" t="s">
        <v>23</v>
      </c>
      <c r="L1961">
        <v>6.352132192752255E-2</v>
      </c>
      <c r="M1961" t="s">
        <v>23</v>
      </c>
      <c r="N1961">
        <v>0</v>
      </c>
      <c r="O1961">
        <v>0</v>
      </c>
      <c r="P1961" t="s">
        <v>34</v>
      </c>
      <c r="Q1961" t="s">
        <v>36</v>
      </c>
      <c r="R1961" t="s">
        <v>29</v>
      </c>
      <c r="S1961" t="s">
        <v>37</v>
      </c>
      <c r="T1961" t="s">
        <v>40</v>
      </c>
      <c r="U1961">
        <f t="shared" si="30"/>
        <v>1</v>
      </c>
    </row>
    <row r="1962" spans="1:21" x14ac:dyDescent="0.2">
      <c r="A1962">
        <v>604</v>
      </c>
      <c r="B1962" t="s">
        <v>42</v>
      </c>
      <c r="C1962" t="s">
        <v>21</v>
      </c>
      <c r="D1962">
        <v>34</v>
      </c>
      <c r="E1962">
        <v>7</v>
      </c>
      <c r="F1962">
        <v>0</v>
      </c>
      <c r="G1962">
        <v>2</v>
      </c>
      <c r="H1962" t="s">
        <v>22</v>
      </c>
      <c r="I1962" t="s">
        <v>22</v>
      </c>
      <c r="J1962">
        <v>188078.55</v>
      </c>
      <c r="K1962" t="s">
        <v>23</v>
      </c>
      <c r="L1962">
        <v>3.8485189825773258E-2</v>
      </c>
      <c r="M1962" t="s">
        <v>23</v>
      </c>
      <c r="N1962">
        <v>0</v>
      </c>
      <c r="O1962">
        <v>0</v>
      </c>
      <c r="P1962" t="s">
        <v>34</v>
      </c>
      <c r="Q1962" t="s">
        <v>33</v>
      </c>
      <c r="R1962" t="s">
        <v>29</v>
      </c>
      <c r="S1962" t="s">
        <v>27</v>
      </c>
      <c r="T1962" t="s">
        <v>31</v>
      </c>
      <c r="U1962">
        <f t="shared" si="30"/>
        <v>1</v>
      </c>
    </row>
    <row r="1963" spans="1:21" x14ac:dyDescent="0.2">
      <c r="A1963">
        <v>637</v>
      </c>
      <c r="B1963" t="s">
        <v>41</v>
      </c>
      <c r="C1963" t="s">
        <v>21</v>
      </c>
      <c r="D1963">
        <v>51</v>
      </c>
      <c r="E1963">
        <v>1</v>
      </c>
      <c r="F1963">
        <v>104682.83</v>
      </c>
      <c r="G1963">
        <v>1</v>
      </c>
      <c r="H1963" t="s">
        <v>22</v>
      </c>
      <c r="I1963" t="s">
        <v>23</v>
      </c>
      <c r="J1963">
        <v>55266.96</v>
      </c>
      <c r="K1963" t="s">
        <v>22</v>
      </c>
      <c r="L1963">
        <v>0.57796588625060097</v>
      </c>
      <c r="M1963" t="s">
        <v>22</v>
      </c>
      <c r="N1963">
        <v>1</v>
      </c>
      <c r="O1963">
        <v>1</v>
      </c>
      <c r="P1963" t="s">
        <v>43</v>
      </c>
      <c r="Q1963" t="s">
        <v>44</v>
      </c>
      <c r="R1963" t="s">
        <v>26</v>
      </c>
      <c r="S1963" t="s">
        <v>27</v>
      </c>
      <c r="T1963" t="s">
        <v>40</v>
      </c>
      <c r="U1963">
        <f t="shared" si="30"/>
        <v>1</v>
      </c>
    </row>
    <row r="1964" spans="1:21" x14ac:dyDescent="0.2">
      <c r="A1964">
        <v>808</v>
      </c>
      <c r="B1964" t="s">
        <v>41</v>
      </c>
      <c r="C1964" t="s">
        <v>21</v>
      </c>
      <c r="D1964">
        <v>39</v>
      </c>
      <c r="E1964">
        <v>3</v>
      </c>
      <c r="F1964">
        <v>124216.93</v>
      </c>
      <c r="G1964">
        <v>1</v>
      </c>
      <c r="H1964" t="s">
        <v>23</v>
      </c>
      <c r="I1964" t="s">
        <v>22</v>
      </c>
      <c r="J1964">
        <v>171442.36</v>
      </c>
      <c r="K1964" t="s">
        <v>23</v>
      </c>
      <c r="L1964">
        <v>0.15796082336514691</v>
      </c>
      <c r="M1964" t="s">
        <v>23</v>
      </c>
      <c r="N1964">
        <v>0</v>
      </c>
      <c r="O1964">
        <v>0</v>
      </c>
      <c r="P1964" t="s">
        <v>34</v>
      </c>
      <c r="Q1964" t="s">
        <v>33</v>
      </c>
      <c r="R1964" t="s">
        <v>26</v>
      </c>
      <c r="S1964" t="s">
        <v>39</v>
      </c>
      <c r="T1964" t="s">
        <v>31</v>
      </c>
      <c r="U1964">
        <f t="shared" si="30"/>
        <v>1</v>
      </c>
    </row>
    <row r="1965" spans="1:21" x14ac:dyDescent="0.2">
      <c r="A1965">
        <v>838</v>
      </c>
      <c r="B1965" t="s">
        <v>42</v>
      </c>
      <c r="C1965" t="s">
        <v>21</v>
      </c>
      <c r="D1965">
        <v>31</v>
      </c>
      <c r="E1965">
        <v>2</v>
      </c>
      <c r="F1965">
        <v>0</v>
      </c>
      <c r="G1965">
        <v>2</v>
      </c>
      <c r="H1965" t="s">
        <v>22</v>
      </c>
      <c r="I1965" t="s">
        <v>23</v>
      </c>
      <c r="J1965">
        <v>8222.9599999999991</v>
      </c>
      <c r="K1965" t="s">
        <v>23</v>
      </c>
      <c r="L1965">
        <v>7.4879805388745446E-2</v>
      </c>
      <c r="M1965" t="s">
        <v>23</v>
      </c>
      <c r="N1965">
        <v>0</v>
      </c>
      <c r="O1965">
        <v>0</v>
      </c>
      <c r="P1965" t="s">
        <v>34</v>
      </c>
      <c r="Q1965" t="s">
        <v>33</v>
      </c>
      <c r="R1965" t="s">
        <v>29</v>
      </c>
      <c r="S1965" t="s">
        <v>39</v>
      </c>
      <c r="T1965" t="s">
        <v>35</v>
      </c>
      <c r="U1965">
        <f t="shared" si="30"/>
        <v>1</v>
      </c>
    </row>
    <row r="1966" spans="1:21" x14ac:dyDescent="0.2">
      <c r="A1966">
        <v>581</v>
      </c>
      <c r="B1966" t="s">
        <v>41</v>
      </c>
      <c r="C1966" t="s">
        <v>21</v>
      </c>
      <c r="D1966">
        <v>39</v>
      </c>
      <c r="E1966">
        <v>1</v>
      </c>
      <c r="F1966">
        <v>121523.51</v>
      </c>
      <c r="G1966">
        <v>1</v>
      </c>
      <c r="H1966" t="s">
        <v>23</v>
      </c>
      <c r="I1966" t="s">
        <v>23</v>
      </c>
      <c r="J1966">
        <v>161655.54999999999</v>
      </c>
      <c r="K1966" t="s">
        <v>22</v>
      </c>
      <c r="L1966">
        <v>0.40147197565545328</v>
      </c>
      <c r="M1966" t="s">
        <v>23</v>
      </c>
      <c r="N1966">
        <v>1</v>
      </c>
      <c r="O1966">
        <v>0</v>
      </c>
      <c r="P1966" t="s">
        <v>24</v>
      </c>
      <c r="Q1966" t="s">
        <v>33</v>
      </c>
      <c r="R1966" t="s">
        <v>26</v>
      </c>
      <c r="S1966" t="s">
        <v>30</v>
      </c>
      <c r="T1966" t="s">
        <v>31</v>
      </c>
      <c r="U1966">
        <f t="shared" si="30"/>
        <v>0</v>
      </c>
    </row>
    <row r="1967" spans="1:21" x14ac:dyDescent="0.2">
      <c r="A1967">
        <v>484</v>
      </c>
      <c r="B1967" t="s">
        <v>42</v>
      </c>
      <c r="C1967" t="s">
        <v>21</v>
      </c>
      <c r="D1967">
        <v>41</v>
      </c>
      <c r="E1967">
        <v>5</v>
      </c>
      <c r="F1967">
        <v>0</v>
      </c>
      <c r="G1967">
        <v>1</v>
      </c>
      <c r="H1967" t="s">
        <v>22</v>
      </c>
      <c r="I1967" t="s">
        <v>22</v>
      </c>
      <c r="J1967">
        <v>74267.350000000006</v>
      </c>
      <c r="K1967" t="s">
        <v>23</v>
      </c>
      <c r="L1967">
        <v>7.3257618663090315E-2</v>
      </c>
      <c r="M1967" t="s">
        <v>23</v>
      </c>
      <c r="N1967">
        <v>0</v>
      </c>
      <c r="O1967">
        <v>0</v>
      </c>
      <c r="P1967" t="s">
        <v>34</v>
      </c>
      <c r="Q1967" t="s">
        <v>25</v>
      </c>
      <c r="R1967" t="s">
        <v>29</v>
      </c>
      <c r="S1967" t="s">
        <v>45</v>
      </c>
      <c r="T1967" t="s">
        <v>40</v>
      </c>
      <c r="U1967">
        <f t="shared" si="30"/>
        <v>1</v>
      </c>
    </row>
    <row r="1968" spans="1:21" x14ac:dyDescent="0.2">
      <c r="A1968">
        <v>576</v>
      </c>
      <c r="B1968" t="s">
        <v>20</v>
      </c>
      <c r="C1968" t="s">
        <v>21</v>
      </c>
      <c r="D1968">
        <v>26</v>
      </c>
      <c r="E1968">
        <v>8</v>
      </c>
      <c r="F1968">
        <v>0</v>
      </c>
      <c r="G1968">
        <v>2</v>
      </c>
      <c r="H1968" t="s">
        <v>23</v>
      </c>
      <c r="I1968" t="s">
        <v>22</v>
      </c>
      <c r="J1968">
        <v>34101.06</v>
      </c>
      <c r="K1968" t="s">
        <v>23</v>
      </c>
      <c r="L1968">
        <v>2.1329728781267931E-2</v>
      </c>
      <c r="M1968" t="s">
        <v>23</v>
      </c>
      <c r="N1968">
        <v>0</v>
      </c>
      <c r="O1968">
        <v>0</v>
      </c>
      <c r="P1968" t="s">
        <v>34</v>
      </c>
      <c r="Q1968" t="s">
        <v>36</v>
      </c>
      <c r="R1968" t="s">
        <v>29</v>
      </c>
      <c r="S1968" t="s">
        <v>30</v>
      </c>
      <c r="T1968" t="s">
        <v>35</v>
      </c>
      <c r="U1968">
        <f t="shared" si="30"/>
        <v>1</v>
      </c>
    </row>
    <row r="1969" spans="1:21" x14ac:dyDescent="0.2">
      <c r="A1969">
        <v>646</v>
      </c>
      <c r="B1969" t="s">
        <v>41</v>
      </c>
      <c r="C1969" t="s">
        <v>21</v>
      </c>
      <c r="D1969">
        <v>24</v>
      </c>
      <c r="E1969">
        <v>0</v>
      </c>
      <c r="F1969">
        <v>92398.080000000002</v>
      </c>
      <c r="G1969">
        <v>1</v>
      </c>
      <c r="H1969" t="s">
        <v>22</v>
      </c>
      <c r="I1969" t="s">
        <v>22</v>
      </c>
      <c r="J1969">
        <v>18897.29</v>
      </c>
      <c r="K1969" t="s">
        <v>23</v>
      </c>
      <c r="L1969">
        <v>5.6685406956667357E-2</v>
      </c>
      <c r="M1969" t="s">
        <v>23</v>
      </c>
      <c r="N1969">
        <v>0</v>
      </c>
      <c r="O1969">
        <v>0</v>
      </c>
      <c r="P1969" t="s">
        <v>34</v>
      </c>
      <c r="Q1969" t="s">
        <v>36</v>
      </c>
      <c r="R1969" t="s">
        <v>38</v>
      </c>
      <c r="S1969" t="s">
        <v>27</v>
      </c>
      <c r="T1969" t="s">
        <v>35</v>
      </c>
      <c r="U1969">
        <f t="shared" si="30"/>
        <v>1</v>
      </c>
    </row>
    <row r="1970" spans="1:21" x14ac:dyDescent="0.2">
      <c r="A1970">
        <v>671</v>
      </c>
      <c r="B1970" t="s">
        <v>41</v>
      </c>
      <c r="C1970" t="s">
        <v>21</v>
      </c>
      <c r="D1970">
        <v>28</v>
      </c>
      <c r="E1970">
        <v>8</v>
      </c>
      <c r="F1970">
        <v>119859.52</v>
      </c>
      <c r="G1970">
        <v>2</v>
      </c>
      <c r="H1970" t="s">
        <v>22</v>
      </c>
      <c r="I1970" t="s">
        <v>23</v>
      </c>
      <c r="J1970">
        <v>125422.66</v>
      </c>
      <c r="K1970" t="s">
        <v>23</v>
      </c>
      <c r="L1970">
        <v>0.17157688683380651</v>
      </c>
      <c r="M1970" t="s">
        <v>23</v>
      </c>
      <c r="N1970">
        <v>0</v>
      </c>
      <c r="O1970">
        <v>0</v>
      </c>
      <c r="P1970" t="s">
        <v>34</v>
      </c>
      <c r="Q1970" t="s">
        <v>36</v>
      </c>
      <c r="R1970" t="s">
        <v>26</v>
      </c>
      <c r="S1970" t="s">
        <v>27</v>
      </c>
      <c r="T1970" t="s">
        <v>28</v>
      </c>
      <c r="U1970">
        <f t="shared" si="30"/>
        <v>1</v>
      </c>
    </row>
    <row r="1971" spans="1:21" x14ac:dyDescent="0.2">
      <c r="A1971">
        <v>719</v>
      </c>
      <c r="B1971" t="s">
        <v>20</v>
      </c>
      <c r="C1971" t="s">
        <v>21</v>
      </c>
      <c r="D1971">
        <v>37</v>
      </c>
      <c r="E1971">
        <v>10</v>
      </c>
      <c r="F1971">
        <v>145382.60999999999</v>
      </c>
      <c r="G1971">
        <v>1</v>
      </c>
      <c r="H1971" t="s">
        <v>22</v>
      </c>
      <c r="I1971" t="s">
        <v>23</v>
      </c>
      <c r="J1971">
        <v>80408.59</v>
      </c>
      <c r="K1971" t="s">
        <v>23</v>
      </c>
      <c r="L1971">
        <v>0.16983826783643111</v>
      </c>
      <c r="M1971" t="s">
        <v>23</v>
      </c>
      <c r="N1971">
        <v>0</v>
      </c>
      <c r="O1971">
        <v>0</v>
      </c>
      <c r="P1971" t="s">
        <v>34</v>
      </c>
      <c r="Q1971" t="s">
        <v>33</v>
      </c>
      <c r="R1971" t="s">
        <v>26</v>
      </c>
      <c r="S1971" t="s">
        <v>37</v>
      </c>
      <c r="T1971" t="s">
        <v>40</v>
      </c>
      <c r="U1971">
        <f t="shared" si="30"/>
        <v>1</v>
      </c>
    </row>
    <row r="1972" spans="1:21" x14ac:dyDescent="0.2">
      <c r="A1972">
        <v>775</v>
      </c>
      <c r="B1972" t="s">
        <v>42</v>
      </c>
      <c r="C1972" t="s">
        <v>32</v>
      </c>
      <c r="D1972">
        <v>30</v>
      </c>
      <c r="E1972">
        <v>10</v>
      </c>
      <c r="F1972">
        <v>191091.74</v>
      </c>
      <c r="G1972">
        <v>2</v>
      </c>
      <c r="H1972" t="s">
        <v>22</v>
      </c>
      <c r="I1972" t="s">
        <v>22</v>
      </c>
      <c r="J1972">
        <v>96170.38</v>
      </c>
      <c r="K1972" t="s">
        <v>23</v>
      </c>
      <c r="L1972">
        <v>6.2935733737783051E-2</v>
      </c>
      <c r="M1972" t="s">
        <v>23</v>
      </c>
      <c r="N1972">
        <v>0</v>
      </c>
      <c r="O1972">
        <v>0</v>
      </c>
      <c r="P1972" t="s">
        <v>34</v>
      </c>
      <c r="Q1972" t="s">
        <v>36</v>
      </c>
      <c r="R1972" t="s">
        <v>47</v>
      </c>
      <c r="S1972" t="s">
        <v>37</v>
      </c>
      <c r="T1972" t="s">
        <v>40</v>
      </c>
      <c r="U1972">
        <f t="shared" si="30"/>
        <v>1</v>
      </c>
    </row>
    <row r="1973" spans="1:21" x14ac:dyDescent="0.2">
      <c r="A1973">
        <v>544</v>
      </c>
      <c r="B1973" t="s">
        <v>42</v>
      </c>
      <c r="C1973" t="s">
        <v>21</v>
      </c>
      <c r="D1973">
        <v>38</v>
      </c>
      <c r="E1973">
        <v>8</v>
      </c>
      <c r="F1973">
        <v>0</v>
      </c>
      <c r="G1973">
        <v>1</v>
      </c>
      <c r="H1973" t="s">
        <v>22</v>
      </c>
      <c r="I1973" t="s">
        <v>22</v>
      </c>
      <c r="J1973">
        <v>98208.62</v>
      </c>
      <c r="K1973" t="s">
        <v>23</v>
      </c>
      <c r="L1973">
        <v>5.4827216024875773E-2</v>
      </c>
      <c r="M1973" t="s">
        <v>23</v>
      </c>
      <c r="N1973">
        <v>0</v>
      </c>
      <c r="O1973">
        <v>0</v>
      </c>
      <c r="P1973" t="s">
        <v>34</v>
      </c>
      <c r="Q1973" t="s">
        <v>33</v>
      </c>
      <c r="R1973" t="s">
        <v>29</v>
      </c>
      <c r="S1973" t="s">
        <v>30</v>
      </c>
      <c r="T1973" t="s">
        <v>40</v>
      </c>
      <c r="U1973">
        <f t="shared" si="30"/>
        <v>1</v>
      </c>
    </row>
    <row r="1974" spans="1:21" x14ac:dyDescent="0.2">
      <c r="A1974">
        <v>742</v>
      </c>
      <c r="B1974" t="s">
        <v>41</v>
      </c>
      <c r="C1974" t="s">
        <v>21</v>
      </c>
      <c r="D1974">
        <v>33</v>
      </c>
      <c r="E1974">
        <v>1</v>
      </c>
      <c r="F1974">
        <v>137937.95000000001</v>
      </c>
      <c r="G1974">
        <v>1</v>
      </c>
      <c r="H1974" t="s">
        <v>22</v>
      </c>
      <c r="I1974" t="s">
        <v>22</v>
      </c>
      <c r="J1974">
        <v>51387.1</v>
      </c>
      <c r="K1974" t="s">
        <v>23</v>
      </c>
      <c r="L1974">
        <v>0.1094872862035451</v>
      </c>
      <c r="M1974" t="s">
        <v>23</v>
      </c>
      <c r="N1974">
        <v>0</v>
      </c>
      <c r="O1974">
        <v>0</v>
      </c>
      <c r="P1974" t="s">
        <v>34</v>
      </c>
      <c r="Q1974" t="s">
        <v>33</v>
      </c>
      <c r="R1974" t="s">
        <v>26</v>
      </c>
      <c r="S1974" t="s">
        <v>37</v>
      </c>
      <c r="T1974" t="s">
        <v>40</v>
      </c>
      <c r="U1974">
        <f t="shared" si="30"/>
        <v>1</v>
      </c>
    </row>
    <row r="1975" spans="1:21" x14ac:dyDescent="0.2">
      <c r="A1975">
        <v>591</v>
      </c>
      <c r="B1975" t="s">
        <v>42</v>
      </c>
      <c r="C1975" t="s">
        <v>21</v>
      </c>
      <c r="D1975">
        <v>49</v>
      </c>
      <c r="E1975">
        <v>3</v>
      </c>
      <c r="F1975">
        <v>0</v>
      </c>
      <c r="G1975">
        <v>2</v>
      </c>
      <c r="H1975" t="s">
        <v>22</v>
      </c>
      <c r="I1975" t="s">
        <v>23</v>
      </c>
      <c r="J1975">
        <v>50123.44</v>
      </c>
      <c r="K1975" t="s">
        <v>23</v>
      </c>
      <c r="L1975">
        <v>0.26746860185242849</v>
      </c>
      <c r="M1975" t="s">
        <v>23</v>
      </c>
      <c r="N1975">
        <v>0</v>
      </c>
      <c r="O1975">
        <v>0</v>
      </c>
      <c r="P1975" t="s">
        <v>24</v>
      </c>
      <c r="Q1975" t="s">
        <v>25</v>
      </c>
      <c r="R1975" t="s">
        <v>29</v>
      </c>
      <c r="S1975" t="s">
        <v>30</v>
      </c>
      <c r="T1975" t="s">
        <v>40</v>
      </c>
      <c r="U1975">
        <f t="shared" si="30"/>
        <v>1</v>
      </c>
    </row>
    <row r="1976" spans="1:21" x14ac:dyDescent="0.2">
      <c r="A1976">
        <v>667</v>
      </c>
      <c r="B1976" t="s">
        <v>42</v>
      </c>
      <c r="C1976" t="s">
        <v>21</v>
      </c>
      <c r="D1976">
        <v>24</v>
      </c>
      <c r="E1976">
        <v>4</v>
      </c>
      <c r="F1976">
        <v>0</v>
      </c>
      <c r="G1976">
        <v>2</v>
      </c>
      <c r="H1976" t="s">
        <v>23</v>
      </c>
      <c r="I1976" t="s">
        <v>23</v>
      </c>
      <c r="J1976">
        <v>180329.83</v>
      </c>
      <c r="K1976" t="s">
        <v>23</v>
      </c>
      <c r="L1976">
        <v>5.600521237449109E-2</v>
      </c>
      <c r="M1976" t="s">
        <v>23</v>
      </c>
      <c r="N1976">
        <v>0</v>
      </c>
      <c r="O1976">
        <v>0</v>
      </c>
      <c r="P1976" t="s">
        <v>34</v>
      </c>
      <c r="Q1976" t="s">
        <v>36</v>
      </c>
      <c r="R1976" t="s">
        <v>29</v>
      </c>
      <c r="S1976" t="s">
        <v>27</v>
      </c>
      <c r="T1976" t="s">
        <v>31</v>
      </c>
      <c r="U1976">
        <f t="shared" si="30"/>
        <v>1</v>
      </c>
    </row>
    <row r="1977" spans="1:21" x14ac:dyDescent="0.2">
      <c r="A1977">
        <v>724</v>
      </c>
      <c r="B1977" t="s">
        <v>41</v>
      </c>
      <c r="C1977" t="s">
        <v>32</v>
      </c>
      <c r="D1977">
        <v>33</v>
      </c>
      <c r="E1977">
        <v>9</v>
      </c>
      <c r="F1977">
        <v>119278.44</v>
      </c>
      <c r="G1977">
        <v>1</v>
      </c>
      <c r="H1977" t="s">
        <v>22</v>
      </c>
      <c r="I1977" t="s">
        <v>22</v>
      </c>
      <c r="J1977">
        <v>197148.24</v>
      </c>
      <c r="K1977" t="s">
        <v>23</v>
      </c>
      <c r="L1977">
        <v>0.1596052803566167</v>
      </c>
      <c r="M1977" t="s">
        <v>23</v>
      </c>
      <c r="N1977">
        <v>0</v>
      </c>
      <c r="O1977">
        <v>0</v>
      </c>
      <c r="P1977" t="s">
        <v>34</v>
      </c>
      <c r="Q1977" t="s">
        <v>33</v>
      </c>
      <c r="R1977" t="s">
        <v>26</v>
      </c>
      <c r="S1977" t="s">
        <v>37</v>
      </c>
      <c r="T1977" t="s">
        <v>31</v>
      </c>
      <c r="U1977">
        <f t="shared" si="30"/>
        <v>1</v>
      </c>
    </row>
    <row r="1978" spans="1:21" x14ac:dyDescent="0.2">
      <c r="A1978">
        <v>584</v>
      </c>
      <c r="B1978" t="s">
        <v>41</v>
      </c>
      <c r="C1978" t="s">
        <v>21</v>
      </c>
      <c r="D1978">
        <v>42</v>
      </c>
      <c r="E1978">
        <v>3</v>
      </c>
      <c r="F1978">
        <v>137479.13</v>
      </c>
      <c r="G1978">
        <v>1</v>
      </c>
      <c r="H1978" t="s">
        <v>22</v>
      </c>
      <c r="I1978" t="s">
        <v>23</v>
      </c>
      <c r="J1978">
        <v>25669.1</v>
      </c>
      <c r="K1978" t="s">
        <v>23</v>
      </c>
      <c r="L1978">
        <v>0.42899570102184209</v>
      </c>
      <c r="M1978" t="s">
        <v>23</v>
      </c>
      <c r="N1978">
        <v>0</v>
      </c>
      <c r="O1978">
        <v>0</v>
      </c>
      <c r="P1978" t="s">
        <v>24</v>
      </c>
      <c r="Q1978" t="s">
        <v>25</v>
      </c>
      <c r="R1978" t="s">
        <v>26</v>
      </c>
      <c r="S1978" t="s">
        <v>30</v>
      </c>
      <c r="T1978" t="s">
        <v>35</v>
      </c>
      <c r="U1978">
        <f t="shared" si="30"/>
        <v>1</v>
      </c>
    </row>
    <row r="1979" spans="1:21" x14ac:dyDescent="0.2">
      <c r="A1979">
        <v>751</v>
      </c>
      <c r="B1979" t="s">
        <v>42</v>
      </c>
      <c r="C1979" t="s">
        <v>32</v>
      </c>
      <c r="D1979">
        <v>48</v>
      </c>
      <c r="E1979">
        <v>4</v>
      </c>
      <c r="F1979">
        <v>0</v>
      </c>
      <c r="G1979">
        <v>1</v>
      </c>
      <c r="H1979" t="s">
        <v>23</v>
      </c>
      <c r="I1979" t="s">
        <v>22</v>
      </c>
      <c r="J1979">
        <v>30165.06</v>
      </c>
      <c r="K1979" t="s">
        <v>22</v>
      </c>
      <c r="L1979">
        <v>0.16385885360804131</v>
      </c>
      <c r="M1979" t="s">
        <v>23</v>
      </c>
      <c r="N1979">
        <v>1</v>
      </c>
      <c r="O1979">
        <v>0</v>
      </c>
      <c r="P1979" t="s">
        <v>34</v>
      </c>
      <c r="Q1979" t="s">
        <v>25</v>
      </c>
      <c r="R1979" t="s">
        <v>29</v>
      </c>
      <c r="S1979" t="s">
        <v>37</v>
      </c>
      <c r="T1979" t="s">
        <v>35</v>
      </c>
      <c r="U1979">
        <f t="shared" si="30"/>
        <v>0</v>
      </c>
    </row>
    <row r="1980" spans="1:21" x14ac:dyDescent="0.2">
      <c r="A1980">
        <v>684</v>
      </c>
      <c r="B1980" t="s">
        <v>20</v>
      </c>
      <c r="C1980" t="s">
        <v>21</v>
      </c>
      <c r="D1980">
        <v>24</v>
      </c>
      <c r="E1980">
        <v>8</v>
      </c>
      <c r="F1980">
        <v>143582.89000000001</v>
      </c>
      <c r="G1980">
        <v>1</v>
      </c>
      <c r="H1980" t="s">
        <v>22</v>
      </c>
      <c r="I1980" t="s">
        <v>22</v>
      </c>
      <c r="J1980">
        <v>22527.27</v>
      </c>
      <c r="K1980" t="s">
        <v>23</v>
      </c>
      <c r="L1980">
        <v>2.6293403221047701E-2</v>
      </c>
      <c r="M1980" t="s">
        <v>23</v>
      </c>
      <c r="N1980">
        <v>0</v>
      </c>
      <c r="O1980">
        <v>0</v>
      </c>
      <c r="P1980" t="s">
        <v>34</v>
      </c>
      <c r="Q1980" t="s">
        <v>36</v>
      </c>
      <c r="R1980" t="s">
        <v>26</v>
      </c>
      <c r="S1980" t="s">
        <v>27</v>
      </c>
      <c r="T1980" t="s">
        <v>35</v>
      </c>
      <c r="U1980">
        <f t="shared" si="30"/>
        <v>1</v>
      </c>
    </row>
    <row r="1981" spans="1:21" x14ac:dyDescent="0.2">
      <c r="A1981">
        <v>662</v>
      </c>
      <c r="B1981" t="s">
        <v>20</v>
      </c>
      <c r="C1981" t="s">
        <v>21</v>
      </c>
      <c r="D1981">
        <v>37</v>
      </c>
      <c r="E1981">
        <v>4</v>
      </c>
      <c r="F1981">
        <v>155187.29999999999</v>
      </c>
      <c r="G1981">
        <v>1</v>
      </c>
      <c r="H1981" t="s">
        <v>22</v>
      </c>
      <c r="I1981" t="s">
        <v>23</v>
      </c>
      <c r="J1981">
        <v>48930.8</v>
      </c>
      <c r="K1981" t="s">
        <v>23</v>
      </c>
      <c r="L1981">
        <v>0.19453867590357729</v>
      </c>
      <c r="M1981" t="s">
        <v>23</v>
      </c>
      <c r="N1981">
        <v>0</v>
      </c>
      <c r="O1981">
        <v>0</v>
      </c>
      <c r="P1981" t="s">
        <v>34</v>
      </c>
      <c r="Q1981" t="s">
        <v>33</v>
      </c>
      <c r="R1981" t="s">
        <v>47</v>
      </c>
      <c r="S1981" t="s">
        <v>27</v>
      </c>
      <c r="T1981" t="s">
        <v>35</v>
      </c>
      <c r="U1981">
        <f t="shared" si="30"/>
        <v>1</v>
      </c>
    </row>
    <row r="1982" spans="1:21" x14ac:dyDescent="0.2">
      <c r="A1982">
        <v>521</v>
      </c>
      <c r="B1982" t="s">
        <v>42</v>
      </c>
      <c r="C1982" t="s">
        <v>32</v>
      </c>
      <c r="D1982">
        <v>77</v>
      </c>
      <c r="E1982">
        <v>6</v>
      </c>
      <c r="F1982">
        <v>0</v>
      </c>
      <c r="G1982">
        <v>2</v>
      </c>
      <c r="H1982" t="s">
        <v>22</v>
      </c>
      <c r="I1982" t="s">
        <v>22</v>
      </c>
      <c r="J1982">
        <v>49054.1</v>
      </c>
      <c r="K1982" t="s">
        <v>23</v>
      </c>
      <c r="L1982">
        <v>0.62490291096582506</v>
      </c>
      <c r="M1982" t="s">
        <v>22</v>
      </c>
      <c r="N1982">
        <v>0</v>
      </c>
      <c r="O1982">
        <v>1</v>
      </c>
      <c r="P1982" t="s">
        <v>43</v>
      </c>
      <c r="Q1982" t="s">
        <v>46</v>
      </c>
      <c r="R1982" t="s">
        <v>29</v>
      </c>
      <c r="S1982" t="s">
        <v>30</v>
      </c>
      <c r="T1982" t="s">
        <v>35</v>
      </c>
      <c r="U1982">
        <f t="shared" si="30"/>
        <v>0</v>
      </c>
    </row>
    <row r="1983" spans="1:21" x14ac:dyDescent="0.2">
      <c r="A1983">
        <v>589</v>
      </c>
      <c r="B1983" t="s">
        <v>42</v>
      </c>
      <c r="C1983" t="s">
        <v>21</v>
      </c>
      <c r="D1983">
        <v>38</v>
      </c>
      <c r="E1983">
        <v>4</v>
      </c>
      <c r="F1983">
        <v>0</v>
      </c>
      <c r="G1983">
        <v>1</v>
      </c>
      <c r="H1983" t="s">
        <v>22</v>
      </c>
      <c r="I1983" t="s">
        <v>23</v>
      </c>
      <c r="J1983">
        <v>95483.48</v>
      </c>
      <c r="K1983" t="s">
        <v>22</v>
      </c>
      <c r="L1983">
        <v>0.1530544359025835</v>
      </c>
      <c r="M1983" t="s">
        <v>23</v>
      </c>
      <c r="N1983">
        <v>1</v>
      </c>
      <c r="O1983">
        <v>0</v>
      </c>
      <c r="P1983" t="s">
        <v>34</v>
      </c>
      <c r="Q1983" t="s">
        <v>33</v>
      </c>
      <c r="R1983" t="s">
        <v>29</v>
      </c>
      <c r="S1983" t="s">
        <v>30</v>
      </c>
      <c r="T1983" t="s">
        <v>40</v>
      </c>
      <c r="U1983">
        <f t="shared" si="30"/>
        <v>0</v>
      </c>
    </row>
    <row r="1984" spans="1:21" x14ac:dyDescent="0.2">
      <c r="A1984">
        <v>682</v>
      </c>
      <c r="B1984" t="s">
        <v>42</v>
      </c>
      <c r="C1984" t="s">
        <v>21</v>
      </c>
      <c r="D1984">
        <v>44</v>
      </c>
      <c r="E1984">
        <v>3</v>
      </c>
      <c r="F1984">
        <v>115282.3</v>
      </c>
      <c r="G1984">
        <v>1</v>
      </c>
      <c r="H1984" t="s">
        <v>23</v>
      </c>
      <c r="I1984" t="s">
        <v>23</v>
      </c>
      <c r="J1984">
        <v>23766.400000000001</v>
      </c>
      <c r="K1984" t="s">
        <v>23</v>
      </c>
      <c r="L1984">
        <v>0.26490953314560112</v>
      </c>
      <c r="M1984" t="s">
        <v>23</v>
      </c>
      <c r="N1984">
        <v>0</v>
      </c>
      <c r="O1984">
        <v>0</v>
      </c>
      <c r="P1984" t="s">
        <v>24</v>
      </c>
      <c r="Q1984" t="s">
        <v>25</v>
      </c>
      <c r="R1984" t="s">
        <v>26</v>
      </c>
      <c r="S1984" t="s">
        <v>27</v>
      </c>
      <c r="T1984" t="s">
        <v>35</v>
      </c>
      <c r="U1984">
        <f t="shared" si="30"/>
        <v>1</v>
      </c>
    </row>
    <row r="1985" spans="1:21" x14ac:dyDescent="0.2">
      <c r="A1985">
        <v>814</v>
      </c>
      <c r="B1985" t="s">
        <v>42</v>
      </c>
      <c r="C1985" t="s">
        <v>32</v>
      </c>
      <c r="D1985">
        <v>31</v>
      </c>
      <c r="E1985">
        <v>6</v>
      </c>
      <c r="F1985">
        <v>87772.52</v>
      </c>
      <c r="G1985">
        <v>1</v>
      </c>
      <c r="H1985" t="s">
        <v>22</v>
      </c>
      <c r="I1985" t="s">
        <v>23</v>
      </c>
      <c r="J1985">
        <v>188516.45</v>
      </c>
      <c r="K1985" t="s">
        <v>23</v>
      </c>
      <c r="L1985">
        <v>0.1683826809698212</v>
      </c>
      <c r="M1985" t="s">
        <v>23</v>
      </c>
      <c r="N1985">
        <v>0</v>
      </c>
      <c r="O1985">
        <v>0</v>
      </c>
      <c r="P1985" t="s">
        <v>34</v>
      </c>
      <c r="Q1985" t="s">
        <v>33</v>
      </c>
      <c r="R1985" t="s">
        <v>38</v>
      </c>
      <c r="S1985" t="s">
        <v>39</v>
      </c>
      <c r="T1985" t="s">
        <v>31</v>
      </c>
      <c r="U1985">
        <f t="shared" si="30"/>
        <v>1</v>
      </c>
    </row>
    <row r="1986" spans="1:21" x14ac:dyDescent="0.2">
      <c r="A1986">
        <v>755</v>
      </c>
      <c r="B1986" t="s">
        <v>41</v>
      </c>
      <c r="C1986" t="s">
        <v>21</v>
      </c>
      <c r="D1986">
        <v>38</v>
      </c>
      <c r="E1986">
        <v>4</v>
      </c>
      <c r="F1986">
        <v>111096.91</v>
      </c>
      <c r="G1986">
        <v>1</v>
      </c>
      <c r="H1986" t="s">
        <v>22</v>
      </c>
      <c r="I1986" t="s">
        <v>22</v>
      </c>
      <c r="J1986">
        <v>19762.88</v>
      </c>
      <c r="K1986" t="s">
        <v>23</v>
      </c>
      <c r="L1986">
        <v>0.13219992376643541</v>
      </c>
      <c r="M1986" t="s">
        <v>23</v>
      </c>
      <c r="N1986">
        <v>0</v>
      </c>
      <c r="O1986">
        <v>0</v>
      </c>
      <c r="P1986" t="s">
        <v>34</v>
      </c>
      <c r="Q1986" t="s">
        <v>33</v>
      </c>
      <c r="R1986" t="s">
        <v>26</v>
      </c>
      <c r="S1986" t="s">
        <v>37</v>
      </c>
      <c r="T1986" t="s">
        <v>35</v>
      </c>
      <c r="U1986">
        <f t="shared" ref="U1986:U2001" si="31">IF(K1986=M1986,1,0)</f>
        <v>1</v>
      </c>
    </row>
    <row r="1987" spans="1:21" x14ac:dyDescent="0.2">
      <c r="A1987">
        <v>677</v>
      </c>
      <c r="B1987" t="s">
        <v>20</v>
      </c>
      <c r="C1987" t="s">
        <v>21</v>
      </c>
      <c r="D1987">
        <v>18</v>
      </c>
      <c r="E1987">
        <v>8</v>
      </c>
      <c r="F1987">
        <v>134796.87</v>
      </c>
      <c r="G1987">
        <v>2</v>
      </c>
      <c r="H1987" t="s">
        <v>22</v>
      </c>
      <c r="I1987" t="s">
        <v>22</v>
      </c>
      <c r="J1987">
        <v>114858.9</v>
      </c>
      <c r="K1987" t="s">
        <v>23</v>
      </c>
      <c r="L1987">
        <v>1.5896536259679791E-2</v>
      </c>
      <c r="M1987" t="s">
        <v>23</v>
      </c>
      <c r="N1987">
        <v>0</v>
      </c>
      <c r="O1987">
        <v>0</v>
      </c>
      <c r="P1987" t="s">
        <v>34</v>
      </c>
      <c r="R1987" t="s">
        <v>26</v>
      </c>
      <c r="S1987" t="s">
        <v>27</v>
      </c>
      <c r="T1987" t="s">
        <v>28</v>
      </c>
      <c r="U1987">
        <f t="shared" si="31"/>
        <v>1</v>
      </c>
    </row>
    <row r="1988" spans="1:21" x14ac:dyDescent="0.2">
      <c r="A1988">
        <v>748</v>
      </c>
      <c r="B1988" t="s">
        <v>42</v>
      </c>
      <c r="C1988" t="s">
        <v>32</v>
      </c>
      <c r="D1988">
        <v>20</v>
      </c>
      <c r="E1988">
        <v>7</v>
      </c>
      <c r="F1988">
        <v>0</v>
      </c>
      <c r="G1988">
        <v>2</v>
      </c>
      <c r="H1988" t="s">
        <v>23</v>
      </c>
      <c r="I1988" t="s">
        <v>23</v>
      </c>
      <c r="J1988">
        <v>10792.42</v>
      </c>
      <c r="K1988" t="s">
        <v>23</v>
      </c>
      <c r="L1988">
        <v>5.822405223999514E-2</v>
      </c>
      <c r="M1988" t="s">
        <v>23</v>
      </c>
      <c r="N1988">
        <v>0</v>
      </c>
      <c r="O1988">
        <v>0</v>
      </c>
      <c r="P1988" t="s">
        <v>34</v>
      </c>
      <c r="Q1988" t="s">
        <v>36</v>
      </c>
      <c r="R1988" t="s">
        <v>29</v>
      </c>
      <c r="S1988" t="s">
        <v>37</v>
      </c>
      <c r="T1988" t="s">
        <v>35</v>
      </c>
      <c r="U1988">
        <f t="shared" si="31"/>
        <v>1</v>
      </c>
    </row>
    <row r="1989" spans="1:21" x14ac:dyDescent="0.2">
      <c r="A1989">
        <v>645</v>
      </c>
      <c r="B1989" t="s">
        <v>42</v>
      </c>
      <c r="C1989" t="s">
        <v>21</v>
      </c>
      <c r="D1989">
        <v>44</v>
      </c>
      <c r="E1989">
        <v>10</v>
      </c>
      <c r="F1989">
        <v>0</v>
      </c>
      <c r="G1989">
        <v>2</v>
      </c>
      <c r="H1989" t="s">
        <v>23</v>
      </c>
      <c r="I1989" t="s">
        <v>22</v>
      </c>
      <c r="J1989">
        <v>166707.22</v>
      </c>
      <c r="K1989" t="s">
        <v>23</v>
      </c>
      <c r="L1989">
        <v>7.270937858228213E-2</v>
      </c>
      <c r="M1989" t="s">
        <v>23</v>
      </c>
      <c r="N1989">
        <v>0</v>
      </c>
      <c r="O1989">
        <v>0</v>
      </c>
      <c r="P1989" t="s">
        <v>34</v>
      </c>
      <c r="Q1989" t="s">
        <v>25</v>
      </c>
      <c r="R1989" t="s">
        <v>29</v>
      </c>
      <c r="S1989" t="s">
        <v>27</v>
      </c>
      <c r="T1989" t="s">
        <v>31</v>
      </c>
      <c r="U1989">
        <f t="shared" si="31"/>
        <v>1</v>
      </c>
    </row>
    <row r="1990" spans="1:21" x14ac:dyDescent="0.2">
      <c r="A1990">
        <v>850</v>
      </c>
      <c r="B1990" t="s">
        <v>42</v>
      </c>
      <c r="C1990" t="s">
        <v>32</v>
      </c>
      <c r="D1990">
        <v>47</v>
      </c>
      <c r="E1990">
        <v>9</v>
      </c>
      <c r="F1990">
        <v>137301.87</v>
      </c>
      <c r="G1990">
        <v>1</v>
      </c>
      <c r="H1990" t="s">
        <v>22</v>
      </c>
      <c r="I1990" t="s">
        <v>23</v>
      </c>
      <c r="J1990">
        <v>44351.77</v>
      </c>
      <c r="K1990" t="s">
        <v>23</v>
      </c>
      <c r="L1990">
        <v>0.38940432472839209</v>
      </c>
      <c r="M1990" t="s">
        <v>23</v>
      </c>
      <c r="N1990">
        <v>0</v>
      </c>
      <c r="O1990">
        <v>0</v>
      </c>
      <c r="P1990" t="s">
        <v>24</v>
      </c>
      <c r="Q1990" t="s">
        <v>25</v>
      </c>
      <c r="R1990" t="s">
        <v>26</v>
      </c>
      <c r="S1990" t="s">
        <v>39</v>
      </c>
      <c r="T1990" t="s">
        <v>35</v>
      </c>
      <c r="U1990">
        <f t="shared" si="31"/>
        <v>1</v>
      </c>
    </row>
    <row r="1991" spans="1:21" x14ac:dyDescent="0.2">
      <c r="A1991">
        <v>520</v>
      </c>
      <c r="B1991" t="s">
        <v>42</v>
      </c>
      <c r="C1991" t="s">
        <v>32</v>
      </c>
      <c r="D1991">
        <v>46</v>
      </c>
      <c r="E1991">
        <v>10</v>
      </c>
      <c r="F1991">
        <v>85216.61</v>
      </c>
      <c r="G1991">
        <v>1</v>
      </c>
      <c r="H1991" t="s">
        <v>22</v>
      </c>
      <c r="I1991" t="s">
        <v>23</v>
      </c>
      <c r="J1991">
        <v>117369.52</v>
      </c>
      <c r="K1991" t="s">
        <v>22</v>
      </c>
      <c r="L1991">
        <v>0.39908657152917609</v>
      </c>
      <c r="M1991" t="s">
        <v>23</v>
      </c>
      <c r="N1991">
        <v>1</v>
      </c>
      <c r="O1991">
        <v>0</v>
      </c>
      <c r="P1991" t="s">
        <v>24</v>
      </c>
      <c r="Q1991" t="s">
        <v>25</v>
      </c>
      <c r="R1991" t="s">
        <v>38</v>
      </c>
      <c r="S1991" t="s">
        <v>30</v>
      </c>
      <c r="T1991" t="s">
        <v>28</v>
      </c>
      <c r="U1991">
        <f t="shared" si="31"/>
        <v>0</v>
      </c>
    </row>
    <row r="1992" spans="1:21" x14ac:dyDescent="0.2">
      <c r="A1992">
        <v>795</v>
      </c>
      <c r="B1992" t="s">
        <v>41</v>
      </c>
      <c r="C1992" t="s">
        <v>32</v>
      </c>
      <c r="D1992">
        <v>33</v>
      </c>
      <c r="E1992">
        <v>9</v>
      </c>
      <c r="F1992">
        <v>104552.72</v>
      </c>
      <c r="G1992">
        <v>1</v>
      </c>
      <c r="H1992" t="s">
        <v>22</v>
      </c>
      <c r="I1992" t="s">
        <v>22</v>
      </c>
      <c r="J1992">
        <v>120853.83</v>
      </c>
      <c r="K1992" t="s">
        <v>22</v>
      </c>
      <c r="L1992">
        <v>0.1429288735458929</v>
      </c>
      <c r="M1992" t="s">
        <v>23</v>
      </c>
      <c r="N1992">
        <v>1</v>
      </c>
      <c r="O1992">
        <v>0</v>
      </c>
      <c r="P1992" t="s">
        <v>34</v>
      </c>
      <c r="Q1992" t="s">
        <v>33</v>
      </c>
      <c r="R1992" t="s">
        <v>26</v>
      </c>
      <c r="S1992" t="s">
        <v>37</v>
      </c>
      <c r="T1992" t="s">
        <v>28</v>
      </c>
      <c r="U1992">
        <f t="shared" si="31"/>
        <v>0</v>
      </c>
    </row>
    <row r="1993" spans="1:21" x14ac:dyDescent="0.2">
      <c r="A1993">
        <v>479</v>
      </c>
      <c r="B1993" t="s">
        <v>20</v>
      </c>
      <c r="C1993" t="s">
        <v>21</v>
      </c>
      <c r="D1993">
        <v>35</v>
      </c>
      <c r="E1993">
        <v>4</v>
      </c>
      <c r="F1993">
        <v>125920.98</v>
      </c>
      <c r="G1993">
        <v>1</v>
      </c>
      <c r="H1993" t="s">
        <v>22</v>
      </c>
      <c r="I1993" t="s">
        <v>22</v>
      </c>
      <c r="J1993">
        <v>20393.439999999999</v>
      </c>
      <c r="K1993" t="s">
        <v>23</v>
      </c>
      <c r="L1993">
        <v>6.7624868876679636E-2</v>
      </c>
      <c r="M1993" t="s">
        <v>23</v>
      </c>
      <c r="N1993">
        <v>0</v>
      </c>
      <c r="O1993">
        <v>0</v>
      </c>
      <c r="P1993" t="s">
        <v>34</v>
      </c>
      <c r="Q1993" t="s">
        <v>33</v>
      </c>
      <c r="R1993" t="s">
        <v>26</v>
      </c>
      <c r="S1993" t="s">
        <v>45</v>
      </c>
      <c r="T1993" t="s">
        <v>35</v>
      </c>
      <c r="U1993">
        <f t="shared" si="31"/>
        <v>1</v>
      </c>
    </row>
    <row r="1994" spans="1:21" x14ac:dyDescent="0.2">
      <c r="A1994">
        <v>602</v>
      </c>
      <c r="B1994" t="s">
        <v>41</v>
      </c>
      <c r="C1994" t="s">
        <v>21</v>
      </c>
      <c r="D1994">
        <v>35</v>
      </c>
      <c r="E1994">
        <v>7</v>
      </c>
      <c r="F1994">
        <v>90602.42</v>
      </c>
      <c r="G1994">
        <v>2</v>
      </c>
      <c r="H1994" t="s">
        <v>22</v>
      </c>
      <c r="I1994" t="s">
        <v>22</v>
      </c>
      <c r="J1994">
        <v>51695.41</v>
      </c>
      <c r="K1994" t="s">
        <v>23</v>
      </c>
      <c r="L1994">
        <v>0.1001169580699523</v>
      </c>
      <c r="M1994" t="s">
        <v>23</v>
      </c>
      <c r="N1994">
        <v>0</v>
      </c>
      <c r="O1994">
        <v>0</v>
      </c>
      <c r="P1994" t="s">
        <v>34</v>
      </c>
      <c r="Q1994" t="s">
        <v>33</v>
      </c>
      <c r="R1994" t="s">
        <v>38</v>
      </c>
      <c r="S1994" t="s">
        <v>27</v>
      </c>
      <c r="T1994" t="s">
        <v>40</v>
      </c>
      <c r="U1994">
        <f t="shared" si="31"/>
        <v>1</v>
      </c>
    </row>
    <row r="1995" spans="1:21" x14ac:dyDescent="0.2">
      <c r="A1995">
        <v>659</v>
      </c>
      <c r="B1995" t="s">
        <v>42</v>
      </c>
      <c r="C1995" t="s">
        <v>21</v>
      </c>
      <c r="D1995">
        <v>36</v>
      </c>
      <c r="E1995">
        <v>6</v>
      </c>
      <c r="F1995">
        <v>123841.49</v>
      </c>
      <c r="G1995">
        <v>2</v>
      </c>
      <c r="H1995" t="s">
        <v>22</v>
      </c>
      <c r="I1995" t="s">
        <v>23</v>
      </c>
      <c r="J1995">
        <v>96833</v>
      </c>
      <c r="K1995" t="s">
        <v>23</v>
      </c>
      <c r="L1995">
        <v>0.15074724139934689</v>
      </c>
      <c r="M1995" t="s">
        <v>23</v>
      </c>
      <c r="N1995">
        <v>0</v>
      </c>
      <c r="O1995">
        <v>0</v>
      </c>
      <c r="P1995" t="s">
        <v>34</v>
      </c>
      <c r="Q1995" t="s">
        <v>33</v>
      </c>
      <c r="R1995" t="s">
        <v>26</v>
      </c>
      <c r="S1995" t="s">
        <v>27</v>
      </c>
      <c r="T1995" t="s">
        <v>40</v>
      </c>
      <c r="U1995">
        <f t="shared" si="31"/>
        <v>1</v>
      </c>
    </row>
    <row r="1996" spans="1:21" x14ac:dyDescent="0.2">
      <c r="A1996">
        <v>673</v>
      </c>
      <c r="B1996" t="s">
        <v>41</v>
      </c>
      <c r="C1996" t="s">
        <v>21</v>
      </c>
      <c r="D1996">
        <v>47</v>
      </c>
      <c r="E1996">
        <v>1</v>
      </c>
      <c r="F1996">
        <v>183579.54</v>
      </c>
      <c r="G1996">
        <v>2</v>
      </c>
      <c r="H1996" t="s">
        <v>23</v>
      </c>
      <c r="I1996" t="s">
        <v>22</v>
      </c>
      <c r="J1996">
        <v>34047.54</v>
      </c>
      <c r="K1996" t="s">
        <v>23</v>
      </c>
      <c r="L1996">
        <v>0.27386126587524628</v>
      </c>
      <c r="M1996" t="s">
        <v>23</v>
      </c>
      <c r="N1996">
        <v>0</v>
      </c>
      <c r="O1996">
        <v>0</v>
      </c>
      <c r="P1996" t="s">
        <v>24</v>
      </c>
      <c r="Q1996" t="s">
        <v>25</v>
      </c>
      <c r="R1996" t="s">
        <v>47</v>
      </c>
      <c r="S1996" t="s">
        <v>27</v>
      </c>
      <c r="T1996" t="s">
        <v>35</v>
      </c>
      <c r="U1996">
        <f t="shared" si="31"/>
        <v>1</v>
      </c>
    </row>
    <row r="1997" spans="1:21" x14ac:dyDescent="0.2">
      <c r="A1997">
        <v>606</v>
      </c>
      <c r="B1997" t="s">
        <v>20</v>
      </c>
      <c r="C1997" t="s">
        <v>21</v>
      </c>
      <c r="D1997">
        <v>30</v>
      </c>
      <c r="E1997">
        <v>8</v>
      </c>
      <c r="F1997">
        <v>180307.73</v>
      </c>
      <c r="G1997">
        <v>2</v>
      </c>
      <c r="H1997" t="s">
        <v>22</v>
      </c>
      <c r="I1997" t="s">
        <v>22</v>
      </c>
      <c r="J1997">
        <v>1914.41</v>
      </c>
      <c r="K1997" t="s">
        <v>23</v>
      </c>
      <c r="L1997">
        <v>4.1734688054890508E-2</v>
      </c>
      <c r="M1997" t="s">
        <v>23</v>
      </c>
      <c r="N1997">
        <v>0</v>
      </c>
      <c r="O1997">
        <v>0</v>
      </c>
      <c r="P1997" t="s">
        <v>34</v>
      </c>
      <c r="Q1997" t="s">
        <v>36</v>
      </c>
      <c r="R1997" t="s">
        <v>47</v>
      </c>
      <c r="S1997" t="s">
        <v>27</v>
      </c>
      <c r="T1997" t="s">
        <v>35</v>
      </c>
      <c r="U1997">
        <f t="shared" si="31"/>
        <v>1</v>
      </c>
    </row>
    <row r="1998" spans="1:21" x14ac:dyDescent="0.2">
      <c r="A1998">
        <v>841</v>
      </c>
      <c r="B1998" t="s">
        <v>20</v>
      </c>
      <c r="C1998" t="s">
        <v>21</v>
      </c>
      <c r="D1998">
        <v>28</v>
      </c>
      <c r="E1998">
        <v>4</v>
      </c>
      <c r="F1998">
        <v>0</v>
      </c>
      <c r="G1998">
        <v>2</v>
      </c>
      <c r="H1998" t="s">
        <v>22</v>
      </c>
      <c r="I1998" t="s">
        <v>22</v>
      </c>
      <c r="J1998">
        <v>179436.6</v>
      </c>
      <c r="K1998" t="s">
        <v>23</v>
      </c>
      <c r="L1998">
        <v>2.3354718398704601E-2</v>
      </c>
      <c r="M1998" t="s">
        <v>23</v>
      </c>
      <c r="N1998">
        <v>0</v>
      </c>
      <c r="O1998">
        <v>0</v>
      </c>
      <c r="P1998" t="s">
        <v>34</v>
      </c>
      <c r="Q1998" t="s">
        <v>36</v>
      </c>
      <c r="R1998" t="s">
        <v>29</v>
      </c>
      <c r="S1998" t="s">
        <v>39</v>
      </c>
      <c r="T1998" t="s">
        <v>31</v>
      </c>
      <c r="U1998">
        <f t="shared" si="31"/>
        <v>1</v>
      </c>
    </row>
    <row r="1999" spans="1:21" x14ac:dyDescent="0.2">
      <c r="A1999">
        <v>714</v>
      </c>
      <c r="B1999" t="s">
        <v>41</v>
      </c>
      <c r="C1999" t="s">
        <v>21</v>
      </c>
      <c r="D1999">
        <v>33</v>
      </c>
      <c r="E1999">
        <v>3</v>
      </c>
      <c r="F1999">
        <v>35016.6</v>
      </c>
      <c r="G1999">
        <v>1</v>
      </c>
      <c r="H1999" t="s">
        <v>22</v>
      </c>
      <c r="I1999" t="s">
        <v>23</v>
      </c>
      <c r="J1999">
        <v>53667.08</v>
      </c>
      <c r="K1999" t="s">
        <v>23</v>
      </c>
      <c r="L1999">
        <v>0.2155504054811358</v>
      </c>
      <c r="M1999" t="s">
        <v>23</v>
      </c>
      <c r="N1999">
        <v>0</v>
      </c>
      <c r="O1999">
        <v>0</v>
      </c>
      <c r="P1999" t="s">
        <v>24</v>
      </c>
      <c r="Q1999" t="s">
        <v>33</v>
      </c>
      <c r="R1999" t="s">
        <v>48</v>
      </c>
      <c r="S1999" t="s">
        <v>37</v>
      </c>
      <c r="T1999" t="s">
        <v>40</v>
      </c>
      <c r="U1999">
        <f t="shared" si="31"/>
        <v>1</v>
      </c>
    </row>
    <row r="2000" spans="1:21" x14ac:dyDescent="0.2">
      <c r="A2000">
        <v>800</v>
      </c>
      <c r="B2000" t="s">
        <v>42</v>
      </c>
      <c r="C2000" t="s">
        <v>32</v>
      </c>
      <c r="D2000">
        <v>29</v>
      </c>
      <c r="E2000">
        <v>2</v>
      </c>
      <c r="F2000">
        <v>0</v>
      </c>
      <c r="G2000">
        <v>2</v>
      </c>
      <c r="H2000" t="s">
        <v>23</v>
      </c>
      <c r="I2000" t="s">
        <v>23</v>
      </c>
      <c r="J2000">
        <v>167773.55</v>
      </c>
      <c r="K2000" t="s">
        <v>23</v>
      </c>
      <c r="L2000">
        <v>0.12273667381683249</v>
      </c>
      <c r="M2000" t="s">
        <v>23</v>
      </c>
      <c r="N2000">
        <v>0</v>
      </c>
      <c r="O2000">
        <v>0</v>
      </c>
      <c r="P2000" t="s">
        <v>34</v>
      </c>
      <c r="Q2000" t="s">
        <v>36</v>
      </c>
      <c r="R2000" t="s">
        <v>29</v>
      </c>
      <c r="S2000" t="s">
        <v>37</v>
      </c>
      <c r="T2000" t="s">
        <v>31</v>
      </c>
      <c r="U2000">
        <f t="shared" si="31"/>
        <v>1</v>
      </c>
    </row>
    <row r="2001" spans="1:21" x14ac:dyDescent="0.2">
      <c r="A2001">
        <v>516</v>
      </c>
      <c r="B2001" t="s">
        <v>42</v>
      </c>
      <c r="C2001" t="s">
        <v>21</v>
      </c>
      <c r="D2001">
        <v>35</v>
      </c>
      <c r="E2001">
        <v>10</v>
      </c>
      <c r="F2001">
        <v>57369.61</v>
      </c>
      <c r="G2001">
        <v>1</v>
      </c>
      <c r="H2001" t="s">
        <v>22</v>
      </c>
      <c r="I2001" t="s">
        <v>22</v>
      </c>
      <c r="J2001">
        <v>101699.77</v>
      </c>
      <c r="K2001" t="s">
        <v>23</v>
      </c>
      <c r="L2001">
        <v>5.0272941261780571E-2</v>
      </c>
      <c r="M2001" t="s">
        <v>23</v>
      </c>
      <c r="N2001">
        <v>0</v>
      </c>
      <c r="O2001">
        <v>0</v>
      </c>
      <c r="P2001" t="s">
        <v>34</v>
      </c>
      <c r="Q2001" t="s">
        <v>33</v>
      </c>
      <c r="R2001" t="s">
        <v>38</v>
      </c>
      <c r="S2001" t="s">
        <v>30</v>
      </c>
      <c r="T2001" t="s">
        <v>28</v>
      </c>
      <c r="U2001">
        <f t="shared" si="3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D0DC7-6749-FD40-AD22-134D0A861381}">
  <dimension ref="A1:L46"/>
  <sheetViews>
    <sheetView zoomScale="50" zoomScaleNormal="44" workbookViewId="0">
      <selection activeCell="E23" sqref="E23"/>
    </sheetView>
  </sheetViews>
  <sheetFormatPr baseColWidth="10" defaultRowHeight="15" x14ac:dyDescent="0.2"/>
  <cols>
    <col min="1" max="1" width="22.5" bestFit="1" customWidth="1"/>
    <col min="2" max="2" width="22.1640625" bestFit="1" customWidth="1"/>
    <col min="3" max="3" width="44" bestFit="1" customWidth="1"/>
    <col min="4" max="4" width="15.1640625" bestFit="1" customWidth="1"/>
    <col min="5" max="5" width="10.1640625" bestFit="1" customWidth="1"/>
    <col min="6" max="6" width="27.83203125" bestFit="1" customWidth="1"/>
    <col min="7" max="7" width="22.1640625" bestFit="1" customWidth="1"/>
    <col min="8" max="8" width="44" bestFit="1" customWidth="1"/>
    <col min="9" max="9" width="19.6640625" bestFit="1" customWidth="1"/>
    <col min="10" max="10" width="22.33203125" customWidth="1"/>
    <col min="12" max="12" width="27" customWidth="1"/>
  </cols>
  <sheetData>
    <row r="1" spans="1:12" ht="62" x14ac:dyDescent="0.7">
      <c r="A1" s="4"/>
      <c r="B1" s="5"/>
      <c r="C1" s="5"/>
      <c r="D1" s="4"/>
      <c r="E1" s="6" t="s">
        <v>77</v>
      </c>
      <c r="F1" s="4"/>
      <c r="G1" s="5"/>
      <c r="H1" s="5"/>
      <c r="I1" s="5"/>
      <c r="J1" s="5"/>
      <c r="K1" s="5"/>
      <c r="L1" s="5"/>
    </row>
    <row r="2" spans="1:12" x14ac:dyDescent="0.2">
      <c r="D2" s="2"/>
      <c r="F2" s="3"/>
    </row>
    <row r="3" spans="1:12" x14ac:dyDescent="0.2">
      <c r="D3" s="2"/>
      <c r="F3" s="3"/>
    </row>
    <row r="4" spans="1:12" s="7" customFormat="1" ht="54" x14ac:dyDescent="0.3">
      <c r="A4" s="9"/>
      <c r="B4" s="9" t="s">
        <v>49</v>
      </c>
      <c r="C4" s="9"/>
      <c r="D4" s="35" t="s">
        <v>50</v>
      </c>
      <c r="E4" s="9"/>
      <c r="F4" s="10" t="s">
        <v>51</v>
      </c>
      <c r="G4" s="9"/>
      <c r="H4" s="10" t="s">
        <v>52</v>
      </c>
      <c r="I4" s="9"/>
      <c r="J4" s="9" t="s">
        <v>53</v>
      </c>
      <c r="K4" s="9"/>
      <c r="L4" s="11"/>
    </row>
    <row r="5" spans="1:12" s="8" customFormat="1" ht="26" x14ac:dyDescent="0.2">
      <c r="A5" s="32"/>
      <c r="B5" s="32">
        <f>COUNTA(tbl_churn[actual_churn_numeric])</f>
        <v>2000</v>
      </c>
      <c r="C5" s="32"/>
      <c r="D5" s="33">
        <f>COUNTIF(tbl_churn[churn],"Yes")/COUNTA(tbl_churn[churn])</f>
        <v>0.20150000000000001</v>
      </c>
      <c r="E5" s="32"/>
      <c r="F5" s="33">
        <f>AVERAGE(tbl_churn[predicted_churn_probability])</f>
        <v>0.20604884757656183</v>
      </c>
      <c r="G5" s="32"/>
      <c r="H5" s="32">
        <f>COUNTIF(tbl_churn[risk_category],"High Risk")</f>
        <v>153</v>
      </c>
      <c r="I5" s="32"/>
      <c r="J5" s="33">
        <f>COUNTIF(tbl_churn[risk_category],"High Risk")/COUNTA(tbl_churn[risk_category])</f>
        <v>7.6499999999999999E-2</v>
      </c>
      <c r="K5" s="32"/>
      <c r="L5" s="32"/>
    </row>
    <row r="8" spans="1:12" ht="37" x14ac:dyDescent="0.45">
      <c r="A8" s="46" t="s">
        <v>78</v>
      </c>
      <c r="B8" s="47"/>
      <c r="C8" s="47"/>
    </row>
    <row r="10" spans="1:12" s="14" customFormat="1" ht="27" customHeight="1" x14ac:dyDescent="0.35">
      <c r="A10" s="14" t="s">
        <v>57</v>
      </c>
      <c r="D10" s="14" t="s">
        <v>62</v>
      </c>
      <c r="H10" s="14" t="s">
        <v>59</v>
      </c>
    </row>
    <row r="11" spans="1:12" ht="21" x14ac:dyDescent="0.25">
      <c r="A11" s="15" t="s">
        <v>55</v>
      </c>
      <c r="B11" s="15" t="s">
        <v>68</v>
      </c>
      <c r="D11" s="15" t="s">
        <v>61</v>
      </c>
      <c r="E11" s="23" t="s">
        <v>58</v>
      </c>
      <c r="H11" s="15" t="s">
        <v>60</v>
      </c>
      <c r="I11" s="15" t="s">
        <v>58</v>
      </c>
    </row>
    <row r="12" spans="1:12" ht="21" x14ac:dyDescent="0.25">
      <c r="A12" s="16" t="s">
        <v>23</v>
      </c>
      <c r="B12" s="41">
        <v>1592</v>
      </c>
      <c r="D12" s="16" t="s">
        <v>42</v>
      </c>
      <c r="E12" s="17">
        <v>0.16132368148914167</v>
      </c>
      <c r="H12" s="16" t="s">
        <v>32</v>
      </c>
      <c r="I12" s="25">
        <v>0.23573735199138859</v>
      </c>
    </row>
    <row r="13" spans="1:12" ht="21" x14ac:dyDescent="0.25">
      <c r="A13" s="16" t="s">
        <v>22</v>
      </c>
      <c r="B13" s="41">
        <v>403</v>
      </c>
      <c r="D13" s="16" t="s">
        <v>41</v>
      </c>
      <c r="E13" s="17">
        <v>0.31878557874762808</v>
      </c>
      <c r="H13" s="16" t="s">
        <v>21</v>
      </c>
      <c r="I13" s="25">
        <v>0.17260787992495311</v>
      </c>
    </row>
    <row r="14" spans="1:12" ht="21" x14ac:dyDescent="0.25">
      <c r="A14" s="16" t="s">
        <v>56</v>
      </c>
      <c r="B14" s="41">
        <v>1995</v>
      </c>
      <c r="D14" s="16" t="s">
        <v>20</v>
      </c>
      <c r="E14" s="17">
        <v>0.15768463073852296</v>
      </c>
      <c r="H14" s="24" t="s">
        <v>56</v>
      </c>
      <c r="I14" s="42">
        <v>0.20200501253132833</v>
      </c>
    </row>
    <row r="15" spans="1:12" ht="21" x14ac:dyDescent="0.25">
      <c r="D15" s="24" t="s">
        <v>56</v>
      </c>
      <c r="E15" s="18">
        <v>0.20200501253132833</v>
      </c>
    </row>
    <row r="19" spans="1:9" s="14" customFormat="1" ht="29" x14ac:dyDescent="0.35">
      <c r="A19" s="14" t="s">
        <v>63</v>
      </c>
      <c r="F19" s="14" t="s">
        <v>66</v>
      </c>
    </row>
    <row r="20" spans="1:9" s="12" customFormat="1" ht="44" x14ac:dyDescent="0.25">
      <c r="A20" s="15" t="s">
        <v>64</v>
      </c>
      <c r="B20" s="15" t="s">
        <v>50</v>
      </c>
      <c r="C20" s="19" t="s">
        <v>51</v>
      </c>
      <c r="D20"/>
      <c r="F20" s="15" t="s">
        <v>65</v>
      </c>
      <c r="G20" s="15" t="s">
        <v>50</v>
      </c>
      <c r="H20" s="15" t="s">
        <v>51</v>
      </c>
      <c r="I20"/>
    </row>
    <row r="21" spans="1:9" ht="21" x14ac:dyDescent="0.25">
      <c r="A21" s="20" t="s">
        <v>36</v>
      </c>
      <c r="B21" s="21">
        <v>9.1080961977475908E-2</v>
      </c>
      <c r="C21" s="21">
        <v>8.3756345177664976E-2</v>
      </c>
      <c r="F21" s="16" t="s">
        <v>23</v>
      </c>
      <c r="G21" s="17">
        <v>0.27004219409282698</v>
      </c>
      <c r="H21" s="17">
        <v>0.27780163629840848</v>
      </c>
    </row>
    <row r="22" spans="1:9" ht="21" x14ac:dyDescent="0.25">
      <c r="A22" s="20" t="s">
        <v>33</v>
      </c>
      <c r="B22" s="21">
        <v>0.1523030374800961</v>
      </c>
      <c r="C22" s="21">
        <v>0.1095890410958904</v>
      </c>
      <c r="F22" s="16" t="s">
        <v>22</v>
      </c>
      <c r="G22" s="17">
        <v>0.14040114613180515</v>
      </c>
      <c r="H22" s="17">
        <v>0.14181745049658476</v>
      </c>
    </row>
    <row r="23" spans="1:9" ht="21" x14ac:dyDescent="0.25">
      <c r="A23" s="20" t="s">
        <v>25</v>
      </c>
      <c r="B23" s="21">
        <v>0.27177578512352901</v>
      </c>
      <c r="C23" s="21">
        <v>0.35095137420718814</v>
      </c>
      <c r="F23" s="24" t="s">
        <v>56</v>
      </c>
      <c r="G23" s="18">
        <v>0.20200501253132833</v>
      </c>
      <c r="H23" s="18">
        <v>0.20643549968963171</v>
      </c>
    </row>
    <row r="24" spans="1:9" x14ac:dyDescent="0.2">
      <c r="A24" s="20" t="s">
        <v>44</v>
      </c>
      <c r="B24" s="21">
        <v>0.38856138361369308</v>
      </c>
      <c r="C24" s="21">
        <v>0.53846153846153844</v>
      </c>
    </row>
    <row r="25" spans="1:9" x14ac:dyDescent="0.2">
      <c r="A25" s="20" t="s">
        <v>46</v>
      </c>
      <c r="B25" s="21">
        <v>0.55593687314542195</v>
      </c>
      <c r="C25" s="21">
        <v>0.25</v>
      </c>
    </row>
    <row r="26" spans="1:9" x14ac:dyDescent="0.2">
      <c r="A26" s="22" t="s">
        <v>56</v>
      </c>
      <c r="B26" s="34">
        <v>0.20643549968963165</v>
      </c>
      <c r="C26" s="34">
        <v>0.20200501253132833</v>
      </c>
    </row>
    <row r="30" spans="1:9" s="14" customFormat="1" ht="29" x14ac:dyDescent="0.35">
      <c r="A30" s="14" t="s">
        <v>67</v>
      </c>
      <c r="F30" s="14" t="s">
        <v>70</v>
      </c>
    </row>
    <row r="31" spans="1:9" s="13" customFormat="1" ht="21" x14ac:dyDescent="0.25">
      <c r="A31" s="26" t="s">
        <v>69</v>
      </c>
      <c r="B31" s="26" t="s">
        <v>50</v>
      </c>
      <c r="C31" s="26" t="s">
        <v>51</v>
      </c>
      <c r="D31"/>
      <c r="F31" s="26" t="s">
        <v>71</v>
      </c>
      <c r="G31" s="26" t="s">
        <v>50</v>
      </c>
      <c r="H31" s="26" t="s">
        <v>51</v>
      </c>
      <c r="I31" s="26" t="s">
        <v>68</v>
      </c>
    </row>
    <row r="32" spans="1:9" ht="21" x14ac:dyDescent="0.25">
      <c r="A32" s="16">
        <v>1</v>
      </c>
      <c r="B32" s="17">
        <v>0.28276573787409703</v>
      </c>
      <c r="C32" s="17">
        <v>0.23267274707280675</v>
      </c>
      <c r="F32" s="28" t="s">
        <v>34</v>
      </c>
      <c r="G32" s="30">
        <v>9.9923228125965588E-2</v>
      </c>
      <c r="H32" s="30">
        <v>0.10565110565110565</v>
      </c>
      <c r="I32" s="44">
        <v>1221</v>
      </c>
    </row>
    <row r="33" spans="1:9" ht="21" x14ac:dyDescent="0.25">
      <c r="A33" s="16">
        <v>2</v>
      </c>
      <c r="B33" s="17">
        <v>7.2251308900523559E-2</v>
      </c>
      <c r="C33" s="17">
        <v>0.17810631705605542</v>
      </c>
      <c r="F33" s="28" t="s">
        <v>43</v>
      </c>
      <c r="G33" s="30">
        <v>0.63184265392930372</v>
      </c>
      <c r="H33" s="30">
        <v>0.56209150326797386</v>
      </c>
      <c r="I33" s="44">
        <v>153</v>
      </c>
    </row>
    <row r="34" spans="1:9" ht="21" x14ac:dyDescent="0.25">
      <c r="A34" s="16">
        <v>3</v>
      </c>
      <c r="B34" s="17">
        <v>0.81034482758620685</v>
      </c>
      <c r="C34" s="17">
        <v>0.22139186402387459</v>
      </c>
      <c r="F34" s="28" t="s">
        <v>24</v>
      </c>
      <c r="G34" s="30">
        <v>0.3110477202702544</v>
      </c>
      <c r="H34" s="30">
        <v>0.30273752012882449</v>
      </c>
      <c r="I34" s="44">
        <v>621</v>
      </c>
    </row>
    <row r="35" spans="1:9" ht="21" x14ac:dyDescent="0.25">
      <c r="A35" s="16">
        <v>4</v>
      </c>
      <c r="B35" s="17">
        <v>1</v>
      </c>
      <c r="C35" s="17">
        <v>0.26512838964212793</v>
      </c>
      <c r="F35" s="27" t="s">
        <v>56</v>
      </c>
      <c r="G35" s="31">
        <v>0.20643549968963196</v>
      </c>
      <c r="H35" s="31">
        <v>0.20200501253132833</v>
      </c>
      <c r="I35" s="45">
        <v>1995</v>
      </c>
    </row>
    <row r="36" spans="1:9" ht="21" x14ac:dyDescent="0.25">
      <c r="A36" s="24" t="s">
        <v>56</v>
      </c>
      <c r="B36" s="43">
        <v>0.20200501253132833</v>
      </c>
      <c r="C36" s="43">
        <v>0.20643549968963174</v>
      </c>
    </row>
    <row r="39" spans="1:9" s="14" customFormat="1" ht="29" x14ac:dyDescent="0.35">
      <c r="A39" s="14" t="s">
        <v>73</v>
      </c>
      <c r="F39" s="14" t="s">
        <v>74</v>
      </c>
    </row>
    <row r="40" spans="1:9" ht="21" x14ac:dyDescent="0.25">
      <c r="A40" s="29" t="s">
        <v>72</v>
      </c>
      <c r="B40" s="29" t="s">
        <v>50</v>
      </c>
      <c r="C40" s="29" t="s">
        <v>51</v>
      </c>
      <c r="F40" s="26" t="s">
        <v>75</v>
      </c>
      <c r="G40" s="26" t="s">
        <v>50</v>
      </c>
      <c r="H40" s="26" t="s">
        <v>51</v>
      </c>
      <c r="I40" s="26" t="s">
        <v>68</v>
      </c>
    </row>
    <row r="41" spans="1:9" ht="21" x14ac:dyDescent="0.25">
      <c r="A41" s="28" t="s">
        <v>29</v>
      </c>
      <c r="B41" s="30">
        <v>0.13717421124828533</v>
      </c>
      <c r="C41" s="30">
        <v>0.1403951933099335</v>
      </c>
      <c r="F41" s="28" t="s">
        <v>30</v>
      </c>
      <c r="G41" s="30">
        <v>0.21735971976021634</v>
      </c>
      <c r="H41" s="30">
        <v>0.2288135593220339</v>
      </c>
      <c r="I41" s="44">
        <v>472</v>
      </c>
    </row>
    <row r="42" spans="1:9" ht="21" x14ac:dyDescent="0.25">
      <c r="A42" s="28" t="s">
        <v>48</v>
      </c>
      <c r="B42" s="30">
        <v>0.4</v>
      </c>
      <c r="C42" s="30">
        <v>0.2201382189484736</v>
      </c>
      <c r="F42" s="28" t="s">
        <v>45</v>
      </c>
      <c r="G42" s="30">
        <v>0.23732633228995989</v>
      </c>
      <c r="H42" s="30">
        <v>0.20338983050847459</v>
      </c>
      <c r="I42" s="44">
        <v>118</v>
      </c>
    </row>
    <row r="43" spans="1:9" ht="21" x14ac:dyDescent="0.25">
      <c r="A43" s="28" t="s">
        <v>38</v>
      </c>
      <c r="B43" s="30">
        <v>0.19736842105263158</v>
      </c>
      <c r="C43" s="30">
        <v>0.22481163036139398</v>
      </c>
      <c r="F43" s="28" t="s">
        <v>27</v>
      </c>
      <c r="G43" s="30">
        <v>0.20415332449481136</v>
      </c>
      <c r="H43" s="30">
        <v>0.18356867779204109</v>
      </c>
      <c r="I43" s="44">
        <v>779</v>
      </c>
    </row>
    <row r="44" spans="1:9" ht="21" x14ac:dyDescent="0.25">
      <c r="A44" s="28" t="s">
        <v>26</v>
      </c>
      <c r="B44" s="30">
        <v>0.2486910994764398</v>
      </c>
      <c r="C44" s="30">
        <v>0.25299673138527423</v>
      </c>
      <c r="F44" s="28" t="s">
        <v>37</v>
      </c>
      <c r="G44" s="30">
        <v>0.19964919737776635</v>
      </c>
      <c r="H44" s="30">
        <v>0.20668058455114824</v>
      </c>
      <c r="I44" s="44">
        <v>479</v>
      </c>
    </row>
    <row r="45" spans="1:9" ht="21" x14ac:dyDescent="0.25">
      <c r="A45" s="28" t="s">
        <v>47</v>
      </c>
      <c r="B45" s="30">
        <v>0.25683060109289618</v>
      </c>
      <c r="C45" s="30">
        <v>0.2434776735816036</v>
      </c>
      <c r="F45" s="28" t="s">
        <v>39</v>
      </c>
      <c r="G45" s="30">
        <v>0.18076953481884311</v>
      </c>
      <c r="H45" s="30">
        <v>0.19727891156462585</v>
      </c>
      <c r="I45" s="44">
        <v>147</v>
      </c>
    </row>
    <row r="46" spans="1:9" ht="21" x14ac:dyDescent="0.25">
      <c r="A46" s="28" t="s">
        <v>56</v>
      </c>
      <c r="B46" s="30">
        <v>0.20200501253132833</v>
      </c>
      <c r="C46" s="30">
        <v>0.20643549968963204</v>
      </c>
      <c r="F46" s="27" t="s">
        <v>56</v>
      </c>
      <c r="G46" s="45">
        <v>0.2064354996896319</v>
      </c>
      <c r="H46" s="45">
        <v>0.20200501253132833</v>
      </c>
      <c r="I46" s="45">
        <v>1995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EDF35-38D5-C14B-8F8B-98A465BA3076}">
  <dimension ref="A1:P49"/>
  <sheetViews>
    <sheetView tabSelected="1" zoomScale="50" workbookViewId="0">
      <selection activeCell="S52" sqref="S52"/>
    </sheetView>
  </sheetViews>
  <sheetFormatPr baseColWidth="10" defaultRowHeight="15" x14ac:dyDescent="0.2"/>
  <cols>
    <col min="1" max="1" width="10.83203125" style="37"/>
    <col min="2" max="2" width="26.6640625" style="37" customWidth="1"/>
    <col min="3" max="3" width="41.6640625" style="37" customWidth="1"/>
    <col min="4" max="4" width="26.6640625" style="37" customWidth="1"/>
    <col min="5" max="5" width="10.83203125" style="37"/>
    <col min="6" max="6" width="33.6640625" style="37" customWidth="1"/>
    <col min="7" max="7" width="10.83203125" style="37"/>
    <col min="8" max="8" width="30" style="37" customWidth="1"/>
    <col min="9" max="9" width="10.83203125" style="37"/>
    <col min="10" max="10" width="24" style="37" customWidth="1"/>
    <col min="11" max="11" width="14.33203125" style="37" customWidth="1"/>
    <col min="12" max="12" width="10.83203125" style="37"/>
    <col min="13" max="13" width="26.6640625" style="37" customWidth="1"/>
    <col min="14" max="16384" width="10.83203125" style="37"/>
  </cols>
  <sheetData>
    <row r="1" spans="1:16" ht="62" x14ac:dyDescent="0.7">
      <c r="A1" s="38"/>
      <c r="B1" s="39"/>
      <c r="C1" s="39"/>
      <c r="D1" s="38"/>
      <c r="E1" s="40" t="s">
        <v>76</v>
      </c>
      <c r="F1" s="38"/>
      <c r="G1" s="39"/>
      <c r="H1" s="39"/>
      <c r="I1" s="39"/>
      <c r="J1" s="39"/>
      <c r="K1" s="39"/>
      <c r="L1" s="39"/>
      <c r="M1" s="38"/>
      <c r="N1" s="39"/>
      <c r="O1" s="39"/>
      <c r="P1" s="38"/>
    </row>
    <row r="3" spans="1:16" ht="54" x14ac:dyDescent="0.3">
      <c r="A3" s="9"/>
      <c r="B3" s="9" t="s">
        <v>49</v>
      </c>
      <c r="C3" s="9"/>
      <c r="D3" s="35" t="s">
        <v>50</v>
      </c>
      <c r="E3" s="9"/>
      <c r="F3" s="10" t="s">
        <v>51</v>
      </c>
      <c r="G3" s="9"/>
      <c r="H3" s="36" t="s">
        <v>52</v>
      </c>
      <c r="I3" s="9"/>
      <c r="J3" s="9" t="s">
        <v>53</v>
      </c>
      <c r="K3" s="9"/>
      <c r="L3" s="11"/>
    </row>
    <row r="4" spans="1:16" ht="26" x14ac:dyDescent="0.2">
      <c r="A4" s="32"/>
      <c r="B4" s="32">
        <f>COUNTA(tbl_churn[actual_churn_numeric])</f>
        <v>2000</v>
      </c>
      <c r="C4" s="32"/>
      <c r="D4" s="33">
        <f>COUNTIF(tbl_churn[churn],"Yes")/COUNTA(tbl_churn[churn])</f>
        <v>0.20150000000000001</v>
      </c>
      <c r="E4" s="32"/>
      <c r="F4" s="33">
        <f>AVERAGE(tbl_churn[predicted_churn_probability])</f>
        <v>0.20604884757656183</v>
      </c>
      <c r="G4" s="32"/>
      <c r="H4" s="32">
        <f>COUNTIF(tbl_churn[risk_category],"High Risk")</f>
        <v>153</v>
      </c>
      <c r="I4" s="32"/>
      <c r="J4" s="33">
        <f>COUNTIF(tbl_churn[risk_category],"High Risk")/COUNTA(tbl_churn[risk_category])</f>
        <v>7.6499999999999999E-2</v>
      </c>
      <c r="K4" s="32"/>
      <c r="L4" s="32"/>
    </row>
    <row r="39" spans="1:16" x14ac:dyDescent="0.2">
      <c r="B39"/>
    </row>
    <row r="44" spans="1:16" ht="62" x14ac:dyDescent="0.7">
      <c r="A44" s="38"/>
      <c r="B44" s="39"/>
      <c r="C44" s="39"/>
      <c r="D44" s="38"/>
      <c r="E44" s="40" t="s">
        <v>79</v>
      </c>
      <c r="F44" s="38"/>
      <c r="G44" s="39"/>
      <c r="H44" s="39"/>
      <c r="I44" s="39"/>
      <c r="J44" s="39"/>
      <c r="K44" s="39"/>
      <c r="L44" s="39"/>
      <c r="M44" s="38"/>
      <c r="N44" s="39"/>
      <c r="O44" s="39"/>
      <c r="P44" s="38"/>
    </row>
    <row r="47" spans="1:16" x14ac:dyDescent="0.2">
      <c r="L47"/>
    </row>
    <row r="49" spans="12:12" x14ac:dyDescent="0.2">
      <c r="L4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Matthew Araujo</cp:lastModifiedBy>
  <dcterms:created xsi:type="dcterms:W3CDTF">2026-05-13T02:14:39Z</dcterms:created>
  <dcterms:modified xsi:type="dcterms:W3CDTF">2026-05-13T17:51:50Z</dcterms:modified>
</cp:coreProperties>
</file>